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cer\Downloads\Healthcare data cleaning\"/>
    </mc:Choice>
  </mc:AlternateContent>
  <xr:revisionPtr revIDLastSave="0" documentId="13_ncr:1_{1EDC549E-D2F7-4836-A17F-BB9A837BFDCF}" xr6:coauthVersionLast="47" xr6:coauthVersionMax="47" xr10:uidLastSave="{00000000-0000-0000-0000-000000000000}"/>
  <bookViews>
    <workbookView xWindow="-120" yWindow="-120" windowWidth="20730" windowHeight="11040" firstSheet="1" activeTab="4" xr2:uid="{00000000-000D-0000-FFFF-FFFF00000000}"/>
  </bookViews>
  <sheets>
    <sheet name="Sheet1" sheetId="4" r:id="rId1"/>
    <sheet name="Sheet2" sheetId="5" r:id="rId2"/>
    <sheet name="Sheet3" sheetId="6" r:id="rId3"/>
    <sheet name="Sheet4" sheetId="7" r:id="rId4"/>
    <sheet name="Sheet5" sheetId="8" r:id="rId5"/>
    <sheet name="Dashboard" sheetId="9" r:id="rId6"/>
    <sheet name="Sales_Data" sheetId="1" r:id="rId7"/>
    <sheet name="Medicine_Master" sheetId="2" r:id="rId8"/>
    <sheet name="Data_Info" sheetId="3" r:id="rId9"/>
  </sheets>
  <definedNames>
    <definedName name="_xlnm._FilterDatabase" localSheetId="6" hidden="1">Sales_Data!$A$1:$J$1966</definedName>
  </definedNames>
  <calcPr calcId="191029"/>
  <pivotCaches>
    <pivotCache cacheId="12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2" i="4"/>
  <c r="M1957" i="1"/>
  <c r="M1958" i="1"/>
  <c r="M1959" i="1"/>
  <c r="M1960" i="1"/>
  <c r="M1961" i="1"/>
  <c r="M1962" i="1"/>
  <c r="M1963" i="1"/>
  <c r="M1964" i="1"/>
  <c r="M1965" i="1"/>
  <c r="M1966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2" i="1"/>
  <c r="L1966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2" i="1"/>
  <c r="K1963" i="1"/>
  <c r="K1964" i="1"/>
  <c r="K1965" i="1"/>
  <c r="K1966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C12" i="5"/>
  <c r="C11" i="5"/>
  <c r="C10" i="5"/>
  <c r="C9" i="5"/>
  <c r="C8" i="5"/>
  <c r="C7" i="5"/>
  <c r="C6" i="5"/>
  <c r="C5" i="5"/>
  <c r="C4" i="5"/>
  <c r="C3" i="5"/>
  <c r="C2" i="5"/>
</calcChain>
</file>

<file path=xl/sharedStrings.xml><?xml version="1.0" encoding="utf-8"?>
<sst xmlns="http://schemas.openxmlformats.org/spreadsheetml/2006/main" count="14018" uniqueCount="2068">
  <si>
    <t>Transaction_ID</t>
  </si>
  <si>
    <t>Date</t>
  </si>
  <si>
    <t>Medicine_Name</t>
  </si>
  <si>
    <t>Composition</t>
  </si>
  <si>
    <t>Category</t>
  </si>
  <si>
    <t>Type</t>
  </si>
  <si>
    <t>Manufacturer</t>
  </si>
  <si>
    <t>Quantity</t>
  </si>
  <si>
    <t>Unit_Price_INR</t>
  </si>
  <si>
    <t>Payment_Mode</t>
  </si>
  <si>
    <t>TXN00001</t>
  </si>
  <si>
    <t>Dolo 650</t>
  </si>
  <si>
    <t>Paracetamol 650mg</t>
  </si>
  <si>
    <t>Analgesic/Antipyretic</t>
  </si>
  <si>
    <t>Branded</t>
  </si>
  <si>
    <t>Micro Labs</t>
  </si>
  <si>
    <t>UPI</t>
  </si>
  <si>
    <t>TXN00002</t>
  </si>
  <si>
    <t>Amlodipine 5mg</t>
  </si>
  <si>
    <t>Antihypertensive</t>
  </si>
  <si>
    <t>Generic</t>
  </si>
  <si>
    <t>Jan Aushadhi</t>
  </si>
  <si>
    <t>Insurance</t>
  </si>
  <si>
    <t>TXN00003</t>
  </si>
  <si>
    <t>Omez 20</t>
  </si>
  <si>
    <t>Omeprazole 20mg</t>
  </si>
  <si>
    <t>Gastrointestinal</t>
  </si>
  <si>
    <t>Dr. Reddy's</t>
  </si>
  <si>
    <t>TXN00004</t>
  </si>
  <si>
    <t>TXN00005</t>
  </si>
  <si>
    <t>Ibuprofen 400mg</t>
  </si>
  <si>
    <t>Cash</t>
  </si>
  <si>
    <t>TXN00006</t>
  </si>
  <si>
    <t>TXN00007</t>
  </si>
  <si>
    <t>Rosuvas 10</t>
  </si>
  <si>
    <t>Rosuvastatin 10mg</t>
  </si>
  <si>
    <t>Cardiac/Lipid</t>
  </si>
  <si>
    <t>Sun Pharma</t>
  </si>
  <si>
    <t>Card</t>
  </si>
  <si>
    <t>TXN00008</t>
  </si>
  <si>
    <t>Telmisartan 40mg</t>
  </si>
  <si>
    <t>TXN00009</t>
  </si>
  <si>
    <t>Becosules</t>
  </si>
  <si>
    <t>Vitamin B-Complex</t>
  </si>
  <si>
    <t>Vitamin/Supplement</t>
  </si>
  <si>
    <t>Pfizer</t>
  </si>
  <si>
    <t>TXN00010</t>
  </si>
  <si>
    <t>TXN00011</t>
  </si>
  <si>
    <t>Azithromycin 500mg</t>
  </si>
  <si>
    <t>Antibiotic</t>
  </si>
  <si>
    <t>TXN00012</t>
  </si>
  <si>
    <t>TXN00013</t>
  </si>
  <si>
    <t>Brufen 400</t>
  </si>
  <si>
    <t>Abbott</t>
  </si>
  <si>
    <t>TXN00014</t>
  </si>
  <si>
    <t>TXN00015</t>
  </si>
  <si>
    <t>TXN00016</t>
  </si>
  <si>
    <t>TXN00017</t>
  </si>
  <si>
    <t>TXN00018</t>
  </si>
  <si>
    <t>TXN00019</t>
  </si>
  <si>
    <t>Okacet 10</t>
  </si>
  <si>
    <t>Cetirizine 10mg</t>
  </si>
  <si>
    <t>Antihistamine</t>
  </si>
  <si>
    <t>Cipla</t>
  </si>
  <si>
    <t>TXN00020</t>
  </si>
  <si>
    <t>TXN00021</t>
  </si>
  <si>
    <t>TXN00022</t>
  </si>
  <si>
    <t>Augmentin 625</t>
  </si>
  <si>
    <t>Amoxicillin+Clavulanate 625mg</t>
  </si>
  <si>
    <t>GSK</t>
  </si>
  <si>
    <t>TXN00023</t>
  </si>
  <si>
    <t>TXN00024</t>
  </si>
  <si>
    <t>Amoxicillin+Clav 625mg</t>
  </si>
  <si>
    <t>TXN00025</t>
  </si>
  <si>
    <t>Glycomet 500</t>
  </si>
  <si>
    <t>Metformin 500mg</t>
  </si>
  <si>
    <t>Antidiabetic</t>
  </si>
  <si>
    <t>USV</t>
  </si>
  <si>
    <t>TXN00026</t>
  </si>
  <si>
    <t>Pan 40</t>
  </si>
  <si>
    <t>Pantoprazole 40mg</t>
  </si>
  <si>
    <t>Alkem</t>
  </si>
  <si>
    <t>TXN00027</t>
  </si>
  <si>
    <t>TXN00028</t>
  </si>
  <si>
    <t>TXN00029</t>
  </si>
  <si>
    <t>TXN00030</t>
  </si>
  <si>
    <t>Azithral 500</t>
  </si>
  <si>
    <t>Alembic</t>
  </si>
  <si>
    <t>TXN00031</t>
  </si>
  <si>
    <t>TXN00032</t>
  </si>
  <si>
    <t>TXN00033</t>
  </si>
  <si>
    <t>TXN00034</t>
  </si>
  <si>
    <t>TXN00035</t>
  </si>
  <si>
    <t>TXN00036</t>
  </si>
  <si>
    <t>TXN00037</t>
  </si>
  <si>
    <t>TXN00038</t>
  </si>
  <si>
    <t>TXN00039</t>
  </si>
  <si>
    <t>Montek LC</t>
  </si>
  <si>
    <t>Montelukast+Levocetirizine</t>
  </si>
  <si>
    <t>Respiratory/Allergy</t>
  </si>
  <si>
    <t>TXN00040</t>
  </si>
  <si>
    <t>Atorva 10</t>
  </si>
  <si>
    <t>Atorvastatin 10mg</t>
  </si>
  <si>
    <t>Zydus</t>
  </si>
  <si>
    <t>TXN00041</t>
  </si>
  <si>
    <t>TXN00042</t>
  </si>
  <si>
    <t>TXN00043</t>
  </si>
  <si>
    <t>TXN00044</t>
  </si>
  <si>
    <t>Voveran 50</t>
  </si>
  <si>
    <t>Diclofenac 50mg</t>
  </si>
  <si>
    <t>Novartis</t>
  </si>
  <si>
    <t>TXN00045</t>
  </si>
  <si>
    <t>TXN00046</t>
  </si>
  <si>
    <t>TXN00047</t>
  </si>
  <si>
    <t>TXN00048</t>
  </si>
  <si>
    <t>TXN00049</t>
  </si>
  <si>
    <t>TXN00050</t>
  </si>
  <si>
    <t>TXN00051</t>
  </si>
  <si>
    <t>TXN00052</t>
  </si>
  <si>
    <t>Amaryl 2</t>
  </si>
  <si>
    <t>Glimepiride 2mg</t>
  </si>
  <si>
    <t>Sanofi</t>
  </si>
  <si>
    <t>TXN00053</t>
  </si>
  <si>
    <t>TXN00054</t>
  </si>
  <si>
    <t>Amlokind-5</t>
  </si>
  <si>
    <t>Mankind</t>
  </si>
  <si>
    <t>TXN00055</t>
  </si>
  <si>
    <t>TXN00056</t>
  </si>
  <si>
    <t>TXN00057</t>
  </si>
  <si>
    <t>TXN00058</t>
  </si>
  <si>
    <t>TXN00059</t>
  </si>
  <si>
    <t>TXN00060</t>
  </si>
  <si>
    <t>TXN00061</t>
  </si>
  <si>
    <t>TXN00062</t>
  </si>
  <si>
    <t>TXN00063</t>
  </si>
  <si>
    <t>TXN00064</t>
  </si>
  <si>
    <t>TXN00065</t>
  </si>
  <si>
    <t>TXN00066</t>
  </si>
  <si>
    <t>TXN00067</t>
  </si>
  <si>
    <t>TXN00068</t>
  </si>
  <si>
    <t>TXN00069</t>
  </si>
  <si>
    <t>TXN00070</t>
  </si>
  <si>
    <t>TXN00071</t>
  </si>
  <si>
    <t>TXN00072</t>
  </si>
  <si>
    <t>TXN00073</t>
  </si>
  <si>
    <t>TXN00074</t>
  </si>
  <si>
    <t>TXN00075</t>
  </si>
  <si>
    <t>TXN00076</t>
  </si>
  <si>
    <t>TXN00077</t>
  </si>
  <si>
    <t>TXN00078</t>
  </si>
  <si>
    <t>TXN00079</t>
  </si>
  <si>
    <t>TXN00080</t>
  </si>
  <si>
    <t>TXN00081</t>
  </si>
  <si>
    <t>TXN00082</t>
  </si>
  <si>
    <t>TXN00083</t>
  </si>
  <si>
    <t>TXN00084</t>
  </si>
  <si>
    <t>TXN00085</t>
  </si>
  <si>
    <t>TXN00086</t>
  </si>
  <si>
    <t>TXN00087</t>
  </si>
  <si>
    <t>TXN00088</t>
  </si>
  <si>
    <t>TXN00089</t>
  </si>
  <si>
    <t>TXN00090</t>
  </si>
  <si>
    <t>TXN00091</t>
  </si>
  <si>
    <t>TXN00092</t>
  </si>
  <si>
    <t>TXN00093</t>
  </si>
  <si>
    <t>TXN00094</t>
  </si>
  <si>
    <t>TXN00095</t>
  </si>
  <si>
    <t>TXN00096</t>
  </si>
  <si>
    <t>TXN00097</t>
  </si>
  <si>
    <t>TXN00098</t>
  </si>
  <si>
    <t>TXN00099</t>
  </si>
  <si>
    <t>TXN00100</t>
  </si>
  <si>
    <t>TXN00101</t>
  </si>
  <si>
    <t>TXN00102</t>
  </si>
  <si>
    <t>TXN00103</t>
  </si>
  <si>
    <t>TXN00104</t>
  </si>
  <si>
    <t>TXN00105</t>
  </si>
  <si>
    <t>TXN00106</t>
  </si>
  <si>
    <t>TXN00107</t>
  </si>
  <si>
    <t>TXN00108</t>
  </si>
  <si>
    <t>TXN00109</t>
  </si>
  <si>
    <t>TXN00110</t>
  </si>
  <si>
    <t>TXN00111</t>
  </si>
  <si>
    <t>TXN00112</t>
  </si>
  <si>
    <t>TXN00113</t>
  </si>
  <si>
    <t>TXN00114</t>
  </si>
  <si>
    <t>TXN00115</t>
  </si>
  <si>
    <t>TXN00116</t>
  </si>
  <si>
    <t>TXN00117</t>
  </si>
  <si>
    <t>TXN00118</t>
  </si>
  <si>
    <t>Telma 40</t>
  </si>
  <si>
    <t>Glenmark</t>
  </si>
  <si>
    <t>TXN00119</t>
  </si>
  <si>
    <t>TXN00120</t>
  </si>
  <si>
    <t>Montelukast+Levocet</t>
  </si>
  <si>
    <t>TXN00121</t>
  </si>
  <si>
    <t>TXN00122</t>
  </si>
  <si>
    <t>TXN00123</t>
  </si>
  <si>
    <t>TXN00124</t>
  </si>
  <si>
    <t>TXN00125</t>
  </si>
  <si>
    <t>TXN00126</t>
  </si>
  <si>
    <t>TXN00127</t>
  </si>
  <si>
    <t>TXN00128</t>
  </si>
  <si>
    <t>TXN00129</t>
  </si>
  <si>
    <t>TXN00130</t>
  </si>
  <si>
    <t>TXN00131</t>
  </si>
  <si>
    <t>TXN00132</t>
  </si>
  <si>
    <t>TXN00133</t>
  </si>
  <si>
    <t>TXN00134</t>
  </si>
  <si>
    <t>TXN00135</t>
  </si>
  <si>
    <t>TXN00136</t>
  </si>
  <si>
    <t>TXN00137</t>
  </si>
  <si>
    <t>TXN00138</t>
  </si>
  <si>
    <t>TXN00139</t>
  </si>
  <si>
    <t>TXN00140</t>
  </si>
  <si>
    <t>TXN00141</t>
  </si>
  <si>
    <t>TXN00142</t>
  </si>
  <si>
    <t>TXN00143</t>
  </si>
  <si>
    <t>TXN00144</t>
  </si>
  <si>
    <t>TXN00145</t>
  </si>
  <si>
    <t>TXN00146</t>
  </si>
  <si>
    <t>TXN00147</t>
  </si>
  <si>
    <t>TXN00148</t>
  </si>
  <si>
    <t>TXN00149</t>
  </si>
  <si>
    <t>TXN00150</t>
  </si>
  <si>
    <t>TXN00151</t>
  </si>
  <si>
    <t>TXN00152</t>
  </si>
  <si>
    <t>TXN00153</t>
  </si>
  <si>
    <t>TXN00154</t>
  </si>
  <si>
    <t>TXN00155</t>
  </si>
  <si>
    <t>TXN00156</t>
  </si>
  <si>
    <t>TXN00157</t>
  </si>
  <si>
    <t>TXN00158</t>
  </si>
  <si>
    <t>TXN00159</t>
  </si>
  <si>
    <t>TXN00160</t>
  </si>
  <si>
    <t>TXN00161</t>
  </si>
  <si>
    <t>TXN00162</t>
  </si>
  <si>
    <t>TXN00163</t>
  </si>
  <si>
    <t>TXN00164</t>
  </si>
  <si>
    <t>TXN00165</t>
  </si>
  <si>
    <t>TXN00166</t>
  </si>
  <si>
    <t>TXN00167</t>
  </si>
  <si>
    <t>TXN00168</t>
  </si>
  <si>
    <t>TXN00169</t>
  </si>
  <si>
    <t>TXN00170</t>
  </si>
  <si>
    <t>TXN00171</t>
  </si>
  <si>
    <t>TXN00172</t>
  </si>
  <si>
    <t>TXN00173</t>
  </si>
  <si>
    <t>TXN00174</t>
  </si>
  <si>
    <t>TXN00175</t>
  </si>
  <si>
    <t>TXN00176</t>
  </si>
  <si>
    <t>TXN00177</t>
  </si>
  <si>
    <t>TXN00178</t>
  </si>
  <si>
    <t>TXN00179</t>
  </si>
  <si>
    <t>TXN00180</t>
  </si>
  <si>
    <t>TXN00181</t>
  </si>
  <si>
    <t>TXN00182</t>
  </si>
  <si>
    <t>TXN00183</t>
  </si>
  <si>
    <t>TXN00184</t>
  </si>
  <si>
    <t>TXN00185</t>
  </si>
  <si>
    <t>TXN00186</t>
  </si>
  <si>
    <t>TXN00187</t>
  </si>
  <si>
    <t>TXN00188</t>
  </si>
  <si>
    <t>TXN00189</t>
  </si>
  <si>
    <t>TXN00190</t>
  </si>
  <si>
    <t>TXN00191</t>
  </si>
  <si>
    <t>TXN00192</t>
  </si>
  <si>
    <t>TXN00193</t>
  </si>
  <si>
    <t>TXN00194</t>
  </si>
  <si>
    <t>TXN00195</t>
  </si>
  <si>
    <t>TXN00196</t>
  </si>
  <si>
    <t>TXN00197</t>
  </si>
  <si>
    <t>TXN00198</t>
  </si>
  <si>
    <t>TXN00199</t>
  </si>
  <si>
    <t>TXN00200</t>
  </si>
  <si>
    <t>TXN00201</t>
  </si>
  <si>
    <t>TXN00202</t>
  </si>
  <si>
    <t>TXN00203</t>
  </si>
  <si>
    <t>TXN00204</t>
  </si>
  <si>
    <t>TXN00205</t>
  </si>
  <si>
    <t>TXN00206</t>
  </si>
  <si>
    <t>TXN00207</t>
  </si>
  <si>
    <t>TXN00208</t>
  </si>
  <si>
    <t>TXN00209</t>
  </si>
  <si>
    <t>TXN00210</t>
  </si>
  <si>
    <t>TXN00211</t>
  </si>
  <si>
    <t>TXN00212</t>
  </si>
  <si>
    <t>TXN00213</t>
  </si>
  <si>
    <t>TXN00214</t>
  </si>
  <si>
    <t>TXN00215</t>
  </si>
  <si>
    <t>TXN00216</t>
  </si>
  <si>
    <t>TXN00217</t>
  </si>
  <si>
    <t>TXN00218</t>
  </si>
  <si>
    <t>TXN00219</t>
  </si>
  <si>
    <t>TXN00220</t>
  </si>
  <si>
    <t>TXN00221</t>
  </si>
  <si>
    <t>TXN00222</t>
  </si>
  <si>
    <t>TXN00223</t>
  </si>
  <si>
    <t>TXN00224</t>
  </si>
  <si>
    <t>TXN00225</t>
  </si>
  <si>
    <t>TXN00226</t>
  </si>
  <si>
    <t>TXN00227</t>
  </si>
  <si>
    <t>TXN00228</t>
  </si>
  <si>
    <t>TXN00229</t>
  </si>
  <si>
    <t>TXN00230</t>
  </si>
  <si>
    <t>TXN00231</t>
  </si>
  <si>
    <t>TXN00232</t>
  </si>
  <si>
    <t>TXN00233</t>
  </si>
  <si>
    <t>TXN00234</t>
  </si>
  <si>
    <t>TXN00235</t>
  </si>
  <si>
    <t>TXN00236</t>
  </si>
  <si>
    <t>TXN00237</t>
  </si>
  <si>
    <t>TXN00238</t>
  </si>
  <si>
    <t>TXN00239</t>
  </si>
  <si>
    <t>TXN00240</t>
  </si>
  <si>
    <t>TXN00241</t>
  </si>
  <si>
    <t>TXN00242</t>
  </si>
  <si>
    <t>TXN00243</t>
  </si>
  <si>
    <t>TXN00244</t>
  </si>
  <si>
    <t>TXN00245</t>
  </si>
  <si>
    <t>TXN00246</t>
  </si>
  <si>
    <t>TXN00247</t>
  </si>
  <si>
    <t>TXN00248</t>
  </si>
  <si>
    <t>TXN00249</t>
  </si>
  <si>
    <t>TXN00250</t>
  </si>
  <si>
    <t>TXN00251</t>
  </si>
  <si>
    <t>TXN00252</t>
  </si>
  <si>
    <t>TXN00253</t>
  </si>
  <si>
    <t>TXN00254</t>
  </si>
  <si>
    <t>TXN00255</t>
  </si>
  <si>
    <t>TXN00256</t>
  </si>
  <si>
    <t>TXN00257</t>
  </si>
  <si>
    <t>TXN00258</t>
  </si>
  <si>
    <t>TXN00259</t>
  </si>
  <si>
    <t>TXN00260</t>
  </si>
  <si>
    <t>TXN00261</t>
  </si>
  <si>
    <t>TXN00262</t>
  </si>
  <si>
    <t>TXN00263</t>
  </si>
  <si>
    <t>TXN00264</t>
  </si>
  <si>
    <t>TXN00265</t>
  </si>
  <si>
    <t>TXN00266</t>
  </si>
  <si>
    <t>TXN00267</t>
  </si>
  <si>
    <t>TXN00268</t>
  </si>
  <si>
    <t>TXN00269</t>
  </si>
  <si>
    <t>TXN00270</t>
  </si>
  <si>
    <t>TXN00271</t>
  </si>
  <si>
    <t>TXN00272</t>
  </si>
  <si>
    <t>TXN00273</t>
  </si>
  <si>
    <t>TXN00274</t>
  </si>
  <si>
    <t>TXN00275</t>
  </si>
  <si>
    <t>TXN00276</t>
  </si>
  <si>
    <t>TXN00277</t>
  </si>
  <si>
    <t>TXN00278</t>
  </si>
  <si>
    <t>TXN00279</t>
  </si>
  <si>
    <t>TXN00280</t>
  </si>
  <si>
    <t>TXN00281</t>
  </si>
  <si>
    <t>TXN00282</t>
  </si>
  <si>
    <t>TXN00283</t>
  </si>
  <si>
    <t>TXN00284</t>
  </si>
  <si>
    <t>TXN00285</t>
  </si>
  <si>
    <t>TXN00286</t>
  </si>
  <si>
    <t>TXN00287</t>
  </si>
  <si>
    <t>TXN00288</t>
  </si>
  <si>
    <t>TXN00289</t>
  </si>
  <si>
    <t>TXN00290</t>
  </si>
  <si>
    <t>TXN00291</t>
  </si>
  <si>
    <t>TXN00292</t>
  </si>
  <si>
    <t>TXN00293</t>
  </si>
  <si>
    <t>TXN00294</t>
  </si>
  <si>
    <t>TXN00295</t>
  </si>
  <si>
    <t>TXN00296</t>
  </si>
  <si>
    <t>TXN00297</t>
  </si>
  <si>
    <t>TXN00298</t>
  </si>
  <si>
    <t>TXN00299</t>
  </si>
  <si>
    <t>TXN00300</t>
  </si>
  <si>
    <t>TXN00301</t>
  </si>
  <si>
    <t>TXN00302</t>
  </si>
  <si>
    <t>TXN00303</t>
  </si>
  <si>
    <t>TXN00304</t>
  </si>
  <si>
    <t>TXN00305</t>
  </si>
  <si>
    <t>TXN00306</t>
  </si>
  <si>
    <t>TXN00307</t>
  </si>
  <si>
    <t>TXN00308</t>
  </si>
  <si>
    <t>TXN00309</t>
  </si>
  <si>
    <t>TXN00310</t>
  </si>
  <si>
    <t>TXN00311</t>
  </si>
  <si>
    <t>TXN00312</t>
  </si>
  <si>
    <t>TXN00313</t>
  </si>
  <si>
    <t>TXN00314</t>
  </si>
  <si>
    <t>TXN00315</t>
  </si>
  <si>
    <t>TXN00316</t>
  </si>
  <si>
    <t>TXN00317</t>
  </si>
  <si>
    <t>TXN00318</t>
  </si>
  <si>
    <t>TXN00319</t>
  </si>
  <si>
    <t>TXN00320</t>
  </si>
  <si>
    <t>TXN00321</t>
  </si>
  <si>
    <t>TXN00322</t>
  </si>
  <si>
    <t>TXN00323</t>
  </si>
  <si>
    <t>TXN00324</t>
  </si>
  <si>
    <t>TXN00325</t>
  </si>
  <si>
    <t>TXN00326</t>
  </si>
  <si>
    <t>TXN00327</t>
  </si>
  <si>
    <t>TXN00328</t>
  </si>
  <si>
    <t>TXN00329</t>
  </si>
  <si>
    <t>TXN00330</t>
  </si>
  <si>
    <t>TXN00331</t>
  </si>
  <si>
    <t>TXN00332</t>
  </si>
  <si>
    <t>TXN00333</t>
  </si>
  <si>
    <t>TXN00334</t>
  </si>
  <si>
    <t>TXN00335</t>
  </si>
  <si>
    <t>TXN00336</t>
  </si>
  <si>
    <t>TXN00337</t>
  </si>
  <si>
    <t>TXN00338</t>
  </si>
  <si>
    <t>TXN00339</t>
  </si>
  <si>
    <t>TXN00340</t>
  </si>
  <si>
    <t>TXN00341</t>
  </si>
  <si>
    <t>TXN00342</t>
  </si>
  <si>
    <t>TXN00343</t>
  </si>
  <si>
    <t>TXN00344</t>
  </si>
  <si>
    <t>TXN00345</t>
  </si>
  <si>
    <t>TXN00346</t>
  </si>
  <si>
    <t>TXN00347</t>
  </si>
  <si>
    <t>TXN00348</t>
  </si>
  <si>
    <t>TXN00349</t>
  </si>
  <si>
    <t>TXN00350</t>
  </si>
  <si>
    <t>TXN00351</t>
  </si>
  <si>
    <t>TXN00352</t>
  </si>
  <si>
    <t>TXN00353</t>
  </si>
  <si>
    <t>TXN00354</t>
  </si>
  <si>
    <t>TXN00355</t>
  </si>
  <si>
    <t>TXN00356</t>
  </si>
  <si>
    <t>TXN00357</t>
  </si>
  <si>
    <t>TXN00358</t>
  </si>
  <si>
    <t>TXN00359</t>
  </si>
  <si>
    <t>TXN00360</t>
  </si>
  <si>
    <t>TXN00361</t>
  </si>
  <si>
    <t>TXN00362</t>
  </si>
  <si>
    <t>TXN00363</t>
  </si>
  <si>
    <t>TXN00364</t>
  </si>
  <si>
    <t>TXN00365</t>
  </si>
  <si>
    <t>TXN00366</t>
  </si>
  <si>
    <t>TXN00367</t>
  </si>
  <si>
    <t>TXN00368</t>
  </si>
  <si>
    <t>TXN00369</t>
  </si>
  <si>
    <t>TXN00370</t>
  </si>
  <si>
    <t>TXN00371</t>
  </si>
  <si>
    <t>TXN00372</t>
  </si>
  <si>
    <t>TXN00373</t>
  </si>
  <si>
    <t>TXN00374</t>
  </si>
  <si>
    <t>TXN00375</t>
  </si>
  <si>
    <t>TXN00376</t>
  </si>
  <si>
    <t>TXN00377</t>
  </si>
  <si>
    <t>TXN00378</t>
  </si>
  <si>
    <t>TXN00379</t>
  </si>
  <si>
    <t>TXN00380</t>
  </si>
  <si>
    <t>TXN00381</t>
  </si>
  <si>
    <t>TXN00382</t>
  </si>
  <si>
    <t>TXN00383</t>
  </si>
  <si>
    <t>TXN00384</t>
  </si>
  <si>
    <t>TXN00385</t>
  </si>
  <si>
    <t>TXN00386</t>
  </si>
  <si>
    <t>TXN00387</t>
  </si>
  <si>
    <t>TXN00388</t>
  </si>
  <si>
    <t>TXN00389</t>
  </si>
  <si>
    <t>TXN00390</t>
  </si>
  <si>
    <t>TXN00391</t>
  </si>
  <si>
    <t>TXN00392</t>
  </si>
  <si>
    <t>TXN00393</t>
  </si>
  <si>
    <t>TXN00394</t>
  </si>
  <si>
    <t>TXN00395</t>
  </si>
  <si>
    <t>TXN00396</t>
  </si>
  <si>
    <t>TXN00397</t>
  </si>
  <si>
    <t>TXN00398</t>
  </si>
  <si>
    <t>TXN00399</t>
  </si>
  <si>
    <t>TXN00400</t>
  </si>
  <si>
    <t>TXN00401</t>
  </si>
  <si>
    <t>TXN00402</t>
  </si>
  <si>
    <t>TXN00403</t>
  </si>
  <si>
    <t>TXN00404</t>
  </si>
  <si>
    <t>TXN00405</t>
  </si>
  <si>
    <t>TXN00406</t>
  </si>
  <si>
    <t>TXN00407</t>
  </si>
  <si>
    <t>TXN00408</t>
  </si>
  <si>
    <t>TXN00409</t>
  </si>
  <si>
    <t>TXN00410</t>
  </si>
  <si>
    <t>TXN00411</t>
  </si>
  <si>
    <t>TXN00412</t>
  </si>
  <si>
    <t>TXN00413</t>
  </si>
  <si>
    <t>TXN00414</t>
  </si>
  <si>
    <t>TXN00415</t>
  </si>
  <si>
    <t>TXN00416</t>
  </si>
  <si>
    <t>TXN00417</t>
  </si>
  <si>
    <t>TXN00418</t>
  </si>
  <si>
    <t>TXN00419</t>
  </si>
  <si>
    <t>TXN00420</t>
  </si>
  <si>
    <t>TXN00421</t>
  </si>
  <si>
    <t>TXN00422</t>
  </si>
  <si>
    <t>TXN00423</t>
  </si>
  <si>
    <t>TXN00424</t>
  </si>
  <si>
    <t>TXN00425</t>
  </si>
  <si>
    <t>TXN00426</t>
  </si>
  <si>
    <t>TXN00427</t>
  </si>
  <si>
    <t>TXN00428</t>
  </si>
  <si>
    <t>TXN00429</t>
  </si>
  <si>
    <t>TXN00430</t>
  </si>
  <si>
    <t>TXN00431</t>
  </si>
  <si>
    <t>TXN00432</t>
  </si>
  <si>
    <t>TXN00433</t>
  </si>
  <si>
    <t>TXN00434</t>
  </si>
  <si>
    <t>TXN00435</t>
  </si>
  <si>
    <t>TXN00436</t>
  </si>
  <si>
    <t>TXN00437</t>
  </si>
  <si>
    <t>TXN00438</t>
  </si>
  <si>
    <t>TXN00439</t>
  </si>
  <si>
    <t>TXN00440</t>
  </si>
  <si>
    <t>TXN00441</t>
  </si>
  <si>
    <t>TXN00442</t>
  </si>
  <si>
    <t>TXN00443</t>
  </si>
  <si>
    <t>TXN00444</t>
  </si>
  <si>
    <t>TXN00445</t>
  </si>
  <si>
    <t>TXN00446</t>
  </si>
  <si>
    <t>TXN00447</t>
  </si>
  <si>
    <t>TXN00448</t>
  </si>
  <si>
    <t>TXN00449</t>
  </si>
  <si>
    <t>TXN00450</t>
  </si>
  <si>
    <t>TXN00451</t>
  </si>
  <si>
    <t>TXN00452</t>
  </si>
  <si>
    <t>TXN00453</t>
  </si>
  <si>
    <t>TXN00454</t>
  </si>
  <si>
    <t>TXN00455</t>
  </si>
  <si>
    <t>TXN00456</t>
  </si>
  <si>
    <t>TXN00457</t>
  </si>
  <si>
    <t>TXN00458</t>
  </si>
  <si>
    <t>TXN00459</t>
  </si>
  <si>
    <t>TXN00460</t>
  </si>
  <si>
    <t>TXN00461</t>
  </si>
  <si>
    <t>TXN00462</t>
  </si>
  <si>
    <t>TXN00463</t>
  </si>
  <si>
    <t>TXN00464</t>
  </si>
  <si>
    <t>TXN00465</t>
  </si>
  <si>
    <t>TXN00466</t>
  </si>
  <si>
    <t>TXN00467</t>
  </si>
  <si>
    <t>TXN00468</t>
  </si>
  <si>
    <t>TXN00469</t>
  </si>
  <si>
    <t>TXN00470</t>
  </si>
  <si>
    <t>TXN00471</t>
  </si>
  <si>
    <t>TXN00472</t>
  </si>
  <si>
    <t>TXN00473</t>
  </si>
  <si>
    <t>TXN00474</t>
  </si>
  <si>
    <t>TXN00475</t>
  </si>
  <si>
    <t>TXN00476</t>
  </si>
  <si>
    <t>TXN00477</t>
  </si>
  <si>
    <t>TXN00478</t>
  </si>
  <si>
    <t>TXN00479</t>
  </si>
  <si>
    <t>TXN00480</t>
  </si>
  <si>
    <t>TXN00481</t>
  </si>
  <si>
    <t>TXN00482</t>
  </si>
  <si>
    <t>TXN00483</t>
  </si>
  <si>
    <t>TXN00484</t>
  </si>
  <si>
    <t>TXN00485</t>
  </si>
  <si>
    <t>TXN00486</t>
  </si>
  <si>
    <t>TXN00487</t>
  </si>
  <si>
    <t>TXN00488</t>
  </si>
  <si>
    <t>TXN00489</t>
  </si>
  <si>
    <t>TXN00490</t>
  </si>
  <si>
    <t>TXN00491</t>
  </si>
  <si>
    <t>TXN00492</t>
  </si>
  <si>
    <t>TXN00493</t>
  </si>
  <si>
    <t>TXN00494</t>
  </si>
  <si>
    <t>TXN00495</t>
  </si>
  <si>
    <t>TXN00496</t>
  </si>
  <si>
    <t>TXN00497</t>
  </si>
  <si>
    <t>TXN00498</t>
  </si>
  <si>
    <t>TXN00499</t>
  </si>
  <si>
    <t>TXN00500</t>
  </si>
  <si>
    <t>TXN00501</t>
  </si>
  <si>
    <t>TXN00502</t>
  </si>
  <si>
    <t>TXN00503</t>
  </si>
  <si>
    <t>TXN00504</t>
  </si>
  <si>
    <t>TXN00505</t>
  </si>
  <si>
    <t>TXN00506</t>
  </si>
  <si>
    <t>TXN00507</t>
  </si>
  <si>
    <t>TXN00508</t>
  </si>
  <si>
    <t>TXN00509</t>
  </si>
  <si>
    <t>TXN00510</t>
  </si>
  <si>
    <t>TXN00511</t>
  </si>
  <si>
    <t>TXN00512</t>
  </si>
  <si>
    <t>TXN00513</t>
  </si>
  <si>
    <t>TXN00514</t>
  </si>
  <si>
    <t>TXN00515</t>
  </si>
  <si>
    <t>TXN00516</t>
  </si>
  <si>
    <t>TXN00517</t>
  </si>
  <si>
    <t>TXN00518</t>
  </si>
  <si>
    <t>TXN00519</t>
  </si>
  <si>
    <t>TXN00520</t>
  </si>
  <si>
    <t>TXN00521</t>
  </si>
  <si>
    <t>TXN00522</t>
  </si>
  <si>
    <t>TXN00523</t>
  </si>
  <si>
    <t>TXN00524</t>
  </si>
  <si>
    <t>TXN00525</t>
  </si>
  <si>
    <t>TXN00526</t>
  </si>
  <si>
    <t>TXN00527</t>
  </si>
  <si>
    <t>TXN00528</t>
  </si>
  <si>
    <t>TXN00529</t>
  </si>
  <si>
    <t>TXN00530</t>
  </si>
  <si>
    <t>TXN00531</t>
  </si>
  <si>
    <t>TXN00532</t>
  </si>
  <si>
    <t>TXN00533</t>
  </si>
  <si>
    <t>TXN00534</t>
  </si>
  <si>
    <t>TXN00535</t>
  </si>
  <si>
    <t>TXN00536</t>
  </si>
  <si>
    <t>TXN00537</t>
  </si>
  <si>
    <t>TXN00538</t>
  </si>
  <si>
    <t>TXN00539</t>
  </si>
  <si>
    <t>TXN00540</t>
  </si>
  <si>
    <t>TXN00541</t>
  </si>
  <si>
    <t>TXN00542</t>
  </si>
  <si>
    <t>TXN00543</t>
  </si>
  <si>
    <t>TXN00544</t>
  </si>
  <si>
    <t>TXN00545</t>
  </si>
  <si>
    <t>TXN00546</t>
  </si>
  <si>
    <t>TXN00547</t>
  </si>
  <si>
    <t>TXN00548</t>
  </si>
  <si>
    <t>TXN00549</t>
  </si>
  <si>
    <t>TXN00550</t>
  </si>
  <si>
    <t>TXN00551</t>
  </si>
  <si>
    <t>TXN00552</t>
  </si>
  <si>
    <t>TXN00553</t>
  </si>
  <si>
    <t>TXN00554</t>
  </si>
  <si>
    <t>TXN00555</t>
  </si>
  <si>
    <t>TXN00556</t>
  </si>
  <si>
    <t>TXN00557</t>
  </si>
  <si>
    <t>TXN00558</t>
  </si>
  <si>
    <t>TXN00559</t>
  </si>
  <si>
    <t>TXN00560</t>
  </si>
  <si>
    <t>TXN00561</t>
  </si>
  <si>
    <t>TXN00562</t>
  </si>
  <si>
    <t>TXN00563</t>
  </si>
  <si>
    <t>TXN00564</t>
  </si>
  <si>
    <t>TXN00565</t>
  </si>
  <si>
    <t>TXN00566</t>
  </si>
  <si>
    <t>TXN00567</t>
  </si>
  <si>
    <t>TXN00568</t>
  </si>
  <si>
    <t>TXN00569</t>
  </si>
  <si>
    <t>TXN00570</t>
  </si>
  <si>
    <t>TXN00571</t>
  </si>
  <si>
    <t>TXN00572</t>
  </si>
  <si>
    <t>TXN00573</t>
  </si>
  <si>
    <t>TXN00574</t>
  </si>
  <si>
    <t>TXN00575</t>
  </si>
  <si>
    <t>TXN00576</t>
  </si>
  <si>
    <t>TXN00577</t>
  </si>
  <si>
    <t>TXN00578</t>
  </si>
  <si>
    <t>TXN00579</t>
  </si>
  <si>
    <t>TXN00580</t>
  </si>
  <si>
    <t>TXN00581</t>
  </si>
  <si>
    <t>TXN00582</t>
  </si>
  <si>
    <t>TXN00583</t>
  </si>
  <si>
    <t>TXN00584</t>
  </si>
  <si>
    <t>TXN00585</t>
  </si>
  <si>
    <t>TXN00586</t>
  </si>
  <si>
    <t>TXN00587</t>
  </si>
  <si>
    <t>TXN00588</t>
  </si>
  <si>
    <t>TXN00589</t>
  </si>
  <si>
    <t>TXN00590</t>
  </si>
  <si>
    <t>TXN00591</t>
  </si>
  <si>
    <t>TXN00592</t>
  </si>
  <si>
    <t>TXN00593</t>
  </si>
  <si>
    <t>TXN00594</t>
  </si>
  <si>
    <t>TXN00595</t>
  </si>
  <si>
    <t>TXN00596</t>
  </si>
  <si>
    <t>TXN00597</t>
  </si>
  <si>
    <t>TXN00598</t>
  </si>
  <si>
    <t>TXN00599</t>
  </si>
  <si>
    <t>TXN00600</t>
  </si>
  <si>
    <t>TXN00601</t>
  </si>
  <si>
    <t>TXN00602</t>
  </si>
  <si>
    <t>TXN00603</t>
  </si>
  <si>
    <t>TXN00604</t>
  </si>
  <si>
    <t>TXN00605</t>
  </si>
  <si>
    <t>TXN00606</t>
  </si>
  <si>
    <t>TXN00607</t>
  </si>
  <si>
    <t>TXN00608</t>
  </si>
  <si>
    <t>TXN00609</t>
  </si>
  <si>
    <t>TXN00610</t>
  </si>
  <si>
    <t>TXN00611</t>
  </si>
  <si>
    <t>TXN00612</t>
  </si>
  <si>
    <t>TXN00613</t>
  </si>
  <si>
    <t>TXN00614</t>
  </si>
  <si>
    <t>TXN00615</t>
  </si>
  <si>
    <t>TXN00616</t>
  </si>
  <si>
    <t>TXN00617</t>
  </si>
  <si>
    <t>TXN00618</t>
  </si>
  <si>
    <t>TXN00619</t>
  </si>
  <si>
    <t>TXN00620</t>
  </si>
  <si>
    <t>TXN00621</t>
  </si>
  <si>
    <t>TXN00622</t>
  </si>
  <si>
    <t>TXN00623</t>
  </si>
  <si>
    <t>TXN00624</t>
  </si>
  <si>
    <t>TXN00625</t>
  </si>
  <si>
    <t>TXN00626</t>
  </si>
  <si>
    <t>TXN00627</t>
  </si>
  <si>
    <t>TXN00628</t>
  </si>
  <si>
    <t>TXN00629</t>
  </si>
  <si>
    <t>TXN00630</t>
  </si>
  <si>
    <t>TXN00631</t>
  </si>
  <si>
    <t>TXN00632</t>
  </si>
  <si>
    <t>TXN00633</t>
  </si>
  <si>
    <t>TXN00634</t>
  </si>
  <si>
    <t>TXN00635</t>
  </si>
  <si>
    <t>TXN00636</t>
  </si>
  <si>
    <t>TXN00637</t>
  </si>
  <si>
    <t>TXN00638</t>
  </si>
  <si>
    <t>TXN00639</t>
  </si>
  <si>
    <t>TXN00640</t>
  </si>
  <si>
    <t>TXN00641</t>
  </si>
  <si>
    <t>TXN00642</t>
  </si>
  <si>
    <t>TXN00643</t>
  </si>
  <si>
    <t>TXN00644</t>
  </si>
  <si>
    <t>TXN00645</t>
  </si>
  <si>
    <t>TXN00646</t>
  </si>
  <si>
    <t>TXN00647</t>
  </si>
  <si>
    <t>TXN00648</t>
  </si>
  <si>
    <t>TXN00649</t>
  </si>
  <si>
    <t>TXN00650</t>
  </si>
  <si>
    <t>TXN00651</t>
  </si>
  <si>
    <t>TXN00652</t>
  </si>
  <si>
    <t>TXN00653</t>
  </si>
  <si>
    <t>TXN00654</t>
  </si>
  <si>
    <t>TXN00655</t>
  </si>
  <si>
    <t>TXN00656</t>
  </si>
  <si>
    <t>TXN00657</t>
  </si>
  <si>
    <t>TXN00658</t>
  </si>
  <si>
    <t>TXN00659</t>
  </si>
  <si>
    <t>TXN00660</t>
  </si>
  <si>
    <t>TXN00661</t>
  </si>
  <si>
    <t>TXN00662</t>
  </si>
  <si>
    <t>TXN00663</t>
  </si>
  <si>
    <t>TXN00664</t>
  </si>
  <si>
    <t>TXN00665</t>
  </si>
  <si>
    <t>TXN00666</t>
  </si>
  <si>
    <t>TXN00667</t>
  </si>
  <si>
    <t>TXN00668</t>
  </si>
  <si>
    <t>TXN00669</t>
  </si>
  <si>
    <t>TXN00670</t>
  </si>
  <si>
    <t>TXN00671</t>
  </si>
  <si>
    <t>TXN00672</t>
  </si>
  <si>
    <t>TXN00673</t>
  </si>
  <si>
    <t>TXN00674</t>
  </si>
  <si>
    <t>TXN00675</t>
  </si>
  <si>
    <t>TXN00676</t>
  </si>
  <si>
    <t>TXN00677</t>
  </si>
  <si>
    <t>TXN00678</t>
  </si>
  <si>
    <t>TXN00679</t>
  </si>
  <si>
    <t>TXN00680</t>
  </si>
  <si>
    <t>TXN00681</t>
  </si>
  <si>
    <t>TXN00682</t>
  </si>
  <si>
    <t>TXN00683</t>
  </si>
  <si>
    <t>TXN00684</t>
  </si>
  <si>
    <t>TXN00685</t>
  </si>
  <si>
    <t>TXN00686</t>
  </si>
  <si>
    <t>TXN00687</t>
  </si>
  <si>
    <t>TXN00688</t>
  </si>
  <si>
    <t>TXN00689</t>
  </si>
  <si>
    <t>TXN00690</t>
  </si>
  <si>
    <t>TXN00691</t>
  </si>
  <si>
    <t>TXN00692</t>
  </si>
  <si>
    <t>TXN00693</t>
  </si>
  <si>
    <t>TXN00694</t>
  </si>
  <si>
    <t>TXN00695</t>
  </si>
  <si>
    <t>TXN00696</t>
  </si>
  <si>
    <t>TXN00697</t>
  </si>
  <si>
    <t>TXN00698</t>
  </si>
  <si>
    <t>TXN00699</t>
  </si>
  <si>
    <t>TXN00700</t>
  </si>
  <si>
    <t>TXN00701</t>
  </si>
  <si>
    <t>TXN00702</t>
  </si>
  <si>
    <t>TXN00703</t>
  </si>
  <si>
    <t>TXN00704</t>
  </si>
  <si>
    <t>TXN00705</t>
  </si>
  <si>
    <t>TXN00706</t>
  </si>
  <si>
    <t>TXN00707</t>
  </si>
  <si>
    <t>TXN00708</t>
  </si>
  <si>
    <t>TXN00709</t>
  </si>
  <si>
    <t>TXN00710</t>
  </si>
  <si>
    <t>TXN00711</t>
  </si>
  <si>
    <t>TXN00712</t>
  </si>
  <si>
    <t>TXN00713</t>
  </si>
  <si>
    <t>TXN00714</t>
  </si>
  <si>
    <t>TXN00715</t>
  </si>
  <si>
    <t>TXN00716</t>
  </si>
  <si>
    <t>TXN00717</t>
  </si>
  <si>
    <t>TXN00718</t>
  </si>
  <si>
    <t>TXN00719</t>
  </si>
  <si>
    <t>TXN00720</t>
  </si>
  <si>
    <t>TXN00721</t>
  </si>
  <si>
    <t>TXN00722</t>
  </si>
  <si>
    <t>TXN00723</t>
  </si>
  <si>
    <t>TXN00724</t>
  </si>
  <si>
    <t>TXN00725</t>
  </si>
  <si>
    <t>TXN00726</t>
  </si>
  <si>
    <t>TXN00727</t>
  </si>
  <si>
    <t>TXN00728</t>
  </si>
  <si>
    <t>TXN00729</t>
  </si>
  <si>
    <t>TXN00730</t>
  </si>
  <si>
    <t>TXN00731</t>
  </si>
  <si>
    <t>TXN00732</t>
  </si>
  <si>
    <t>TXN00733</t>
  </si>
  <si>
    <t>TXN00734</t>
  </si>
  <si>
    <t>TXN00735</t>
  </si>
  <si>
    <t>TXN00736</t>
  </si>
  <si>
    <t>TXN00737</t>
  </si>
  <si>
    <t>TXN00738</t>
  </si>
  <si>
    <t>TXN00739</t>
  </si>
  <si>
    <t>TXN00740</t>
  </si>
  <si>
    <t>TXN00741</t>
  </si>
  <si>
    <t>TXN00742</t>
  </si>
  <si>
    <t>TXN00743</t>
  </si>
  <si>
    <t>TXN00744</t>
  </si>
  <si>
    <t>TXN00745</t>
  </si>
  <si>
    <t>TXN00746</t>
  </si>
  <si>
    <t>TXN00747</t>
  </si>
  <si>
    <t>TXN00748</t>
  </si>
  <si>
    <t>TXN00749</t>
  </si>
  <si>
    <t>TXN00750</t>
  </si>
  <si>
    <t>TXN00751</t>
  </si>
  <si>
    <t>TXN00752</t>
  </si>
  <si>
    <t>TXN00753</t>
  </si>
  <si>
    <t>TXN00754</t>
  </si>
  <si>
    <t>TXN00755</t>
  </si>
  <si>
    <t>TXN00756</t>
  </si>
  <si>
    <t>TXN00757</t>
  </si>
  <si>
    <t>TXN00758</t>
  </si>
  <si>
    <t>TXN00759</t>
  </si>
  <si>
    <t>TXN00760</t>
  </si>
  <si>
    <t>TXN00761</t>
  </si>
  <si>
    <t>TXN00762</t>
  </si>
  <si>
    <t>TXN00763</t>
  </si>
  <si>
    <t>TXN00764</t>
  </si>
  <si>
    <t>TXN00765</t>
  </si>
  <si>
    <t>TXN00766</t>
  </si>
  <si>
    <t>TXN00767</t>
  </si>
  <si>
    <t>TXN00768</t>
  </si>
  <si>
    <t>TXN00769</t>
  </si>
  <si>
    <t>TXN00770</t>
  </si>
  <si>
    <t>TXN00771</t>
  </si>
  <si>
    <t>TXN00772</t>
  </si>
  <si>
    <t>TXN00773</t>
  </si>
  <si>
    <t>TXN00774</t>
  </si>
  <si>
    <t>TXN00775</t>
  </si>
  <si>
    <t>TXN00776</t>
  </si>
  <si>
    <t>TXN00777</t>
  </si>
  <si>
    <t>TXN00778</t>
  </si>
  <si>
    <t>TXN00779</t>
  </si>
  <si>
    <t>TXN00780</t>
  </si>
  <si>
    <t>TXN00781</t>
  </si>
  <si>
    <t>TXN00782</t>
  </si>
  <si>
    <t>TXN00783</t>
  </si>
  <si>
    <t>TXN00784</t>
  </si>
  <si>
    <t>TXN00785</t>
  </si>
  <si>
    <t>TXN00786</t>
  </si>
  <si>
    <t>TXN00787</t>
  </si>
  <si>
    <t>TXN00788</t>
  </si>
  <si>
    <t>TXN00789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</si>
  <si>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</si>
  <si>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</si>
  <si>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</si>
  <si>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</si>
  <si>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</si>
  <si>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</si>
  <si>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</si>
  <si>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</si>
  <si>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TXN00798</t>
  </si>
  <si>
    <t>TXN00799</t>
  </si>
  <si>
    <t>TXN00800</t>
  </si>
  <si>
    <t>TXN00801</t>
  </si>
  <si>
    <t>TXN00802</t>
  </si>
  <si>
    <t>TXN00803</t>
  </si>
  <si>
    <t>TXN00804</t>
  </si>
  <si>
    <t>TXN00805</t>
  </si>
  <si>
    <t>TXN00806</t>
  </si>
  <si>
    <t>TXN00807</t>
  </si>
  <si>
    <t>TXN00808</t>
  </si>
  <si>
    <t>TXN00809</t>
  </si>
  <si>
    <t>TXN00810</t>
  </si>
  <si>
    <t>TXN00811</t>
  </si>
  <si>
    <t>TXN00812</t>
  </si>
  <si>
    <t>TXN00813</t>
  </si>
  <si>
    <t>TXN00814</t>
  </si>
  <si>
    <t>TXN00815</t>
  </si>
  <si>
    <t>TXN00816</t>
  </si>
  <si>
    <t>TXN00817</t>
  </si>
  <si>
    <t>TXN00818</t>
  </si>
  <si>
    <t>TXN00819</t>
  </si>
  <si>
    <t>TXN00820</t>
  </si>
  <si>
    <t>TXN00821</t>
  </si>
  <si>
    <t>TXN00822</t>
  </si>
  <si>
    <t>TXN00823</t>
  </si>
  <si>
    <t>TXN00824</t>
  </si>
  <si>
    <t>TXN00825</t>
  </si>
  <si>
    <t>TXN00826</t>
  </si>
  <si>
    <t>TXN00827</t>
  </si>
  <si>
    <t>TXN00828</t>
  </si>
  <si>
    <t>TXN00829</t>
  </si>
  <si>
    <t>TXN00830</t>
  </si>
  <si>
    <t>TXN00831</t>
  </si>
  <si>
    <t>TXN00832</t>
  </si>
  <si>
    <t>TXN00833</t>
  </si>
  <si>
    <t>TXN00834</t>
  </si>
  <si>
    <t>TXN00835</t>
  </si>
  <si>
    <t>TXN00836</t>
  </si>
  <si>
    <t>TXN00837</t>
  </si>
  <si>
    <t>TXN00838</t>
  </si>
  <si>
    <t>TXN00839</t>
  </si>
  <si>
    <t>TXN00840</t>
  </si>
  <si>
    <t>TXN00841</t>
  </si>
  <si>
    <t>TXN00842</t>
  </si>
  <si>
    <t>TXN00843</t>
  </si>
  <si>
    <t>TXN00844</t>
  </si>
  <si>
    <t>TXN00845</t>
  </si>
  <si>
    <t>TXN00846</t>
  </si>
  <si>
    <t>TXN00847</t>
  </si>
  <si>
    <t>TXN00848</t>
  </si>
  <si>
    <t>TXN00849</t>
  </si>
  <si>
    <t>TXN00850</t>
  </si>
  <si>
    <t>TXN00851</t>
  </si>
  <si>
    <t>TXN00852</t>
  </si>
  <si>
    <t>TXN00853</t>
  </si>
  <si>
    <t>TXN00854</t>
  </si>
  <si>
    <t>TXN00855</t>
  </si>
  <si>
    <t>TXN00856</t>
  </si>
  <si>
    <t>TXN00857</t>
  </si>
  <si>
    <t>TXN00858</t>
  </si>
  <si>
    <t>TXN00859</t>
  </si>
  <si>
    <t>TXN00860</t>
  </si>
  <si>
    <t>TXN00861</t>
  </si>
  <si>
    <t>TXN00862</t>
  </si>
  <si>
    <t>TXN00863</t>
  </si>
  <si>
    <t>TXN00864</t>
  </si>
  <si>
    <t>TXN00865</t>
  </si>
  <si>
    <t>TXN00866</t>
  </si>
  <si>
    <t>TXN00867</t>
  </si>
  <si>
    <t>TXN00868</t>
  </si>
  <si>
    <t>TXN00869</t>
  </si>
  <si>
    <t>TXN00870</t>
  </si>
  <si>
    <t>TXN00871</t>
  </si>
  <si>
    <t>TXN00872</t>
  </si>
  <si>
    <t>TXN00873</t>
  </si>
  <si>
    <t>TXN00874</t>
  </si>
  <si>
    <t>TXN00875</t>
  </si>
  <si>
    <t>TXN00876</t>
  </si>
  <si>
    <t>TXN00877</t>
  </si>
  <si>
    <t>TXN00878</t>
  </si>
  <si>
    <t>TXN00879</t>
  </si>
  <si>
    <t>TXN00880</t>
  </si>
  <si>
    <t>TXN00881</t>
  </si>
  <si>
    <t>TXN00882</t>
  </si>
  <si>
    <t>TXN00883</t>
  </si>
  <si>
    <t>TXN00884</t>
  </si>
  <si>
    <t>TXN00885</t>
  </si>
  <si>
    <t>TXN00886</t>
  </si>
  <si>
    <t>TXN00887</t>
  </si>
  <si>
    <t>TXN00888</t>
  </si>
  <si>
    <t>TXN00889</t>
  </si>
  <si>
    <t>TXN00890</t>
  </si>
  <si>
    <t>TXN00891</t>
  </si>
  <si>
    <t>TXN00892</t>
  </si>
  <si>
    <t>TXN00893</t>
  </si>
  <si>
    <t>TXN00894</t>
  </si>
  <si>
    <t>TXN00895</t>
  </si>
  <si>
    <t>TXN00896</t>
  </si>
  <si>
    <t>TXN00897</t>
  </si>
  <si>
    <t>TXN00898</t>
  </si>
  <si>
    <t>TXN00899</t>
  </si>
  <si>
    <t>TXN00900</t>
  </si>
  <si>
    <t>TXN00901</t>
  </si>
  <si>
    <t>TXN00902</t>
  </si>
  <si>
    <t>TXN00903</t>
  </si>
  <si>
    <t>TXN00904</t>
  </si>
  <si>
    <t>TXN00905</t>
  </si>
  <si>
    <t>TXN00906</t>
  </si>
  <si>
    <t>TXN00907</t>
  </si>
  <si>
    <t>TXN00908</t>
  </si>
  <si>
    <t>TXN00909</t>
  </si>
  <si>
    <t>TXN00910</t>
  </si>
  <si>
    <t>TXN00911</t>
  </si>
  <si>
    <t>TXN00912</t>
  </si>
  <si>
    <t>TXN00913</t>
  </si>
  <si>
    <t>TXN00914</t>
  </si>
  <si>
    <t>TXN00915</t>
  </si>
  <si>
    <t>TXN00916</t>
  </si>
  <si>
    <t>TXN00917</t>
  </si>
  <si>
    <t>TXN00918</t>
  </si>
  <si>
    <t>TXN00919</t>
  </si>
  <si>
    <t>TXN00920</t>
  </si>
  <si>
    <t>TXN00921</t>
  </si>
  <si>
    <t>TXN00922</t>
  </si>
  <si>
    <t>TXN00923</t>
  </si>
  <si>
    <t>TXN00924</t>
  </si>
  <si>
    <t>TXN00925</t>
  </si>
  <si>
    <t>TXN00926</t>
  </si>
  <si>
    <t>TXN00927</t>
  </si>
  <si>
    <t>TXN00928</t>
  </si>
  <si>
    <t>TXN00929</t>
  </si>
  <si>
    <t>TXN00930</t>
  </si>
  <si>
    <t>TXN00931</t>
  </si>
  <si>
    <t>TXN00932</t>
  </si>
  <si>
    <t>TXN00933</t>
  </si>
  <si>
    <t>TXN00934</t>
  </si>
  <si>
    <t>TXN00935</t>
  </si>
  <si>
    <t>TXN00936</t>
  </si>
  <si>
    <t>TXN00937</t>
  </si>
  <si>
    <t>TXN00938</t>
  </si>
  <si>
    <t>TXN00939</t>
  </si>
  <si>
    <t>TXN00940</t>
  </si>
  <si>
    <t>TXN00941</t>
  </si>
  <si>
    <t>TXN00942</t>
  </si>
  <si>
    <t>TXN00943</t>
  </si>
  <si>
    <t>TXN00944</t>
  </si>
  <si>
    <t>TXN00945</t>
  </si>
  <si>
    <t>TXN00946</t>
  </si>
  <si>
    <t>TXN00947</t>
  </si>
  <si>
    <t>TXN00948</t>
  </si>
  <si>
    <t>TXN00949</t>
  </si>
  <si>
    <t>TXN00950</t>
  </si>
  <si>
    <t>TXN00951</t>
  </si>
  <si>
    <t>TXN00952</t>
  </si>
  <si>
    <t>TXN00953</t>
  </si>
  <si>
    <t>TXN00954</t>
  </si>
  <si>
    <t>TXN00955</t>
  </si>
  <si>
    <t>TXN00956</t>
  </si>
  <si>
    <t>TXN00957</t>
  </si>
  <si>
    <t>TXN00958</t>
  </si>
  <si>
    <t>TXN00959</t>
  </si>
  <si>
    <t>TXN00960</t>
  </si>
  <si>
    <t>TXN00961</t>
  </si>
  <si>
    <t>TXN00962</t>
  </si>
  <si>
    <t>TXN00963</t>
  </si>
  <si>
    <t>TXN00964</t>
  </si>
  <si>
    <t>TXN00965</t>
  </si>
  <si>
    <t>TXN00966</t>
  </si>
  <si>
    <t>TXN00967</t>
  </si>
  <si>
    <t>TXN00968</t>
  </si>
  <si>
    <t>TXN00969</t>
  </si>
  <si>
    <t>TXN00970</t>
  </si>
  <si>
    <t>TXN00971</t>
  </si>
  <si>
    <t>TXN00972</t>
  </si>
  <si>
    <t>TXN00973</t>
  </si>
  <si>
    <t>TXN00974</t>
  </si>
  <si>
    <t>TXN00975</t>
  </si>
  <si>
    <t>TXN00976</t>
  </si>
  <si>
    <t>TXN00977</t>
  </si>
  <si>
    <t>TXN00978</t>
  </si>
  <si>
    <t>TXN00979</t>
  </si>
  <si>
    <t>TXN00980</t>
  </si>
  <si>
    <t>TXN00981</t>
  </si>
  <si>
    <t>TXN00982</t>
  </si>
  <si>
    <t>TXN00983</t>
  </si>
  <si>
    <t>TXN00984</t>
  </si>
  <si>
    <t>TXN00985</t>
  </si>
  <si>
    <t>TXN00986</t>
  </si>
  <si>
    <t>TXN00987</t>
  </si>
  <si>
    <t>TXN00988</t>
  </si>
  <si>
    <t>TXN00989</t>
  </si>
  <si>
    <t>TXN00990</t>
  </si>
  <si>
    <t>TXN00991</t>
  </si>
  <si>
    <t>TXN00992</t>
  </si>
  <si>
    <t>TXN00993</t>
  </si>
  <si>
    <t>TXN00994</t>
  </si>
  <si>
    <t>TXN00995</t>
  </si>
  <si>
    <t>TXN00996</t>
  </si>
  <si>
    <t>TXN00997</t>
  </si>
  <si>
    <t>TXN00998</t>
  </si>
  <si>
    <t>TXN00999</t>
  </si>
  <si>
    <t>TXN01000</t>
  </si>
  <si>
    <t>TXN01001</t>
  </si>
  <si>
    <t>TXN01002</t>
  </si>
  <si>
    <t>TXN01003</t>
  </si>
  <si>
    <t>TXN01004</t>
  </si>
  <si>
    <t>TXN01005</t>
  </si>
  <si>
    <t>TXN01006</t>
  </si>
  <si>
    <t>TXN01007</t>
  </si>
  <si>
    <t>TXN01008</t>
  </si>
  <si>
    <t>TXN01009</t>
  </si>
  <si>
    <t>TXN01010</t>
  </si>
  <si>
    <t>TXN01011</t>
  </si>
  <si>
    <t>TXN01012</t>
  </si>
  <si>
    <t>TXN01013</t>
  </si>
  <si>
    <t>TXN01014</t>
  </si>
  <si>
    <t>TXN01015</t>
  </si>
  <si>
    <t>TXN01016</t>
  </si>
  <si>
    <t>TXN01017</t>
  </si>
  <si>
    <t>TXN01018</t>
  </si>
  <si>
    <t>TXN01019</t>
  </si>
  <si>
    <t>TXN01020</t>
  </si>
  <si>
    <t>TXN01021</t>
  </si>
  <si>
    <t>TXN01022</t>
  </si>
  <si>
    <t>TXN01023</t>
  </si>
  <si>
    <t>TXN01024</t>
  </si>
  <si>
    <t>TXN01025</t>
  </si>
  <si>
    <t>TXN01026</t>
  </si>
  <si>
    <t>TXN01027</t>
  </si>
  <si>
    <t>TXN01028</t>
  </si>
  <si>
    <t>TXN01029</t>
  </si>
  <si>
    <t>TXN01030</t>
  </si>
  <si>
    <t>TXN01031</t>
  </si>
  <si>
    <t>TXN01032</t>
  </si>
  <si>
    <t>TXN01033</t>
  </si>
  <si>
    <t>TXN01034</t>
  </si>
  <si>
    <t>TXN01035</t>
  </si>
  <si>
    <t>TXN01036</t>
  </si>
  <si>
    <t>TXN01037</t>
  </si>
  <si>
    <t>TXN01038</t>
  </si>
  <si>
    <t>TXN01039</t>
  </si>
  <si>
    <t>TXN01040</t>
  </si>
  <si>
    <t>TXN01041</t>
  </si>
  <si>
    <t>TXN01042</t>
  </si>
  <si>
    <t>TXN01043</t>
  </si>
  <si>
    <t>TXN01044</t>
  </si>
  <si>
    <t>TXN01045</t>
  </si>
  <si>
    <t>TXN01046</t>
  </si>
  <si>
    <t>TXN01047</t>
  </si>
  <si>
    <t>TXN01048</t>
  </si>
  <si>
    <t>TXN01049</t>
  </si>
  <si>
    <t>TXN01050</t>
  </si>
  <si>
    <t>TXN01051</t>
  </si>
  <si>
    <t>TXN01052</t>
  </si>
  <si>
    <t>TXN01053</t>
  </si>
  <si>
    <t>TXN01054</t>
  </si>
  <si>
    <t>TXN01055</t>
  </si>
  <si>
    <t>TXN01056</t>
  </si>
  <si>
    <t>TXN01057</t>
  </si>
  <si>
    <t>TXN01058</t>
  </si>
  <si>
    <t>TXN01059</t>
  </si>
  <si>
    <t>TXN01060</t>
  </si>
  <si>
    <t>TXN01061</t>
  </si>
  <si>
    <t>TXN01062</t>
  </si>
  <si>
    <t>TXN01063</t>
  </si>
  <si>
    <t>TXN01064</t>
  </si>
  <si>
    <t>TXN01065</t>
  </si>
  <si>
    <t>TXN01066</t>
  </si>
  <si>
    <t>TXN01067</t>
  </si>
  <si>
    <t>TXN01068</t>
  </si>
  <si>
    <t>TXN01069</t>
  </si>
  <si>
    <t>TXN01070</t>
  </si>
  <si>
    <t>TXN01071</t>
  </si>
  <si>
    <t>TXN01072</t>
  </si>
  <si>
    <t>TXN01073</t>
  </si>
  <si>
    <t>TXN01074</t>
  </si>
  <si>
    <t>TXN01075</t>
  </si>
  <si>
    <t>TXN01076</t>
  </si>
  <si>
    <t>TXN01077</t>
  </si>
  <si>
    <t>TXN01078</t>
  </si>
  <si>
    <t>TXN01079</t>
  </si>
  <si>
    <t>TXN01080</t>
  </si>
  <si>
    <t>TXN01081</t>
  </si>
  <si>
    <t>TXN01082</t>
  </si>
  <si>
    <t>TXN01083</t>
  </si>
  <si>
    <t>TXN01084</t>
  </si>
  <si>
    <t>TXN01085</t>
  </si>
  <si>
    <t>TXN01086</t>
  </si>
  <si>
    <t>TXN01087</t>
  </si>
  <si>
    <t>TXN01088</t>
  </si>
  <si>
    <t>TXN01089</t>
  </si>
  <si>
    <t>TXN01090</t>
  </si>
  <si>
    <t>TXN01091</t>
  </si>
  <si>
    <t>TXN01092</t>
  </si>
  <si>
    <t>TXN01093</t>
  </si>
  <si>
    <t>TXN01094</t>
  </si>
  <si>
    <t>TXN01095</t>
  </si>
  <si>
    <t>TXN01096</t>
  </si>
  <si>
    <t>TXN01097</t>
  </si>
  <si>
    <t>TXN01098</t>
  </si>
  <si>
    <t>TXN01099</t>
  </si>
  <si>
    <t>TXN01100</t>
  </si>
  <si>
    <t>TXN01101</t>
  </si>
  <si>
    <t>TXN01102</t>
  </si>
  <si>
    <t>TXN01103</t>
  </si>
  <si>
    <t>TXN01104</t>
  </si>
  <si>
    <t>TXN01105</t>
  </si>
  <si>
    <t>TXN01106</t>
  </si>
  <si>
    <t>TXN01107</t>
  </si>
  <si>
    <t>TXN01108</t>
  </si>
  <si>
    <t>TXN01109</t>
  </si>
  <si>
    <t>TXN01110</t>
  </si>
  <si>
    <t>TXN01111</t>
  </si>
  <si>
    <t>TXN01112</t>
  </si>
  <si>
    <t>TXN01113</t>
  </si>
  <si>
    <t>TXN01114</t>
  </si>
  <si>
    <t>TXN01115</t>
  </si>
  <si>
    <t>TXN01116</t>
  </si>
  <si>
    <t>TXN01117</t>
  </si>
  <si>
    <t>TXN01118</t>
  </si>
  <si>
    <t>TXN01119</t>
  </si>
  <si>
    <t>TXN01120</t>
  </si>
  <si>
    <t>TXN01121</t>
  </si>
  <si>
    <t>TXN01122</t>
  </si>
  <si>
    <t>TXN01123</t>
  </si>
  <si>
    <t>TXN01124</t>
  </si>
  <si>
    <t>TXN01125</t>
  </si>
  <si>
    <t>TXN01126</t>
  </si>
  <si>
    <t>TXN01127</t>
  </si>
  <si>
    <t>TXN01128</t>
  </si>
  <si>
    <t>TXN01129</t>
  </si>
  <si>
    <t>TXN01130</t>
  </si>
  <si>
    <t>TXN01131</t>
  </si>
  <si>
    <t>TXN01132</t>
  </si>
  <si>
    <t>TXN01133</t>
  </si>
  <si>
    <t>TXN01134</t>
  </si>
  <si>
    <t>TXN01135</t>
  </si>
  <si>
    <t>TXN01136</t>
  </si>
  <si>
    <t>TXN01137</t>
  </si>
  <si>
    <t>TXN01138</t>
  </si>
  <si>
    <t>TXN01139</t>
  </si>
  <si>
    <t>TXN01140</t>
  </si>
  <si>
    <t>TXN01141</t>
  </si>
  <si>
    <t>TXN01142</t>
  </si>
  <si>
    <t>TXN01143</t>
  </si>
  <si>
    <t>TXN01144</t>
  </si>
  <si>
    <t>TXN01145</t>
  </si>
  <si>
    <t>TXN01146</t>
  </si>
  <si>
    <t>TXN01147</t>
  </si>
  <si>
    <t>TXN01148</t>
  </si>
  <si>
    <t>TXN01149</t>
  </si>
  <si>
    <t>TXN01150</t>
  </si>
  <si>
    <t>TXN01151</t>
  </si>
  <si>
    <t>TXN01152</t>
  </si>
  <si>
    <t>TXN01153</t>
  </si>
  <si>
    <t>TXN01154</t>
  </si>
  <si>
    <t>TXN01155</t>
  </si>
  <si>
    <t>TXN01156</t>
  </si>
  <si>
    <t>TXN01157</t>
  </si>
  <si>
    <t>TXN01158</t>
  </si>
  <si>
    <t>TXN01159</t>
  </si>
  <si>
    <t>TXN01160</t>
  </si>
  <si>
    <t>TXN01161</t>
  </si>
  <si>
    <t>TXN01162</t>
  </si>
  <si>
    <t>TXN01163</t>
  </si>
  <si>
    <t>TXN01164</t>
  </si>
  <si>
    <t>TXN01165</t>
  </si>
  <si>
    <t>TXN01166</t>
  </si>
  <si>
    <t>TXN01167</t>
  </si>
  <si>
    <t>TXN01168</t>
  </si>
  <si>
    <t>TXN01169</t>
  </si>
  <si>
    <t>TXN01170</t>
  </si>
  <si>
    <t>TXN01171</t>
  </si>
  <si>
    <t>TXN01172</t>
  </si>
  <si>
    <t>TXN01173</t>
  </si>
  <si>
    <t>TXN01174</t>
  </si>
  <si>
    <t>TXN01175</t>
  </si>
  <si>
    <t>TXN01176</t>
  </si>
  <si>
    <t>TXN01177</t>
  </si>
  <si>
    <t>TXN01178</t>
  </si>
  <si>
    <t>TXN01179</t>
  </si>
  <si>
    <t>TXN01180</t>
  </si>
  <si>
    <t>TXN01181</t>
  </si>
  <si>
    <t>TXN01182</t>
  </si>
  <si>
    <t>TXN01183</t>
  </si>
  <si>
    <t>TXN01184</t>
  </si>
  <si>
    <t>TXN01185</t>
  </si>
  <si>
    <t>TXN01186</t>
  </si>
  <si>
    <t>TXN01187</t>
  </si>
  <si>
    <t>TXN01188</t>
  </si>
  <si>
    <t>TXN01189</t>
  </si>
  <si>
    <t>TXN01190</t>
  </si>
  <si>
    <t>TXN01191</t>
  </si>
  <si>
    <t>TXN01192</t>
  </si>
  <si>
    <t>TXN01193</t>
  </si>
  <si>
    <t>TXN01194</t>
  </si>
  <si>
    <t>TXN01195</t>
  </si>
  <si>
    <t>TXN01196</t>
  </si>
  <si>
    <t>TXN01197</t>
  </si>
  <si>
    <t>TXN01198</t>
  </si>
  <si>
    <t>TXN01199</t>
  </si>
  <si>
    <t>TXN01200</t>
  </si>
  <si>
    <t>TXN01201</t>
  </si>
  <si>
    <t>TXN01202</t>
  </si>
  <si>
    <t>TXN01203</t>
  </si>
  <si>
    <t>TXN01204</t>
  </si>
  <si>
    <t>TXN01205</t>
  </si>
  <si>
    <t>TXN01206</t>
  </si>
  <si>
    <t>TXN01207</t>
  </si>
  <si>
    <t>TXN01208</t>
  </si>
  <si>
    <t>TXN01209</t>
  </si>
  <si>
    <t>TXN01210</t>
  </si>
  <si>
    <t>TXN01211</t>
  </si>
  <si>
    <t>TXN01212</t>
  </si>
  <si>
    <t>TXN01213</t>
  </si>
  <si>
    <t>TXN01214</t>
  </si>
  <si>
    <t>TXN01215</t>
  </si>
  <si>
    <t>TXN01216</t>
  </si>
  <si>
    <t>TXN01217</t>
  </si>
  <si>
    <t>TXN01218</t>
  </si>
  <si>
    <t>TXN01219</t>
  </si>
  <si>
    <t>TXN01220</t>
  </si>
  <si>
    <t>TXN01221</t>
  </si>
  <si>
    <t>TXN01222</t>
  </si>
  <si>
    <t>TXN01223</t>
  </si>
  <si>
    <t>TXN01224</t>
  </si>
  <si>
    <t>TXN01225</t>
  </si>
  <si>
    <t>TXN01226</t>
  </si>
  <si>
    <t>TXN01227</t>
  </si>
  <si>
    <t>TXN01228</t>
  </si>
  <si>
    <t>TXN01229</t>
  </si>
  <si>
    <t>TXN01230</t>
  </si>
  <si>
    <t>TXN01231</t>
  </si>
  <si>
    <t>TXN01232</t>
  </si>
  <si>
    <t>TXN01233</t>
  </si>
  <si>
    <t>TXN01234</t>
  </si>
  <si>
    <t>TXN01235</t>
  </si>
  <si>
    <t>TXN01236</t>
  </si>
  <si>
    <t>TXN01237</t>
  </si>
  <si>
    <t>TXN01238</t>
  </si>
  <si>
    <t>TXN01239</t>
  </si>
  <si>
    <t>TXN01240</t>
  </si>
  <si>
    <t>TXN01241</t>
  </si>
  <si>
    <t>TXN01242</t>
  </si>
  <si>
    <t>TXN01243</t>
  </si>
  <si>
    <t>TXN01244</t>
  </si>
  <si>
    <t>TXN01245</t>
  </si>
  <si>
    <t>TXN01246</t>
  </si>
  <si>
    <t>TXN01247</t>
  </si>
  <si>
    <t>TXN01248</t>
  </si>
  <si>
    <t>TXN01249</t>
  </si>
  <si>
    <t>TXN01250</t>
  </si>
  <si>
    <t>TXN01251</t>
  </si>
  <si>
    <t>TXN01252</t>
  </si>
  <si>
    <t>TXN01253</t>
  </si>
  <si>
    <t>TXN01254</t>
  </si>
  <si>
    <t>TXN01255</t>
  </si>
  <si>
    <t>TXN01256</t>
  </si>
  <si>
    <t>TXN01257</t>
  </si>
  <si>
    <t>TXN01258</t>
  </si>
  <si>
    <t>TXN01259</t>
  </si>
  <si>
    <t>TXN01260</t>
  </si>
  <si>
    <t>TXN01261</t>
  </si>
  <si>
    <t>TXN01262</t>
  </si>
  <si>
    <t>TXN01263</t>
  </si>
  <si>
    <t>TXN01264</t>
  </si>
  <si>
    <t>TXN01265</t>
  </si>
  <si>
    <t>TXN01266</t>
  </si>
  <si>
    <t>TXN01267</t>
  </si>
  <si>
    <t>TXN01268</t>
  </si>
  <si>
    <t>TXN01269</t>
  </si>
  <si>
    <t>TXN01270</t>
  </si>
  <si>
    <t>TXN01271</t>
  </si>
  <si>
    <t>TXN01272</t>
  </si>
  <si>
    <t>TXN01273</t>
  </si>
  <si>
    <t>TXN01274</t>
  </si>
  <si>
    <t>TXN01275</t>
  </si>
  <si>
    <t>TXN01276</t>
  </si>
  <si>
    <t>TXN01277</t>
  </si>
  <si>
    <t>TXN01278</t>
  </si>
  <si>
    <t>TXN01279</t>
  </si>
  <si>
    <t>TXN01280</t>
  </si>
  <si>
    <t>TXN01281</t>
  </si>
  <si>
    <t>TXN01282</t>
  </si>
  <si>
    <t>TXN01283</t>
  </si>
  <si>
    <t>TXN01284</t>
  </si>
  <si>
    <t>TXN01285</t>
  </si>
  <si>
    <t>TXN01286</t>
  </si>
  <si>
    <t>TXN01287</t>
  </si>
  <si>
    <t>TXN01288</t>
  </si>
  <si>
    <t>TXN01289</t>
  </si>
  <si>
    <t>TXN01290</t>
  </si>
  <si>
    <t>TXN01291</t>
  </si>
  <si>
    <t>TXN01292</t>
  </si>
  <si>
    <t>TXN01293</t>
  </si>
  <si>
    <t>TXN01294</t>
  </si>
  <si>
    <t>TXN01295</t>
  </si>
  <si>
    <t>TXN01296</t>
  </si>
  <si>
    <t>TXN01297</t>
  </si>
  <si>
    <t>TXN01298</t>
  </si>
  <si>
    <t>TXN01299</t>
  </si>
  <si>
    <t>TXN01300</t>
  </si>
  <si>
    <t>TXN01301</t>
  </si>
  <si>
    <t>TXN01302</t>
  </si>
  <si>
    <t>TXN01303</t>
  </si>
  <si>
    <t>TXN01304</t>
  </si>
  <si>
    <t>TXN01305</t>
  </si>
  <si>
    <t>TXN01306</t>
  </si>
  <si>
    <t>TXN01307</t>
  </si>
  <si>
    <t>TXN01308</t>
  </si>
  <si>
    <t>TXN01309</t>
  </si>
  <si>
    <t>TXN01310</t>
  </si>
  <si>
    <t>TXN01311</t>
  </si>
  <si>
    <t>TXN01312</t>
  </si>
  <si>
    <t>TXN01313</t>
  </si>
  <si>
    <t>TXN01314</t>
  </si>
  <si>
    <t>TXN01315</t>
  </si>
  <si>
    <t>TXN01316</t>
  </si>
  <si>
    <t>TXN01317</t>
  </si>
  <si>
    <t>TXN01318</t>
  </si>
  <si>
    <t>TXN01319</t>
  </si>
  <si>
    <t>TXN01320</t>
  </si>
  <si>
    <t>TXN01321</t>
  </si>
  <si>
    <t>TXN01322</t>
  </si>
  <si>
    <t>TXN01323</t>
  </si>
  <si>
    <t>TXN01324</t>
  </si>
  <si>
    <t>TXN01325</t>
  </si>
  <si>
    <t>TXN01326</t>
  </si>
  <si>
    <t>TXN01327</t>
  </si>
  <si>
    <t>TXN01328</t>
  </si>
  <si>
    <t>TXN01329</t>
  </si>
  <si>
    <t>TXN01330</t>
  </si>
  <si>
    <t>TXN01331</t>
  </si>
  <si>
    <t>TXN01332</t>
  </si>
  <si>
    <t>TXN01333</t>
  </si>
  <si>
    <t>TXN01334</t>
  </si>
  <si>
    <t>TXN01335</t>
  </si>
  <si>
    <t>TXN01336</t>
  </si>
  <si>
    <t>TXN01337</t>
  </si>
  <si>
    <t>TXN01338</t>
  </si>
  <si>
    <t>TXN01339</t>
  </si>
  <si>
    <t>TXN01340</t>
  </si>
  <si>
    <t>TXN01341</t>
  </si>
  <si>
    <t>TXN01342</t>
  </si>
  <si>
    <t>TXN01343</t>
  </si>
  <si>
    <t>TXN01344</t>
  </si>
  <si>
    <t>TXN01345</t>
  </si>
  <si>
    <t>TXN01346</t>
  </si>
  <si>
    <t>TXN01347</t>
  </si>
  <si>
    <t>TXN01348</t>
  </si>
  <si>
    <t>TXN01349</t>
  </si>
  <si>
    <t>TXN01350</t>
  </si>
  <si>
    <t>TXN01351</t>
  </si>
  <si>
    <t>TXN01352</t>
  </si>
  <si>
    <t>TXN01353</t>
  </si>
  <si>
    <t>TXN01354</t>
  </si>
  <si>
    <t>TXN01355</t>
  </si>
  <si>
    <t>TXN01356</t>
  </si>
  <si>
    <t>TXN01357</t>
  </si>
  <si>
    <t>TXN01358</t>
  </si>
  <si>
    <t>TXN01359</t>
  </si>
  <si>
    <t>TXN01360</t>
  </si>
  <si>
    <t>TXN01361</t>
  </si>
  <si>
    <t>TXN01362</t>
  </si>
  <si>
    <t>TXN01363</t>
  </si>
  <si>
    <t>TXN01364</t>
  </si>
  <si>
    <t>TXN01365</t>
  </si>
  <si>
    <t>TXN01366</t>
  </si>
  <si>
    <t>TXN01367</t>
  </si>
  <si>
    <t>TXN01368</t>
  </si>
  <si>
    <t>TXN01369</t>
  </si>
  <si>
    <t>TXN01370</t>
  </si>
  <si>
    <t>TXN01371</t>
  </si>
  <si>
    <t>TXN01372</t>
  </si>
  <si>
    <t>TXN01373</t>
  </si>
  <si>
    <t>TXN01374</t>
  </si>
  <si>
    <t>TXN01375</t>
  </si>
  <si>
    <t>TXN01376</t>
  </si>
  <si>
    <t>TXN01377</t>
  </si>
  <si>
    <t>TXN01378</t>
  </si>
  <si>
    <t>TXN01379</t>
  </si>
  <si>
    <t>TXN01380</t>
  </si>
  <si>
    <t>TXN01381</t>
  </si>
  <si>
    <t>TXN01382</t>
  </si>
  <si>
    <t>TXN01383</t>
  </si>
  <si>
    <t>TXN01384</t>
  </si>
  <si>
    <t>TXN01385</t>
  </si>
  <si>
    <t>TXN01386</t>
  </si>
  <si>
    <t>TXN01387</t>
  </si>
  <si>
    <t>TXN01388</t>
  </si>
  <si>
    <t>TXN01389</t>
  </si>
  <si>
    <t>TXN01390</t>
  </si>
  <si>
    <t>TXN01391</t>
  </si>
  <si>
    <t>TXN01392</t>
  </si>
  <si>
    <t>TXN01393</t>
  </si>
  <si>
    <t>TXN01394</t>
  </si>
  <si>
    <t>TXN01395</t>
  </si>
  <si>
    <t>TXN01396</t>
  </si>
  <si>
    <t>TXN01397</t>
  </si>
  <si>
    <t>TXN01398</t>
  </si>
  <si>
    <t>TXN01399</t>
  </si>
  <si>
    <t>TXN01400</t>
  </si>
  <si>
    <t>TXN01401</t>
  </si>
  <si>
    <t>TXN01402</t>
  </si>
  <si>
    <t>TXN01403</t>
  </si>
  <si>
    <t>TXN01404</t>
  </si>
  <si>
    <t>TXN01405</t>
  </si>
  <si>
    <t>TXN01406</t>
  </si>
  <si>
    <t>TXN01407</t>
  </si>
  <si>
    <t>TXN01408</t>
  </si>
  <si>
    <t>TXN01409</t>
  </si>
  <si>
    <t>TXN01410</t>
  </si>
  <si>
    <t>TXN01411</t>
  </si>
  <si>
    <t>TXN01412</t>
  </si>
  <si>
    <t>TXN01413</t>
  </si>
  <si>
    <t>TXN01414</t>
  </si>
  <si>
    <t>TXN01415</t>
  </si>
  <si>
    <t>TXN01416</t>
  </si>
  <si>
    <t>TXN01417</t>
  </si>
  <si>
    <t>TXN01418</t>
  </si>
  <si>
    <t>TXN01419</t>
  </si>
  <si>
    <t>TXN01420</t>
  </si>
  <si>
    <t>TXN01421</t>
  </si>
  <si>
    <t>TXN01422</t>
  </si>
  <si>
    <t>TXN01423</t>
  </si>
  <si>
    <t>TXN01424</t>
  </si>
  <si>
    <t>TXN01425</t>
  </si>
  <si>
    <t>TXN01426</t>
  </si>
  <si>
    <t>TXN01427</t>
  </si>
  <si>
    <t>TXN01428</t>
  </si>
  <si>
    <t>TXN01429</t>
  </si>
  <si>
    <t>TXN01430</t>
  </si>
  <si>
    <t>TXN01431</t>
  </si>
  <si>
    <t>TXN01432</t>
  </si>
  <si>
    <t>TXN01433</t>
  </si>
  <si>
    <t>TXN01434</t>
  </si>
  <si>
    <t>TXN01435</t>
  </si>
  <si>
    <t>TXN01436</t>
  </si>
  <si>
    <t>TXN01437</t>
  </si>
  <si>
    <t>TXN01438</t>
  </si>
  <si>
    <t>TXN01439</t>
  </si>
  <si>
    <t>TXN01440</t>
  </si>
  <si>
    <t>TXN01441</t>
  </si>
  <si>
    <t>TXN01442</t>
  </si>
  <si>
    <t>TXN01443</t>
  </si>
  <si>
    <t>TXN01444</t>
  </si>
  <si>
    <t>TXN01445</t>
  </si>
  <si>
    <t>TXN01446</t>
  </si>
  <si>
    <t>TXN01447</t>
  </si>
  <si>
    <t>TXN01448</t>
  </si>
  <si>
    <t>TXN01449</t>
  </si>
  <si>
    <t>TXN01450</t>
  </si>
  <si>
    <t>TXN01451</t>
  </si>
  <si>
    <t>TXN01452</t>
  </si>
  <si>
    <t>TXN01453</t>
  </si>
  <si>
    <t>TXN01454</t>
  </si>
  <si>
    <t>TXN01455</t>
  </si>
  <si>
    <t>TXN01456</t>
  </si>
  <si>
    <t>TXN01457</t>
  </si>
  <si>
    <t>TXN01458</t>
  </si>
  <si>
    <t>TXN01459</t>
  </si>
  <si>
    <t>TXN01460</t>
  </si>
  <si>
    <t>TXN01461</t>
  </si>
  <si>
    <t>TXN01462</t>
  </si>
  <si>
    <t>TXN01463</t>
  </si>
  <si>
    <t>TXN01464</t>
  </si>
  <si>
    <t>TXN01465</t>
  </si>
  <si>
    <t>TXN01466</t>
  </si>
  <si>
    <t>TXN01467</t>
  </si>
  <si>
    <t>TXN01468</t>
  </si>
  <si>
    <t>TXN01469</t>
  </si>
  <si>
    <t>TXN01470</t>
  </si>
  <si>
    <t>TXN01471</t>
  </si>
  <si>
    <t>TXN01472</t>
  </si>
  <si>
    <t>TXN01473</t>
  </si>
  <si>
    <t>TXN01474</t>
  </si>
  <si>
    <t>TXN01475</t>
  </si>
  <si>
    <t>TXN01476</t>
  </si>
  <si>
    <t>TXN01477</t>
  </si>
  <si>
    <t>TXN01478</t>
  </si>
  <si>
    <t>TXN01479</t>
  </si>
  <si>
    <t>TXN01480</t>
  </si>
  <si>
    <t>TXN01481</t>
  </si>
  <si>
    <t>TXN01482</t>
  </si>
  <si>
    <t>TXN01483</t>
  </si>
  <si>
    <t>TXN01484</t>
  </si>
  <si>
    <t>TXN01485</t>
  </si>
  <si>
    <t>TXN01486</t>
  </si>
  <si>
    <t>TXN01487</t>
  </si>
  <si>
    <t>TXN01488</t>
  </si>
  <si>
    <t>TXN01489</t>
  </si>
  <si>
    <t>TXN01490</t>
  </si>
  <si>
    <t>TXN01491</t>
  </si>
  <si>
    <t>TXN01492</t>
  </si>
  <si>
    <t>TXN01493</t>
  </si>
  <si>
    <t>TXN01494</t>
  </si>
  <si>
    <t>TXN01495</t>
  </si>
  <si>
    <t>TXN01496</t>
  </si>
  <si>
    <t>TXN01497</t>
  </si>
  <si>
    <t>TXN01498</t>
  </si>
  <si>
    <t>TXN01499</t>
  </si>
  <si>
    <t>TXN01500</t>
  </si>
  <si>
    <t>TXN01501</t>
  </si>
  <si>
    <t>TXN01502</t>
  </si>
  <si>
    <t>TXN01503</t>
  </si>
  <si>
    <t>TXN01504</t>
  </si>
  <si>
    <t>TXN01505</t>
  </si>
  <si>
    <t>TXN01506</t>
  </si>
  <si>
    <t>TXN01507</t>
  </si>
  <si>
    <t>TXN01508</t>
  </si>
  <si>
    <t>TXN01509</t>
  </si>
  <si>
    <t>TXN01510</t>
  </si>
  <si>
    <t>TXN01511</t>
  </si>
  <si>
    <t>TXN01512</t>
  </si>
  <si>
    <t>TXN01513</t>
  </si>
  <si>
    <t>TXN01514</t>
  </si>
  <si>
    <t>TXN01515</t>
  </si>
  <si>
    <t>TXN01516</t>
  </si>
  <si>
    <t>TXN01517</t>
  </si>
  <si>
    <t>TXN01518</t>
  </si>
  <si>
    <t>TXN01519</t>
  </si>
  <si>
    <t>TXN01520</t>
  </si>
  <si>
    <t>TXN01521</t>
  </si>
  <si>
    <t>TXN01522</t>
  </si>
  <si>
    <t>TXN01523</t>
  </si>
  <si>
    <t>TXN01524</t>
  </si>
  <si>
    <t>TXN01525</t>
  </si>
  <si>
    <t>TXN01526</t>
  </si>
  <si>
    <t>TXN01527</t>
  </si>
  <si>
    <t>TXN01528</t>
  </si>
  <si>
    <t>TXN01529</t>
  </si>
  <si>
    <t>TXN01530</t>
  </si>
  <si>
    <t>TXN01531</t>
  </si>
  <si>
    <t>TXN01532</t>
  </si>
  <si>
    <t>TXN01533</t>
  </si>
  <si>
    <t>TXN01534</t>
  </si>
  <si>
    <t>TXN01535</t>
  </si>
  <si>
    <t>TXN01536</t>
  </si>
  <si>
    <t>TXN01537</t>
  </si>
  <si>
    <t>TXN01538</t>
  </si>
  <si>
    <t>TXN01539</t>
  </si>
  <si>
    <t>TXN01540</t>
  </si>
  <si>
    <t>TXN01541</t>
  </si>
  <si>
    <t>TXN01542</t>
  </si>
  <si>
    <t>TXN01543</t>
  </si>
  <si>
    <t>TXN01544</t>
  </si>
  <si>
    <t>TXN01545</t>
  </si>
  <si>
    <t>TXN01546</t>
  </si>
  <si>
    <t>TXN01547</t>
  </si>
  <si>
    <t>TXN01548</t>
  </si>
  <si>
    <t>TXN01549</t>
  </si>
  <si>
    <t>TXN01550</t>
  </si>
  <si>
    <t>TXN01551</t>
  </si>
  <si>
    <t>TXN01552</t>
  </si>
  <si>
    <t>TXN01553</t>
  </si>
  <si>
    <t>TXN01554</t>
  </si>
  <si>
    <t>TXN01555</t>
  </si>
  <si>
    <t>TXN01556</t>
  </si>
  <si>
    <t>TXN01557</t>
  </si>
  <si>
    <t>TXN01558</t>
  </si>
  <si>
    <t>TXN01559</t>
  </si>
  <si>
    <t>TXN01560</t>
  </si>
  <si>
    <t>TXN01561</t>
  </si>
  <si>
    <t>TXN01562</t>
  </si>
  <si>
    <t>TXN01563</t>
  </si>
  <si>
    <t>TXN01564</t>
  </si>
  <si>
    <t>TXN01565</t>
  </si>
  <si>
    <t>TXN01566</t>
  </si>
  <si>
    <t>TXN01567</t>
  </si>
  <si>
    <t>TXN01568</t>
  </si>
  <si>
    <t>TXN01569</t>
  </si>
  <si>
    <t>TXN01570</t>
  </si>
  <si>
    <t>TXN01571</t>
  </si>
  <si>
    <t>TXN01572</t>
  </si>
  <si>
    <t>TXN01573</t>
  </si>
  <si>
    <t>TXN01574</t>
  </si>
  <si>
    <t>TXN01575</t>
  </si>
  <si>
    <t>TXN01576</t>
  </si>
  <si>
    <t>TXN01577</t>
  </si>
  <si>
    <t>TXN01578</t>
  </si>
  <si>
    <t>TXN01579</t>
  </si>
  <si>
    <t>TXN01580</t>
  </si>
  <si>
    <t>TXN01581</t>
  </si>
  <si>
    <t>TXN01582</t>
  </si>
  <si>
    <t>TXN01583</t>
  </si>
  <si>
    <t>TXN01584</t>
  </si>
  <si>
    <t>TXN01585</t>
  </si>
  <si>
    <t>TXN01586</t>
  </si>
  <si>
    <t>TXN01587</t>
  </si>
  <si>
    <t>TXN01588</t>
  </si>
  <si>
    <t>TXN01589</t>
  </si>
  <si>
    <t>TXN01590</t>
  </si>
  <si>
    <t>TXN01591</t>
  </si>
  <si>
    <t>TXN01592</t>
  </si>
  <si>
    <t>TXN01593</t>
  </si>
  <si>
    <t>TXN01594</t>
  </si>
  <si>
    <t>TXN01595</t>
  </si>
  <si>
    <t>TXN01596</t>
  </si>
  <si>
    <t>TXN01597</t>
  </si>
  <si>
    <t>TXN01598</t>
  </si>
  <si>
    <t>TXN01599</t>
  </si>
  <si>
    <t>TXN01600</t>
  </si>
  <si>
    <t>TXN01601</t>
  </si>
  <si>
    <t>TXN01602</t>
  </si>
  <si>
    <t>TXN01603</t>
  </si>
  <si>
    <t>TXN01604</t>
  </si>
  <si>
    <t>TXN01605</t>
  </si>
  <si>
    <t>TXN01606</t>
  </si>
  <si>
    <t>TXN01607</t>
  </si>
  <si>
    <t>TXN01608</t>
  </si>
  <si>
    <t>TXN01609</t>
  </si>
  <si>
    <t>TXN01610</t>
  </si>
  <si>
    <t>TXN01611</t>
  </si>
  <si>
    <t>TXN01612</t>
  </si>
  <si>
    <t>TXN01613</t>
  </si>
  <si>
    <t>TXN01614</t>
  </si>
  <si>
    <t>TXN01615</t>
  </si>
  <si>
    <t>TXN01616</t>
  </si>
  <si>
    <t>TXN01617</t>
  </si>
  <si>
    <t>TXN01618</t>
  </si>
  <si>
    <t>TXN01619</t>
  </si>
  <si>
    <t>TXN01620</t>
  </si>
  <si>
    <t>TXN01621</t>
  </si>
  <si>
    <t>TXN01622</t>
  </si>
  <si>
    <t>TXN01623</t>
  </si>
  <si>
    <t>TXN01624</t>
  </si>
  <si>
    <t>TXN01625</t>
  </si>
  <si>
    <t>TXN01626</t>
  </si>
  <si>
    <t>TXN01627</t>
  </si>
  <si>
    <t>TXN01628</t>
  </si>
  <si>
    <t>TXN01629</t>
  </si>
  <si>
    <t>TXN01630</t>
  </si>
  <si>
    <t>TXN01631</t>
  </si>
  <si>
    <t>TXN01632</t>
  </si>
  <si>
    <t>TXN01633</t>
  </si>
  <si>
    <t>TXN01634</t>
  </si>
  <si>
    <t>TXN01635</t>
  </si>
  <si>
    <t>TXN01636</t>
  </si>
  <si>
    <t>TXN01637</t>
  </si>
  <si>
    <t>TXN01638</t>
  </si>
  <si>
    <t>TXN01639</t>
  </si>
  <si>
    <t>TXN01640</t>
  </si>
  <si>
    <t>TXN01641</t>
  </si>
  <si>
    <t>TXN01642</t>
  </si>
  <si>
    <t>TXN01643</t>
  </si>
  <si>
    <t>TXN01644</t>
  </si>
  <si>
    <t>TXN01645</t>
  </si>
  <si>
    <t>TXN01646</t>
  </si>
  <si>
    <t>TXN01647</t>
  </si>
  <si>
    <t>TXN01648</t>
  </si>
  <si>
    <t>TXN01649</t>
  </si>
  <si>
    <t>TXN01650</t>
  </si>
  <si>
    <t>TXN01651</t>
  </si>
  <si>
    <t>TXN01652</t>
  </si>
  <si>
    <t>TXN01653</t>
  </si>
  <si>
    <t>TXN01654</t>
  </si>
  <si>
    <t>TXN01655</t>
  </si>
  <si>
    <t>TXN01656</t>
  </si>
  <si>
    <t>TXN01657</t>
  </si>
  <si>
    <t>TXN01658</t>
  </si>
  <si>
    <t>TXN01659</t>
  </si>
  <si>
    <t>TXN01660</t>
  </si>
  <si>
    <t>TXN01661</t>
  </si>
  <si>
    <t>TXN01662</t>
  </si>
  <si>
    <t>TXN01663</t>
  </si>
  <si>
    <t>TXN01664</t>
  </si>
  <si>
    <t>TXN01665</t>
  </si>
  <si>
    <t>TXN01666</t>
  </si>
  <si>
    <t>TXN01667</t>
  </si>
  <si>
    <t>TXN01668</t>
  </si>
  <si>
    <t>TXN01669</t>
  </si>
  <si>
    <t>TXN01670</t>
  </si>
  <si>
    <t>TXN01671</t>
  </si>
  <si>
    <t>TXN01672</t>
  </si>
  <si>
    <t>TXN01673</t>
  </si>
  <si>
    <t>TXN01674</t>
  </si>
  <si>
    <t>TXN01675</t>
  </si>
  <si>
    <t>TXN01676</t>
  </si>
  <si>
    <t>TXN01677</t>
  </si>
  <si>
    <t>TXN01678</t>
  </si>
  <si>
    <t>TXN01679</t>
  </si>
  <si>
    <t>TXN01680</t>
  </si>
  <si>
    <t>TXN01681</t>
  </si>
  <si>
    <t>TXN01682</t>
  </si>
  <si>
    <t>TXN01683</t>
  </si>
  <si>
    <t>TXN01684</t>
  </si>
  <si>
    <t>TXN01685</t>
  </si>
  <si>
    <t>TXN01686</t>
  </si>
  <si>
    <t>TXN01687</t>
  </si>
  <si>
    <t>TXN01688</t>
  </si>
  <si>
    <t>TXN01689</t>
  </si>
  <si>
    <t>TXN01690</t>
  </si>
  <si>
    <t>TXN01691</t>
  </si>
  <si>
    <t>TXN01692</t>
  </si>
  <si>
    <t>TXN01693</t>
  </si>
  <si>
    <t>TXN01694</t>
  </si>
  <si>
    <t>TXN01695</t>
  </si>
  <si>
    <t>TXN01696</t>
  </si>
  <si>
    <t>TXN01697</t>
  </si>
  <si>
    <t>TXN01698</t>
  </si>
  <si>
    <t>TXN01699</t>
  </si>
  <si>
    <t>TXN01700</t>
  </si>
  <si>
    <t>TXN01701</t>
  </si>
  <si>
    <t>TXN01702</t>
  </si>
  <si>
    <t>TXN01703</t>
  </si>
  <si>
    <t>TXN01704</t>
  </si>
  <si>
    <t>TXN01705</t>
  </si>
  <si>
    <t>TXN01706</t>
  </si>
  <si>
    <t>TXN01707</t>
  </si>
  <si>
    <t>TXN01708</t>
  </si>
  <si>
    <t>TXN01709</t>
  </si>
  <si>
    <t>TXN01710</t>
  </si>
  <si>
    <t>TXN01711</t>
  </si>
  <si>
    <t>TXN01712</t>
  </si>
  <si>
    <t>TXN01713</t>
  </si>
  <si>
    <t>TXN01714</t>
  </si>
  <si>
    <t>TXN01715</t>
  </si>
  <si>
    <t>TXN01716</t>
  </si>
  <si>
    <t>TXN01717</t>
  </si>
  <si>
    <t>TXN01718</t>
  </si>
  <si>
    <t>TXN01719</t>
  </si>
  <si>
    <t>TXN01720</t>
  </si>
  <si>
    <t>TXN01721</t>
  </si>
  <si>
    <t>TXN01722</t>
  </si>
  <si>
    <t>TXN01723</t>
  </si>
  <si>
    <t>TXN01724</t>
  </si>
  <si>
    <t>TXN01725</t>
  </si>
  <si>
    <t>TXN01726</t>
  </si>
  <si>
    <t>TXN01727</t>
  </si>
  <si>
    <t>TXN01728</t>
  </si>
  <si>
    <t>TXN01729</t>
  </si>
  <si>
    <t>TXN01730</t>
  </si>
  <si>
    <t>TXN01731</t>
  </si>
  <si>
    <t>TXN01732</t>
  </si>
  <si>
    <t>TXN01733</t>
  </si>
  <si>
    <t>TXN01734</t>
  </si>
  <si>
    <t>TXN01735</t>
  </si>
  <si>
    <t>TXN01736</t>
  </si>
  <si>
    <t>TXN01737</t>
  </si>
  <si>
    <t>TXN01738</t>
  </si>
  <si>
    <t>TXN01739</t>
  </si>
  <si>
    <t>TXN01740</t>
  </si>
  <si>
    <t>TXN01741</t>
  </si>
  <si>
    <t>TXN01742</t>
  </si>
  <si>
    <t>TXN01743</t>
  </si>
  <si>
    <t>TXN01744</t>
  </si>
  <si>
    <t>TXN01745</t>
  </si>
  <si>
    <t>TXN01746</t>
  </si>
  <si>
    <t>TXN01747</t>
  </si>
  <si>
    <t>TXN01748</t>
  </si>
  <si>
    <t>TXN01749</t>
  </si>
  <si>
    <t>TXN01750</t>
  </si>
  <si>
    <t>TXN01751</t>
  </si>
  <si>
    <t>TXN01752</t>
  </si>
  <si>
    <t>TXN01753</t>
  </si>
  <si>
    <t>TXN01754</t>
  </si>
  <si>
    <t>TXN01755</t>
  </si>
  <si>
    <t>TXN01756</t>
  </si>
  <si>
    <t>TXN01757</t>
  </si>
  <si>
    <t>TXN01758</t>
  </si>
  <si>
    <t>TXN01759</t>
  </si>
  <si>
    <t>TXN01760</t>
  </si>
  <si>
    <t>TXN01761</t>
  </si>
  <si>
    <t>TXN01762</t>
  </si>
  <si>
    <t>TXN01763</t>
  </si>
  <si>
    <t>TXN01764</t>
  </si>
  <si>
    <t>TXN01765</t>
  </si>
  <si>
    <t>TXN01766</t>
  </si>
  <si>
    <t>TXN01767</t>
  </si>
  <si>
    <t>TXN01768</t>
  </si>
  <si>
    <t>TXN01769</t>
  </si>
  <si>
    <t>TXN01770</t>
  </si>
  <si>
    <t>TXN01771</t>
  </si>
  <si>
    <t>TXN01772</t>
  </si>
  <si>
    <t>TXN01773</t>
  </si>
  <si>
    <t>TXN01774</t>
  </si>
  <si>
    <t>TXN01775</t>
  </si>
  <si>
    <t>TXN01776</t>
  </si>
  <si>
    <t>TXN01777</t>
  </si>
  <si>
    <t>TXN01778</t>
  </si>
  <si>
    <t>TXN01779</t>
  </si>
  <si>
    <t>TXN01780</t>
  </si>
  <si>
    <t>TXN01781</t>
  </si>
  <si>
    <t>TXN01782</t>
  </si>
  <si>
    <t>TXN01783</t>
  </si>
  <si>
    <t>TXN01784</t>
  </si>
  <si>
    <t>TXN01785</t>
  </si>
  <si>
    <t>TXN01786</t>
  </si>
  <si>
    <t>TXN01787</t>
  </si>
  <si>
    <t>TXN01788</t>
  </si>
  <si>
    <t>TXN01789</t>
  </si>
  <si>
    <t>TXN01790</t>
  </si>
  <si>
    <t>TXN01791</t>
  </si>
  <si>
    <t>TXN01792</t>
  </si>
  <si>
    <t>TXN01793</t>
  </si>
  <si>
    <t>TXN01794</t>
  </si>
  <si>
    <t>TXN01795</t>
  </si>
  <si>
    <t>TXN01796</t>
  </si>
  <si>
    <t>TXN01797</t>
  </si>
  <si>
    <t>TXN01798</t>
  </si>
  <si>
    <t>TXN01799</t>
  </si>
  <si>
    <t>TXN01800</t>
  </si>
  <si>
    <t>TXN01801</t>
  </si>
  <si>
    <t>TXN01802</t>
  </si>
  <si>
    <t>TXN01803</t>
  </si>
  <si>
    <t>TXN01804</t>
  </si>
  <si>
    <t>TXN01805</t>
  </si>
  <si>
    <t>TXN01806</t>
  </si>
  <si>
    <t>TXN01807</t>
  </si>
  <si>
    <t>TXN01808</t>
  </si>
  <si>
    <t>TXN01809</t>
  </si>
  <si>
    <t>TXN01810</t>
  </si>
  <si>
    <t>TXN01811</t>
  </si>
  <si>
    <t>TXN01812</t>
  </si>
  <si>
    <t>TXN01813</t>
  </si>
  <si>
    <t>TXN01814</t>
  </si>
  <si>
    <t>TXN01815</t>
  </si>
  <si>
    <t>TXN01816</t>
  </si>
  <si>
    <t>TXN01817</t>
  </si>
  <si>
    <t>TXN01818</t>
  </si>
  <si>
    <t>TXN01819</t>
  </si>
  <si>
    <t>TXN01820</t>
  </si>
  <si>
    <t>TXN01821</t>
  </si>
  <si>
    <t>TXN01822</t>
  </si>
  <si>
    <t>TXN01823</t>
  </si>
  <si>
    <t>TXN01824</t>
  </si>
  <si>
    <t>TXN01825</t>
  </si>
  <si>
    <t>TXN01826</t>
  </si>
  <si>
    <t>TXN01827</t>
  </si>
  <si>
    <t>TXN01828</t>
  </si>
  <si>
    <t>TXN01829</t>
  </si>
  <si>
    <t>TXN01830</t>
  </si>
  <si>
    <t>TXN01831</t>
  </si>
  <si>
    <t>TXN01832</t>
  </si>
  <si>
    <t>TXN01833</t>
  </si>
  <si>
    <t>TXN01834</t>
  </si>
  <si>
    <t>TXN01835</t>
  </si>
  <si>
    <t>TXN01836</t>
  </si>
  <si>
    <t>TXN01837</t>
  </si>
  <si>
    <t>TXN01838</t>
  </si>
  <si>
    <t>TXN01839</t>
  </si>
  <si>
    <t>TXN01840</t>
  </si>
  <si>
    <t>TXN01841</t>
  </si>
  <si>
    <t>TXN01842</t>
  </si>
  <si>
    <t>TXN01843</t>
  </si>
  <si>
    <t>TXN01844</t>
  </si>
  <si>
    <t>TXN01845</t>
  </si>
  <si>
    <t>TXN01846</t>
  </si>
  <si>
    <t>TXN01847</t>
  </si>
  <si>
    <t>TXN01848</t>
  </si>
  <si>
    <t>TXN01849</t>
  </si>
  <si>
    <t>TXN01850</t>
  </si>
  <si>
    <t>TXN01851</t>
  </si>
  <si>
    <t>TXN01852</t>
  </si>
  <si>
    <t>TXN01853</t>
  </si>
  <si>
    <t>TXN01854</t>
  </si>
  <si>
    <t>TXN01855</t>
  </si>
  <si>
    <t>TXN01856</t>
  </si>
  <si>
    <t>TXN01857</t>
  </si>
  <si>
    <t>TXN01858</t>
  </si>
  <si>
    <t>TXN01859</t>
  </si>
  <si>
    <t>TXN01860</t>
  </si>
  <si>
    <t>TXN01861</t>
  </si>
  <si>
    <t>TXN01862</t>
  </si>
  <si>
    <t>TXN01863</t>
  </si>
  <si>
    <t>TXN01864</t>
  </si>
  <si>
    <t>TXN01865</t>
  </si>
  <si>
    <t>TXN01866</t>
  </si>
  <si>
    <t>TXN01867</t>
  </si>
  <si>
    <t>TXN01868</t>
  </si>
  <si>
    <t>TXN01869</t>
  </si>
  <si>
    <t>TXN01870</t>
  </si>
  <si>
    <t>TXN01871</t>
  </si>
  <si>
    <t>TXN01872</t>
  </si>
  <si>
    <t>TXN01873</t>
  </si>
  <si>
    <t>TXN01874</t>
  </si>
  <si>
    <t>TXN01875</t>
  </si>
  <si>
    <t>TXN01876</t>
  </si>
  <si>
    <t>TXN01877</t>
  </si>
  <si>
    <t>TXN01878</t>
  </si>
  <si>
    <t>TXN01879</t>
  </si>
  <si>
    <t>TXN01880</t>
  </si>
  <si>
    <t>TXN01881</t>
  </si>
  <si>
    <t>TXN01882</t>
  </si>
  <si>
    <t>TXN01883</t>
  </si>
  <si>
    <t>TXN01884</t>
  </si>
  <si>
    <t>TXN01885</t>
  </si>
  <si>
    <t>TXN01886</t>
  </si>
  <si>
    <t>TXN01887</t>
  </si>
  <si>
    <t>TXN01888</t>
  </si>
  <si>
    <t>TXN01889</t>
  </si>
  <si>
    <t>TXN01890</t>
  </si>
  <si>
    <t>TXN01891</t>
  </si>
  <si>
    <t>TXN01892</t>
  </si>
  <si>
    <t>TXN01893</t>
  </si>
  <si>
    <t>TXN01894</t>
  </si>
  <si>
    <t>TXN01895</t>
  </si>
  <si>
    <t>TXN01896</t>
  </si>
  <si>
    <t>TXN01897</t>
  </si>
  <si>
    <t>TXN01898</t>
  </si>
  <si>
    <t>TXN01899</t>
  </si>
  <si>
    <t>TXN01900</t>
  </si>
  <si>
    <t>TXN01901</t>
  </si>
  <si>
    <t>TXN01902</t>
  </si>
  <si>
    <t>TXN01903</t>
  </si>
  <si>
    <t>TXN01904</t>
  </si>
  <si>
    <t>TXN01905</t>
  </si>
  <si>
    <t>TXN01906</t>
  </si>
  <si>
    <t>TXN01907</t>
  </si>
  <si>
    <t>TXN01908</t>
  </si>
  <si>
    <t>TXN01909</t>
  </si>
  <si>
    <t>TXN01910</t>
  </si>
  <si>
    <t>TXN01911</t>
  </si>
  <si>
    <t>TXN01912</t>
  </si>
  <si>
    <t>TXN01913</t>
  </si>
  <si>
    <t>TXN01914</t>
  </si>
  <si>
    <t>TXN01915</t>
  </si>
  <si>
    <t>TXN01916</t>
  </si>
  <si>
    <t>TXN01917</t>
  </si>
  <si>
    <t>TXN01918</t>
  </si>
  <si>
    <t>TXN01919</t>
  </si>
  <si>
    <t>TXN01920</t>
  </si>
  <si>
    <t>TXN01921</t>
  </si>
  <si>
    <t>TXN01922</t>
  </si>
  <si>
    <t>TXN01923</t>
  </si>
  <si>
    <t>TXN01924</t>
  </si>
  <si>
    <t>TXN01925</t>
  </si>
  <si>
    <t>TXN01926</t>
  </si>
  <si>
    <t>TXN01927</t>
  </si>
  <si>
    <t>TXN01928</t>
  </si>
  <si>
    <t>TXN01929</t>
  </si>
  <si>
    <t>TXN01930</t>
  </si>
  <si>
    <t>TXN01931</t>
  </si>
  <si>
    <t>TXN01932</t>
  </si>
  <si>
    <t>TXN01933</t>
  </si>
  <si>
    <t>TXN01934</t>
  </si>
  <si>
    <t>TXN01935</t>
  </si>
  <si>
    <t>TXN01936</t>
  </si>
  <si>
    <t>TXN01937</t>
  </si>
  <si>
    <t>TXN01938</t>
  </si>
  <si>
    <t>TXN01939</t>
  </si>
  <si>
    <t>TXN01940</t>
  </si>
  <si>
    <t>TXN01941</t>
  </si>
  <si>
    <t>TXN01942</t>
  </si>
  <si>
    <t>TXN01943</t>
  </si>
  <si>
    <t>TXN01944</t>
  </si>
  <si>
    <t>TXN01945</t>
  </si>
  <si>
    <t>TXN01946</t>
  </si>
  <si>
    <t>TXN01947</t>
  </si>
  <si>
    <t>TXN01948</t>
  </si>
  <si>
    <t>TXN01949</t>
  </si>
  <si>
    <t>TXN01950</t>
  </si>
  <si>
    <t>TXN01951</t>
  </si>
  <si>
    <t>TXN01952</t>
  </si>
  <si>
    <t>TXN01953</t>
  </si>
  <si>
    <t>TXN01954</t>
  </si>
  <si>
    <t>TXN01955</t>
  </si>
  <si>
    <t>TXN01956</t>
  </si>
  <si>
    <t>TXN01957</t>
  </si>
  <si>
    <t>TXN01958</t>
  </si>
  <si>
    <t>TXN01959</t>
  </si>
  <si>
    <t>TXN01960</t>
  </si>
  <si>
    <t>TXN01961</t>
  </si>
  <si>
    <t>TXN01962</t>
  </si>
  <si>
    <t>TXN01963</t>
  </si>
  <si>
    <t>TXN01964</t>
  </si>
  <si>
    <t>TXN01965</t>
  </si>
  <si>
    <t>Base_MRP_INR</t>
  </si>
  <si>
    <t>Pharmacy Sales Dataset – Jan to Dec 2025</t>
  </si>
  <si>
    <t>Note: Simulated (synthetic) data created for a practice analysis. Prices are indicative INR per strip; not real store records.</t>
  </si>
  <si>
    <t>Sales_Data: one row per sale transaction.</t>
  </si>
  <si>
    <t>Medicine_Master: reference list of 32 medicines (16 compositions, each as Branded + Generic).</t>
  </si>
  <si>
    <t>Columns to ADD yourself in the analysis: Month, Revenue (= Quantity x Unit_Price_INR).</t>
  </si>
  <si>
    <t>Revenue</t>
  </si>
  <si>
    <t>Month</t>
  </si>
  <si>
    <t>Month No.</t>
  </si>
  <si>
    <t>Row Labels</t>
  </si>
  <si>
    <t>Grand Total</t>
  </si>
  <si>
    <t>Sum of Quantity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</si>
  <si>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</si>
  <si>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</si>
  <si>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</si>
  <si>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</si>
  <si>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</si>
  <si>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</si>
  <si>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</si>
  <si>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</si>
  <si>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</si>
  <si>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</si>
  <si>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</si>
  <si>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</si>
  <si>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Revenue</t>
  </si>
  <si>
    <t>Growth</t>
  </si>
  <si>
    <t>Growth%</t>
  </si>
  <si>
    <t>Sum of Unit_Price_INR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</si>
</sst>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5" fontId="2" fillId="0" borderId="0" xfId="0" applyNumberFormat="1" applyFont="1"/>
    <xf numFmtId="4" fontId="2" fillId="0" borderId="0" xfId="0" applyNumberFormat="1" applyFont="1"/>
    <xf numFmtId="0" fontId="1" fillId="2" borderId="0" xfId="0" applyFont="1" applyFill="1" applyAlignment="1">
      <alignment horizontal="center"/>
    </xf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3" borderId="0" xfId="0" applyFill="1"/>
    <xf numFmtId="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7">
    <dxf>
      <numFmt numFmtId="13" formatCode="0%"/>
    </dxf>
    <dxf>
      <numFmt numFmtId="13" formatCode="0%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[Pharmacy_Sales_Dataset working.xlsx]Sheet1!PivotTable1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Sheet1!$A$2:$A$34</c:f>
              <c:strCache>
                <c:ptCount val="32"/>
                <c:pt idx="0">
                  <c:v>Voveran 50</c:v>
                </c:pt>
                <c:pt idx="1">
                  <c:v>Vitamin B-Complex</c:v>
                </c:pt>
                <c:pt idx="2">
                  <c:v>Telmisartan 40mg</c:v>
                </c:pt>
                <c:pt idx="3">
                  <c:v>Telma 40</c:v>
                </c:pt>
                <c:pt idx="4">
                  <c:v>Rosuvastatin 10mg</c:v>
                </c:pt>
                <c:pt idx="5">
                  <c:v>Rosuvas 10</c:v>
                </c:pt>
                <c:pt idx="6">
                  <c:v>Paracetamol 650mg</c:v>
                </c:pt>
                <c:pt idx="7">
                  <c:v>Pantoprazole 40mg</c:v>
                </c:pt>
                <c:pt idx="8">
                  <c:v>Pan 40</c:v>
                </c:pt>
                <c:pt idx="9">
                  <c:v>Omez 20</c:v>
                </c:pt>
                <c:pt idx="10">
                  <c:v>Omeprazole 20mg</c:v>
                </c:pt>
                <c:pt idx="11">
                  <c:v>Okacet 10</c:v>
                </c:pt>
                <c:pt idx="12">
                  <c:v>Montelukast+Levocet</c:v>
                </c:pt>
                <c:pt idx="13">
                  <c:v>Montek LC</c:v>
                </c:pt>
                <c:pt idx="14">
                  <c:v>Metformin 500mg</c:v>
                </c:pt>
                <c:pt idx="15">
                  <c:v>Ibuprofen 400mg</c:v>
                </c:pt>
                <c:pt idx="16">
                  <c:v>Glycomet 500</c:v>
                </c:pt>
                <c:pt idx="17">
                  <c:v>Glimepiride 2mg</c:v>
                </c:pt>
                <c:pt idx="18">
                  <c:v>Dolo 650</c:v>
                </c:pt>
                <c:pt idx="19">
                  <c:v>Diclofenac 50mg</c:v>
                </c:pt>
                <c:pt idx="20">
                  <c:v>Cetirizine 10mg</c:v>
                </c:pt>
                <c:pt idx="21">
                  <c:v>Brufen 400</c:v>
                </c:pt>
                <c:pt idx="22">
                  <c:v>Becosules</c:v>
                </c:pt>
                <c:pt idx="23">
                  <c:v>Azithromycin 500mg</c:v>
                </c:pt>
                <c:pt idx="24">
                  <c:v>Azithral 500</c:v>
                </c:pt>
                <c:pt idx="25">
                  <c:v>Augmentin 625</c:v>
                </c:pt>
                <c:pt idx="26">
                  <c:v>Atorvastatin 10mg</c:v>
                </c:pt>
                <c:pt idx="27">
                  <c:v>Atorva 10</c:v>
                </c:pt>
                <c:pt idx="28">
                  <c:v>Amoxicillin+Clav 625mg</c:v>
                </c:pt>
                <c:pt idx="29">
                  <c:v>Amlokind-5</c:v>
                </c:pt>
                <c:pt idx="30">
                  <c:v>Amlodipine 5mg</c:v>
                </c:pt>
                <c:pt idx="31">
                  <c:v>Amaryl 2</c:v>
                </c:pt>
              </c:strCache>
            </c:strRef>
          </c:cat>
          <c:val>
            <c:numRef>
              <c:f>Sheet1!$B$2:$B$34</c:f>
              <c:numCache>
                <c:formatCode>General</c:formatCode>
                <c:ptCount val="32"/>
                <c:pt idx="0">
                  <c:v>96</c:v>
                </c:pt>
                <c:pt idx="1">
                  <c:v>70</c:v>
                </c:pt>
                <c:pt idx="2">
                  <c:v>121</c:v>
                </c:pt>
                <c:pt idx="3">
                  <c:v>245</c:v>
                </c:pt>
                <c:pt idx="4">
                  <c:v>105</c:v>
                </c:pt>
                <c:pt idx="5">
                  <c:v>141</c:v>
                </c:pt>
                <c:pt idx="6">
                  <c:v>200</c:v>
                </c:pt>
                <c:pt idx="7">
                  <c:v>134</c:v>
                </c:pt>
                <c:pt idx="8">
                  <c:v>195</c:v>
                </c:pt>
                <c:pt idx="9">
                  <c:v>104</c:v>
                </c:pt>
                <c:pt idx="10">
                  <c:v>114</c:v>
                </c:pt>
                <c:pt idx="11">
                  <c:v>222</c:v>
                </c:pt>
                <c:pt idx="12">
                  <c:v>74</c:v>
                </c:pt>
                <c:pt idx="13">
                  <c:v>121</c:v>
                </c:pt>
                <c:pt idx="14">
                  <c:v>379</c:v>
                </c:pt>
                <c:pt idx="15">
                  <c:v>91</c:v>
                </c:pt>
                <c:pt idx="16">
                  <c:v>426</c:v>
                </c:pt>
                <c:pt idx="17">
                  <c:v>87</c:v>
                </c:pt>
                <c:pt idx="18">
                  <c:v>440</c:v>
                </c:pt>
                <c:pt idx="19">
                  <c:v>76</c:v>
                </c:pt>
                <c:pt idx="20">
                  <c:v>152</c:v>
                </c:pt>
                <c:pt idx="21">
                  <c:v>211</c:v>
                </c:pt>
                <c:pt idx="22">
                  <c:v>171</c:v>
                </c:pt>
                <c:pt idx="23">
                  <c:v>113</c:v>
                </c:pt>
                <c:pt idx="24">
                  <c:v>174</c:v>
                </c:pt>
                <c:pt idx="25">
                  <c:v>190</c:v>
                </c:pt>
                <c:pt idx="26">
                  <c:v>252</c:v>
                </c:pt>
                <c:pt idx="27">
                  <c:v>276</c:v>
                </c:pt>
                <c:pt idx="28">
                  <c:v>79</c:v>
                </c:pt>
                <c:pt idx="29">
                  <c:v>297</c:v>
                </c:pt>
                <c:pt idx="30">
                  <c:v>317</c:v>
                </c:pt>
                <c:pt idx="31">
                  <c:v>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0B-4CB8-87A7-890ADF38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4430928"/>
        <c:axId val="775562672"/>
      </c:barChart>
      <c:catAx>
        <c:axId val="89443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562672"/>
        <c:crosses val="autoZero"/>
        <c:auto val="1"/>
        <c:lblAlgn val="ctr"/>
        <c:lblOffset val="100"/>
        <c:noMultiLvlLbl val="0"/>
      </c:catAx>
      <c:valAx>
        <c:axId val="77556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43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[Pharmacy_Sales_Dataset working.xlsx]Sheet1!PivotTable1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Sheet1!$A$2:$A$34</c:f>
              <c:strCache>
                <c:ptCount val="32"/>
                <c:pt idx="0">
                  <c:v>Voveran 50</c:v>
                </c:pt>
                <c:pt idx="1">
                  <c:v>Vitamin B-Complex</c:v>
                </c:pt>
                <c:pt idx="2">
                  <c:v>Telmisartan 40mg</c:v>
                </c:pt>
                <c:pt idx="3">
                  <c:v>Telma 40</c:v>
                </c:pt>
                <c:pt idx="4">
                  <c:v>Rosuvastatin 10mg</c:v>
                </c:pt>
                <c:pt idx="5">
                  <c:v>Rosuvas 10</c:v>
                </c:pt>
                <c:pt idx="6">
                  <c:v>Paracetamol 650mg</c:v>
                </c:pt>
                <c:pt idx="7">
                  <c:v>Pantoprazole 40mg</c:v>
                </c:pt>
                <c:pt idx="8">
                  <c:v>Pan 40</c:v>
                </c:pt>
                <c:pt idx="9">
                  <c:v>Omez 20</c:v>
                </c:pt>
                <c:pt idx="10">
                  <c:v>Omeprazole 20mg</c:v>
                </c:pt>
                <c:pt idx="11">
                  <c:v>Okacet 10</c:v>
                </c:pt>
                <c:pt idx="12">
                  <c:v>Montelukast+Levocet</c:v>
                </c:pt>
                <c:pt idx="13">
                  <c:v>Montek LC</c:v>
                </c:pt>
                <c:pt idx="14">
                  <c:v>Metformin 500mg</c:v>
                </c:pt>
                <c:pt idx="15">
                  <c:v>Ibuprofen 400mg</c:v>
                </c:pt>
                <c:pt idx="16">
                  <c:v>Glycomet 500</c:v>
                </c:pt>
                <c:pt idx="17">
                  <c:v>Glimepiride 2mg</c:v>
                </c:pt>
                <c:pt idx="18">
                  <c:v>Dolo 650</c:v>
                </c:pt>
                <c:pt idx="19">
                  <c:v>Diclofenac 50mg</c:v>
                </c:pt>
                <c:pt idx="20">
                  <c:v>Cetirizine 10mg</c:v>
                </c:pt>
                <c:pt idx="21">
                  <c:v>Brufen 400</c:v>
                </c:pt>
                <c:pt idx="22">
                  <c:v>Becosules</c:v>
                </c:pt>
                <c:pt idx="23">
                  <c:v>Azithromycin 500mg</c:v>
                </c:pt>
                <c:pt idx="24">
                  <c:v>Azithral 500</c:v>
                </c:pt>
                <c:pt idx="25">
                  <c:v>Augmentin 625</c:v>
                </c:pt>
                <c:pt idx="26">
                  <c:v>Atorvastatin 10mg</c:v>
                </c:pt>
                <c:pt idx="27">
                  <c:v>Atorva 10</c:v>
                </c:pt>
                <c:pt idx="28">
                  <c:v>Amoxicillin+Clav 625mg</c:v>
                </c:pt>
                <c:pt idx="29">
                  <c:v>Amlokind-5</c:v>
                </c:pt>
                <c:pt idx="30">
                  <c:v>Amlodipine 5mg</c:v>
                </c:pt>
                <c:pt idx="31">
                  <c:v>Amaryl 2</c:v>
                </c:pt>
              </c:strCache>
            </c:strRef>
          </c:cat>
          <c:val>
            <c:numRef>
              <c:f>Sheet1!$B$2:$B$34</c:f>
              <c:numCache>
                <c:formatCode>General</c:formatCode>
                <c:ptCount val="32"/>
                <c:pt idx="0">
                  <c:v>96</c:v>
                </c:pt>
                <c:pt idx="1">
                  <c:v>70</c:v>
                </c:pt>
                <c:pt idx="2">
                  <c:v>121</c:v>
                </c:pt>
                <c:pt idx="3">
                  <c:v>245</c:v>
                </c:pt>
                <c:pt idx="4">
                  <c:v>105</c:v>
                </c:pt>
                <c:pt idx="5">
                  <c:v>141</c:v>
                </c:pt>
                <c:pt idx="6">
                  <c:v>200</c:v>
                </c:pt>
                <c:pt idx="7">
                  <c:v>134</c:v>
                </c:pt>
                <c:pt idx="8">
                  <c:v>195</c:v>
                </c:pt>
                <c:pt idx="9">
                  <c:v>104</c:v>
                </c:pt>
                <c:pt idx="10">
                  <c:v>114</c:v>
                </c:pt>
                <c:pt idx="11">
                  <c:v>222</c:v>
                </c:pt>
                <c:pt idx="12">
                  <c:v>74</c:v>
                </c:pt>
                <c:pt idx="13">
                  <c:v>121</c:v>
                </c:pt>
                <c:pt idx="14">
                  <c:v>379</c:v>
                </c:pt>
                <c:pt idx="15">
                  <c:v>91</c:v>
                </c:pt>
                <c:pt idx="16">
                  <c:v>426</c:v>
                </c:pt>
                <c:pt idx="17">
                  <c:v>87</c:v>
                </c:pt>
                <c:pt idx="18">
                  <c:v>440</c:v>
                </c:pt>
                <c:pt idx="19">
                  <c:v>76</c:v>
                </c:pt>
                <c:pt idx="20">
                  <c:v>152</c:v>
                </c:pt>
                <c:pt idx="21">
                  <c:v>211</c:v>
                </c:pt>
                <c:pt idx="22">
                  <c:v>171</c:v>
                </c:pt>
                <c:pt idx="23">
                  <c:v>113</c:v>
                </c:pt>
                <c:pt idx="24">
                  <c:v>174</c:v>
                </c:pt>
                <c:pt idx="25">
                  <c:v>190</c:v>
                </c:pt>
                <c:pt idx="26">
                  <c:v>252</c:v>
                </c:pt>
                <c:pt idx="27">
                  <c:v>276</c:v>
                </c:pt>
                <c:pt idx="28">
                  <c:v>79</c:v>
                </c:pt>
                <c:pt idx="29">
                  <c:v>297</c:v>
                </c:pt>
                <c:pt idx="30">
                  <c:v>317</c:v>
                </c:pt>
                <c:pt idx="31">
                  <c:v>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68-485D-B3E9-BB20613C1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93087440"/>
        <c:axId val="775548272"/>
        <c:axId val="0"/>
      </c:bar3DChart>
      <c:catAx>
        <c:axId val="1093087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548272"/>
        <c:crosses val="autoZero"/>
        <c:auto val="1"/>
        <c:lblAlgn val="ctr"/>
        <c:lblOffset val="100"/>
        <c:noMultiLvlLbl val="0"/>
      </c:catAx>
      <c:valAx>
        <c:axId val="775548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08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Growth%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Sheet1!$C$2:$C$33</c:f>
              <c:numCache>
                <c:formatCode>General</c:formatCode>
                <c:ptCount val="32"/>
                <c:pt idx="0">
                  <c:v>-0.27083333333333331</c:v>
                </c:pt>
                <c:pt idx="1">
                  <c:v>0.72857142857142854</c:v>
                </c:pt>
                <c:pt idx="2">
                  <c:v>1.024793388429752</c:v>
                </c:pt>
                <c:pt idx="3">
                  <c:v>-0.5714285714285714</c:v>
                </c:pt>
                <c:pt idx="4">
                  <c:v>0.34285714285714286</c:v>
                </c:pt>
                <c:pt idx="5">
                  <c:v>0.41843971631205673</c:v>
                </c:pt>
                <c:pt idx="6">
                  <c:v>-0.33</c:v>
                </c:pt>
                <c:pt idx="7">
                  <c:v>0.45522388059701491</c:v>
                </c:pt>
                <c:pt idx="8">
                  <c:v>-0.46666666666666667</c:v>
                </c:pt>
                <c:pt idx="9">
                  <c:v>9.6153846153846159E-2</c:v>
                </c:pt>
                <c:pt idx="10">
                  <c:v>0.94736842105263153</c:v>
                </c:pt>
                <c:pt idx="11">
                  <c:v>-0.66666666666666663</c:v>
                </c:pt>
                <c:pt idx="12">
                  <c:v>0.63513513513513509</c:v>
                </c:pt>
                <c:pt idx="13">
                  <c:v>2.1322314049586777</c:v>
                </c:pt>
                <c:pt idx="14">
                  <c:v>-0.75989445910290232</c:v>
                </c:pt>
                <c:pt idx="15">
                  <c:v>3.6813186813186811</c:v>
                </c:pt>
                <c:pt idx="16">
                  <c:v>-0.79577464788732399</c:v>
                </c:pt>
                <c:pt idx="17">
                  <c:v>4.0574712643678161</c:v>
                </c:pt>
                <c:pt idx="18">
                  <c:v>-0.82727272727272727</c:v>
                </c:pt>
                <c:pt idx="19">
                  <c:v>1</c:v>
                </c:pt>
                <c:pt idx="20">
                  <c:v>0.38815789473684209</c:v>
                </c:pt>
                <c:pt idx="21">
                  <c:v>-0.1895734597156398</c:v>
                </c:pt>
                <c:pt idx="22">
                  <c:v>-0.33918128654970758</c:v>
                </c:pt>
                <c:pt idx="23">
                  <c:v>0.53982300884955747</c:v>
                </c:pt>
                <c:pt idx="24">
                  <c:v>9.1954022988505746E-2</c:v>
                </c:pt>
                <c:pt idx="25">
                  <c:v>0.32631578947368423</c:v>
                </c:pt>
                <c:pt idx="26">
                  <c:v>9.5238095238095233E-2</c:v>
                </c:pt>
                <c:pt idx="27">
                  <c:v>-0.71376811594202894</c:v>
                </c:pt>
                <c:pt idx="28">
                  <c:v>2.759493670886076</c:v>
                </c:pt>
                <c:pt idx="29">
                  <c:v>6.7340067340067339E-2</c:v>
                </c:pt>
                <c:pt idx="30">
                  <c:v>-0.45110410094637227</c:v>
                </c:pt>
                <c:pt idx="31">
                  <c:v>32.603448275862071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15-425E-B8B5-21356652D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3094720"/>
        <c:axId val="775521392"/>
      </c:lineChart>
      <c:catAx>
        <c:axId val="10930947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521392"/>
        <c:crosses val="autoZero"/>
        <c:auto val="1"/>
        <c:lblAlgn val="ctr"/>
        <c:lblOffset val="100"/>
        <c:noMultiLvlLbl val="0"/>
      </c:catAx>
      <c:valAx>
        <c:axId val="77552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09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[Pharmacy_Sales_Dataset working.xlsx]Sheet2!PivotTable2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Sheet2!$A$2:$A$26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</c:multiLvlStrCache>
            </c:multiLvlStrRef>
          </c:cat>
          <c:val>
            <c:numRef>
              <c:f>Sheet2!$B$2:$B$26</c:f>
              <c:numCache>
                <c:formatCode>General</c:formatCode>
                <c:ptCount val="12"/>
                <c:pt idx="0">
                  <c:v>30413</c:v>
                </c:pt>
                <c:pt idx="1">
                  <c:v>29625</c:v>
                </c:pt>
                <c:pt idx="2">
                  <c:v>34735</c:v>
                </c:pt>
                <c:pt idx="3">
                  <c:v>27233</c:v>
                </c:pt>
                <c:pt idx="4">
                  <c:v>28841</c:v>
                </c:pt>
                <c:pt idx="5">
                  <c:v>28861</c:v>
                </c:pt>
                <c:pt idx="6">
                  <c:v>30401.96</c:v>
                </c:pt>
                <c:pt idx="7">
                  <c:v>34792.609999999986</c:v>
                </c:pt>
                <c:pt idx="8">
                  <c:v>35600.319999999992</c:v>
                </c:pt>
                <c:pt idx="9">
                  <c:v>30567.519999999997</c:v>
                </c:pt>
                <c:pt idx="10">
                  <c:v>33805.609999999979</c:v>
                </c:pt>
                <c:pt idx="11">
                  <c:v>30298.860000000004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B6-467D-82CA-32484920D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5408592"/>
        <c:axId val="775551632"/>
      </c:barChart>
      <c:catAx>
        <c:axId val="100540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551632"/>
        <c:crosses val="autoZero"/>
        <c:auto val="1"/>
        <c:lblAlgn val="ctr"/>
        <c:lblOffset val="100"/>
        <c:noMultiLvlLbl val="0"/>
      </c:catAx>
      <c:valAx>
        <c:axId val="77555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40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[Pharmacy_Sales_Dataset working.xlsx]Sheet3!PivotTable3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Sheet3!$A$2:$A$4</c:f>
              <c:strCache>
                <c:ptCount val="2"/>
                <c:pt idx="0">
                  <c:v>Branded</c:v>
                </c:pt>
                <c:pt idx="1">
                  <c:v>Generic</c:v>
                </c:pt>
              </c:strCache>
            </c:strRef>
          </c:cat>
          <c:val>
            <c:numRef>
              <c:f>Sheet3!$B$2:$B$4</c:f>
              <c:numCache>
                <c:formatCode>General</c:formatCode>
                <c:ptCount val="2"/>
                <c:pt idx="0">
                  <c:v>305452.01000000106</c:v>
                </c:pt>
                <c:pt idx="1">
                  <c:v>69722.869999999981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75-47CB-B027-49FF68A6FBC4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Sum of Unit_Price_INR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Sheet3!$A$2:$A$4</c:f>
              <c:strCache>
                <c:ptCount val="2"/>
                <c:pt idx="0">
                  <c:v>Branded</c:v>
                </c:pt>
                <c:pt idx="1">
                  <c:v>Generic</c:v>
                </c:pt>
              </c:strCache>
            </c:strRef>
          </c:cat>
          <c:val>
            <c:numRef>
              <c:f>Sheet3!$C$2:$C$4</c:f>
              <c:numCache>
                <c:formatCode>#,##0.00</c:formatCode>
                <c:ptCount val="2"/>
                <c:pt idx="0">
                  <c:v>102240.98000000045</c:v>
                </c:pt>
                <c:pt idx="1">
                  <c:v>24307.840000000026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75-47CB-B027-49FF68A6FBC4}"/>
            </c:ext>
          </c:extLst>
        </c:ser>
        <c:ser>
          <c:idx val="2"/>
          <c:order val="2"/>
          <c:tx>
            <c:strRef>
              <c:f>Sheet3!$D$1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Sheet3!$A$2:$A$4</c:f>
              <c:strCache>
                <c:ptCount val="2"/>
                <c:pt idx="0">
                  <c:v>Branded</c:v>
                </c:pt>
                <c:pt idx="1">
                  <c:v>Generic</c:v>
                </c:pt>
              </c:strCache>
            </c:strRef>
          </c:cat>
          <c:val>
            <c:numRef>
              <c:f>Sheet3!$D$2:$D$4</c:f>
              <c:numCache>
                <c:formatCode>General</c:formatCode>
                <c:ptCount val="2"/>
                <c:pt idx="0">
                  <c:v>3483</c:v>
                </c:pt>
                <c:pt idx="1">
                  <c:v>2364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75-47CB-B027-49FF68A6F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0622896"/>
        <c:axId val="775547312"/>
      </c:barChart>
      <c:catAx>
        <c:axId val="108062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547312"/>
        <c:crosses val="autoZero"/>
        <c:auto val="1"/>
        <c:lblAlgn val="ctr"/>
        <c:lblOffset val="100"/>
        <c:noMultiLvlLbl val="0"/>
      </c:catAx>
      <c:valAx>
        <c:axId val="77554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62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[Pharmacy_Sales_Dataset working.xlsx]Sheet3!PivotTable3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Sheet3!$B$1</c:f>
              <c:strCache>
                <c:ptCount val="1"/>
                <c:pt idx="0">
                  <c:v>Sum of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Sheet3!$A$2:$A$4</c:f>
              <c:strCache>
                <c:ptCount val="2"/>
                <c:pt idx="0">
                  <c:v>Branded</c:v>
                </c:pt>
                <c:pt idx="1">
                  <c:v>Generic</c:v>
                </c:pt>
              </c:strCache>
            </c:strRef>
          </c:cat>
          <c:val>
            <c:numRef>
              <c:f>Sheet3!$B$2:$B$4</c:f>
              <c:numCache>
                <c:formatCode>General</c:formatCode>
                <c:ptCount val="2"/>
                <c:pt idx="0">
                  <c:v>305452.01000000106</c:v>
                </c:pt>
                <c:pt idx="1">
                  <c:v>69722.869999999981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56-43EF-AB5A-69187C5D8D47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Sum of Unit_Price_INR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Sheet3!$A$2:$A$4</c:f>
              <c:strCache>
                <c:ptCount val="2"/>
                <c:pt idx="0">
                  <c:v>Branded</c:v>
                </c:pt>
                <c:pt idx="1">
                  <c:v>Generic</c:v>
                </c:pt>
              </c:strCache>
            </c:strRef>
          </c:cat>
          <c:val>
            <c:numRef>
              <c:f>Sheet3!$C$2:$C$4</c:f>
              <c:numCache>
                <c:formatCode>#,##0.00</c:formatCode>
                <c:ptCount val="2"/>
                <c:pt idx="0">
                  <c:v>102240.98000000045</c:v>
                </c:pt>
                <c:pt idx="1">
                  <c:v>24307.840000000026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56-43EF-AB5A-69187C5D8D47}"/>
            </c:ext>
          </c:extLst>
        </c:ser>
        <c:ser>
          <c:idx val="2"/>
          <c:order val="2"/>
          <c:tx>
            <c:strRef>
              <c:f>Sheet3!$D$1</c:f>
              <c:strCache>
                <c:ptCount val="1"/>
                <c:pt idx="0">
                  <c:v>Sum of 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Sheet3!$A$2:$A$4</c:f>
              <c:strCache>
                <c:ptCount val="2"/>
                <c:pt idx="0">
                  <c:v>Branded</c:v>
                </c:pt>
                <c:pt idx="1">
                  <c:v>Generic</c:v>
                </c:pt>
              </c:strCache>
            </c:strRef>
          </c:cat>
          <c:val>
            <c:numRef>
              <c:f>Sheet3!$D$2:$D$4</c:f>
              <c:numCache>
                <c:formatCode>General</c:formatCode>
                <c:ptCount val="2"/>
                <c:pt idx="0">
                  <c:v>3483</c:v>
                </c:pt>
                <c:pt idx="1">
                  <c:v>2364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56-43EF-AB5A-69187C5D8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[Pharmacy_Sales_Dataset working.xlsx]Sheet3!PivotTable3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Sheet3!$A$2:$A$4</c:f>
              <c:strCache>
                <c:ptCount val="2"/>
                <c:pt idx="0">
                  <c:v>Branded</c:v>
                </c:pt>
                <c:pt idx="1">
                  <c:v>Generic</c:v>
                </c:pt>
              </c:strCache>
            </c:strRef>
          </c:cat>
          <c:val>
            <c:numRef>
              <c:f>Sheet3!$B$2:$B$4</c:f>
              <c:numCache>
                <c:formatCode>General</c:formatCode>
                <c:ptCount val="2"/>
                <c:pt idx="0">
                  <c:v>305452.01000000106</c:v>
                </c:pt>
                <c:pt idx="1">
                  <c:v>69722.869999999981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3A-4A0C-8120-1347FA42315A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Sum of Unit_Price_INR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Sheet3!$A$2:$A$4</c:f>
              <c:strCache>
                <c:ptCount val="2"/>
                <c:pt idx="0">
                  <c:v>Branded</c:v>
                </c:pt>
                <c:pt idx="1">
                  <c:v>Generic</c:v>
                </c:pt>
              </c:strCache>
            </c:strRef>
          </c:cat>
          <c:val>
            <c:numRef>
              <c:f>Sheet3!$C$2:$C$4</c:f>
              <c:numCache>
                <c:formatCode>#,##0.00</c:formatCode>
                <c:ptCount val="2"/>
                <c:pt idx="0">
                  <c:v>102240.98000000045</c:v>
                </c:pt>
                <c:pt idx="1">
                  <c:v>24307.840000000026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3A-4A0C-8120-1347FA42315A}"/>
            </c:ext>
          </c:extLst>
        </c:ser>
        <c:ser>
          <c:idx val="2"/>
          <c:order val="2"/>
          <c:tx>
            <c:strRef>
              <c:f>Sheet3!$D$1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Sheet3!$A$2:$A$4</c:f>
              <c:strCache>
                <c:ptCount val="2"/>
                <c:pt idx="0">
                  <c:v>Branded</c:v>
                </c:pt>
                <c:pt idx="1">
                  <c:v>Generic</c:v>
                </c:pt>
              </c:strCache>
            </c:strRef>
          </c:cat>
          <c:val>
            <c:numRef>
              <c:f>Sheet3!$D$2:$D$4</c:f>
              <c:numCache>
                <c:formatCode>General</c:formatCode>
                <c:ptCount val="2"/>
                <c:pt idx="0">
                  <c:v>3483</c:v>
                </c:pt>
                <c:pt idx="1">
                  <c:v>2364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3A-4A0C-8120-1347FA423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83823888"/>
        <c:axId val="775601072"/>
        <c:axId val="0"/>
      </c:bar3DChart>
      <c:catAx>
        <c:axId val="108382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601072"/>
        <c:crosses val="autoZero"/>
        <c:auto val="1"/>
        <c:lblAlgn val="ctr"/>
        <c:lblOffset val="100"/>
        <c:noMultiLvlLbl val="0"/>
      </c:catAx>
      <c:valAx>
        <c:axId val="7756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2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[Pharmacy_Sales_Dataset working.xlsx]Sheet4!PivotTable4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Sheet4!$B$1</c:f>
              <c:strCache>
                <c:ptCount val="1"/>
                <c:pt idx="0">
                  <c:v>Sum of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f>Sheet4!$A$2:$A$11</c:f>
              <c:strCache>
                <c:ptCount val="9"/>
                <c:pt idx="0">
                  <c:v>Analgesic/Antipyretic</c:v>
                </c:pt>
                <c:pt idx="1">
                  <c:v>Antibiotic</c:v>
                </c:pt>
                <c:pt idx="2">
                  <c:v>Antidiabetic</c:v>
                </c:pt>
                <c:pt idx="3">
                  <c:v>Antihistamine</c:v>
                </c:pt>
                <c:pt idx="4">
                  <c:v>Antihypertensive</c:v>
                </c:pt>
                <c:pt idx="5">
                  <c:v>Cardiac/Lipid</c:v>
                </c:pt>
                <c:pt idx="6">
                  <c:v>Gastrointestinal</c:v>
                </c:pt>
                <c:pt idx="7">
                  <c:v>Respiratory/Allergy</c:v>
                </c:pt>
                <c:pt idx="8">
                  <c:v>Vitamin/Supplement</c:v>
                </c:pt>
              </c:strCache>
            </c:strRef>
          </c:cat>
          <c:val>
            <c:numRef>
              <c:f>Sheet4!$B$2:$B$11</c:f>
              <c:numCache>
                <c:formatCode>General</c:formatCode>
                <c:ptCount val="9"/>
                <c:pt idx="0">
                  <c:v>34710.739999999896</c:v>
                </c:pt>
                <c:pt idx="1">
                  <c:v>74683.750000000015</c:v>
                </c:pt>
                <c:pt idx="2">
                  <c:v>55081.119999999995</c:v>
                </c:pt>
                <c:pt idx="3">
                  <c:v>7008.4800000000014</c:v>
                </c:pt>
                <c:pt idx="4">
                  <c:v>58651.029999999933</c:v>
                </c:pt>
                <c:pt idx="5">
                  <c:v>63822.739999999947</c:v>
                </c:pt>
                <c:pt idx="6">
                  <c:v>44770.280000000006</c:v>
                </c:pt>
                <c:pt idx="7">
                  <c:v>27293.979999999996</c:v>
                </c:pt>
                <c:pt idx="8">
                  <c:v>9152.7599999999984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67-46F0-903C-5442A7DE5F94}"/>
            </c:ext>
          </c:extLst>
        </c:ser>
        <c:ser>
          <c:idx val="1"/>
          <c:order val="1"/>
          <c:tx>
            <c:strRef>
              <c:f>Sheet4!$C$1</c:f>
              <c:strCache>
                <c:ptCount val="1"/>
                <c:pt idx="0">
                  <c:v>Sum of 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f>Sheet4!$A$2:$A$11</c:f>
              <c:strCache>
                <c:ptCount val="9"/>
                <c:pt idx="0">
                  <c:v>Analgesic/Antipyretic</c:v>
                </c:pt>
                <c:pt idx="1">
                  <c:v>Antibiotic</c:v>
                </c:pt>
                <c:pt idx="2">
                  <c:v>Antidiabetic</c:v>
                </c:pt>
                <c:pt idx="3">
                  <c:v>Antihistamine</c:v>
                </c:pt>
                <c:pt idx="4">
                  <c:v>Antihypertensive</c:v>
                </c:pt>
                <c:pt idx="5">
                  <c:v>Cardiac/Lipid</c:v>
                </c:pt>
                <c:pt idx="6">
                  <c:v>Gastrointestinal</c:v>
                </c:pt>
                <c:pt idx="7">
                  <c:v>Respiratory/Allergy</c:v>
                </c:pt>
                <c:pt idx="8">
                  <c:v>Vitamin/Supplement</c:v>
                </c:pt>
              </c:strCache>
            </c:strRef>
          </c:cat>
          <c:val>
            <c:numRef>
              <c:f>Sheet4!$C$2:$C$11</c:f>
              <c:numCache>
                <c:formatCode>General</c:formatCode>
                <c:ptCount val="9"/>
                <c:pt idx="0">
                  <c:v>1114</c:v>
                </c:pt>
                <c:pt idx="1">
                  <c:v>556</c:v>
                </c:pt>
                <c:pt idx="2">
                  <c:v>1066</c:v>
                </c:pt>
                <c:pt idx="3">
                  <c:v>374</c:v>
                </c:pt>
                <c:pt idx="4">
                  <c:v>980</c:v>
                </c:pt>
                <c:pt idx="5">
                  <c:v>774</c:v>
                </c:pt>
                <c:pt idx="6">
                  <c:v>547</c:v>
                </c:pt>
                <c:pt idx="7">
                  <c:v>195</c:v>
                </c:pt>
                <c:pt idx="8">
                  <c:v>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67-46F0-903C-5442A7DE5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[Pharmacy_Sales_Dataset working.xlsx]Sheet5!PivotTable5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Sheet5!$B$1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cat>
            <c:strRef>
              <c:f>Sheet5!$A$2:$A$6</c:f>
              <c:strCache>
                <c:ptCount val="4"/>
                <c:pt idx="0">
                  <c:v>Card</c:v>
                </c:pt>
                <c:pt idx="1">
                  <c:v>Cash</c:v>
                </c:pt>
                <c:pt idx="2">
                  <c:v>Insurance</c:v>
                </c:pt>
                <c:pt idx="3">
                  <c:v>UPI</c:v>
                </c:pt>
              </c:strCache>
            </c:strRef>
          </c:cat>
          <c:val>
            <c:numRef>
              <c:f>Sheet5!$B$2:$B$6</c:f>
              <c:numCache>
                <c:formatCode>0%</c:formatCode>
                <c:ptCount val="4"/>
                <c:pt idx="0">
                  <c:v>63620.869999999959</c:v>
                </c:pt>
                <c:pt idx="1">
                  <c:v>65592.609999999986</c:v>
                </c:pt>
                <c:pt idx="2">
                  <c:v>61182.699999999953</c:v>
                </c:pt>
                <c:pt idx="3">
                  <c:v>184778.70000000016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14-4099-A239-A3B945A72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[Pharmacy_Sales_Dataset working.xlsx]Sheet1!PivotTable1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Sheet1!$A$2:$A$34</c:f>
              <c:strCache>
                <c:ptCount val="32"/>
                <c:pt idx="0">
                  <c:v>Voveran 50</c:v>
                </c:pt>
                <c:pt idx="1">
                  <c:v>Vitamin B-Complex</c:v>
                </c:pt>
                <c:pt idx="2">
                  <c:v>Telmisartan 40mg</c:v>
                </c:pt>
                <c:pt idx="3">
                  <c:v>Telma 40</c:v>
                </c:pt>
                <c:pt idx="4">
                  <c:v>Rosuvastatin 10mg</c:v>
                </c:pt>
                <c:pt idx="5">
                  <c:v>Rosuvas 10</c:v>
                </c:pt>
                <c:pt idx="6">
                  <c:v>Paracetamol 650mg</c:v>
                </c:pt>
                <c:pt idx="7">
                  <c:v>Pantoprazole 40mg</c:v>
                </c:pt>
                <c:pt idx="8">
                  <c:v>Pan 40</c:v>
                </c:pt>
                <c:pt idx="9">
                  <c:v>Omez 20</c:v>
                </c:pt>
                <c:pt idx="10">
                  <c:v>Omeprazole 20mg</c:v>
                </c:pt>
                <c:pt idx="11">
                  <c:v>Okacet 10</c:v>
                </c:pt>
                <c:pt idx="12">
                  <c:v>Montelukast+Levocet</c:v>
                </c:pt>
                <c:pt idx="13">
                  <c:v>Montek LC</c:v>
                </c:pt>
                <c:pt idx="14">
                  <c:v>Metformin 500mg</c:v>
                </c:pt>
                <c:pt idx="15">
                  <c:v>Ibuprofen 400mg</c:v>
                </c:pt>
                <c:pt idx="16">
                  <c:v>Glycomet 500</c:v>
                </c:pt>
                <c:pt idx="17">
                  <c:v>Glimepiride 2mg</c:v>
                </c:pt>
                <c:pt idx="18">
                  <c:v>Dolo 650</c:v>
                </c:pt>
                <c:pt idx="19">
                  <c:v>Diclofenac 50mg</c:v>
                </c:pt>
                <c:pt idx="20">
                  <c:v>Cetirizine 10mg</c:v>
                </c:pt>
                <c:pt idx="21">
                  <c:v>Brufen 400</c:v>
                </c:pt>
                <c:pt idx="22">
                  <c:v>Becosules</c:v>
                </c:pt>
                <c:pt idx="23">
                  <c:v>Azithromycin 500mg</c:v>
                </c:pt>
                <c:pt idx="24">
                  <c:v>Azithral 500</c:v>
                </c:pt>
                <c:pt idx="25">
                  <c:v>Augmentin 625</c:v>
                </c:pt>
                <c:pt idx="26">
                  <c:v>Atorvastatin 10mg</c:v>
                </c:pt>
                <c:pt idx="27">
                  <c:v>Atorva 10</c:v>
                </c:pt>
                <c:pt idx="28">
                  <c:v>Amoxicillin+Clav 625mg</c:v>
                </c:pt>
                <c:pt idx="29">
                  <c:v>Amlokind-5</c:v>
                </c:pt>
                <c:pt idx="30">
                  <c:v>Amlodipine 5mg</c:v>
                </c:pt>
                <c:pt idx="31">
                  <c:v>Amaryl 2</c:v>
                </c:pt>
              </c:strCache>
            </c:strRef>
          </c:cat>
          <c:val>
            <c:numRef>
              <c:f>Sheet1!$B$2:$B$34</c:f>
              <c:numCache>
                <c:formatCode>General</c:formatCode>
                <c:ptCount val="32"/>
                <c:pt idx="0">
                  <c:v>96</c:v>
                </c:pt>
                <c:pt idx="1">
                  <c:v>70</c:v>
                </c:pt>
                <c:pt idx="2">
                  <c:v>121</c:v>
                </c:pt>
                <c:pt idx="3">
                  <c:v>245</c:v>
                </c:pt>
                <c:pt idx="4">
                  <c:v>105</c:v>
                </c:pt>
                <c:pt idx="5">
                  <c:v>141</c:v>
                </c:pt>
                <c:pt idx="6">
                  <c:v>200</c:v>
                </c:pt>
                <c:pt idx="7">
                  <c:v>134</c:v>
                </c:pt>
                <c:pt idx="8">
                  <c:v>195</c:v>
                </c:pt>
                <c:pt idx="9">
                  <c:v>104</c:v>
                </c:pt>
                <c:pt idx="10">
                  <c:v>114</c:v>
                </c:pt>
                <c:pt idx="11">
                  <c:v>222</c:v>
                </c:pt>
                <c:pt idx="12">
                  <c:v>74</c:v>
                </c:pt>
                <c:pt idx="13">
                  <c:v>121</c:v>
                </c:pt>
                <c:pt idx="14">
                  <c:v>379</c:v>
                </c:pt>
                <c:pt idx="15">
                  <c:v>91</c:v>
                </c:pt>
                <c:pt idx="16">
                  <c:v>426</c:v>
                </c:pt>
                <c:pt idx="17">
                  <c:v>87</c:v>
                </c:pt>
                <c:pt idx="18">
                  <c:v>440</c:v>
                </c:pt>
                <c:pt idx="19">
                  <c:v>76</c:v>
                </c:pt>
                <c:pt idx="20">
                  <c:v>152</c:v>
                </c:pt>
                <c:pt idx="21">
                  <c:v>211</c:v>
                </c:pt>
                <c:pt idx="22">
                  <c:v>171</c:v>
                </c:pt>
                <c:pt idx="23">
                  <c:v>113</c:v>
                </c:pt>
                <c:pt idx="24">
                  <c:v>174</c:v>
                </c:pt>
                <c:pt idx="25">
                  <c:v>190</c:v>
                </c:pt>
                <c:pt idx="26">
                  <c:v>252</c:v>
                </c:pt>
                <c:pt idx="27">
                  <c:v>276</c:v>
                </c:pt>
                <c:pt idx="28">
                  <c:v>79</c:v>
                </c:pt>
                <c:pt idx="29">
                  <c:v>297</c:v>
                </c:pt>
                <c:pt idx="30">
                  <c:v>317</c:v>
                </c:pt>
                <c:pt idx="31">
                  <c:v>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CC-471A-A764-030B544B2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4430928"/>
        <c:axId val="775562672"/>
      </c:barChart>
      <c:catAx>
        <c:axId val="89443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562672"/>
        <c:crosses val="autoZero"/>
        <c:auto val="1"/>
        <c:lblAlgn val="ctr"/>
        <c:lblOffset val="100"/>
        <c:noMultiLvlLbl val="0"/>
      </c:catAx>
      <c:valAx>
        <c:axId val="77556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43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Growth%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Sheet1!$C$2:$C$33</c:f>
              <c:numCache>
                <c:formatCode>General</c:formatCode>
                <c:ptCount val="32"/>
                <c:pt idx="0">
                  <c:v>-0.27083333333333331</c:v>
                </c:pt>
                <c:pt idx="1">
                  <c:v>0.72857142857142854</c:v>
                </c:pt>
                <c:pt idx="2">
                  <c:v>1.024793388429752</c:v>
                </c:pt>
                <c:pt idx="3">
                  <c:v>-0.5714285714285714</c:v>
                </c:pt>
                <c:pt idx="4">
                  <c:v>0.34285714285714286</c:v>
                </c:pt>
                <c:pt idx="5">
                  <c:v>0.41843971631205673</c:v>
                </c:pt>
                <c:pt idx="6">
                  <c:v>-0.33</c:v>
                </c:pt>
                <c:pt idx="7">
                  <c:v>0.45522388059701491</c:v>
                </c:pt>
                <c:pt idx="8">
                  <c:v>-0.46666666666666667</c:v>
                </c:pt>
                <c:pt idx="9">
                  <c:v>9.6153846153846159E-2</c:v>
                </c:pt>
                <c:pt idx="10">
                  <c:v>0.94736842105263153</c:v>
                </c:pt>
                <c:pt idx="11">
                  <c:v>-0.66666666666666663</c:v>
                </c:pt>
                <c:pt idx="12">
                  <c:v>0.63513513513513509</c:v>
                </c:pt>
                <c:pt idx="13">
                  <c:v>2.1322314049586777</c:v>
                </c:pt>
                <c:pt idx="14">
                  <c:v>-0.75989445910290232</c:v>
                </c:pt>
                <c:pt idx="15">
                  <c:v>3.6813186813186811</c:v>
                </c:pt>
                <c:pt idx="16">
                  <c:v>-0.79577464788732399</c:v>
                </c:pt>
                <c:pt idx="17">
                  <c:v>4.0574712643678161</c:v>
                </c:pt>
                <c:pt idx="18">
                  <c:v>-0.82727272727272727</c:v>
                </c:pt>
                <c:pt idx="19">
                  <c:v>1</c:v>
                </c:pt>
                <c:pt idx="20">
                  <c:v>0.38815789473684209</c:v>
                </c:pt>
                <c:pt idx="21">
                  <c:v>-0.1895734597156398</c:v>
                </c:pt>
                <c:pt idx="22">
                  <c:v>-0.33918128654970758</c:v>
                </c:pt>
                <c:pt idx="23">
                  <c:v>0.53982300884955747</c:v>
                </c:pt>
                <c:pt idx="24">
                  <c:v>9.1954022988505746E-2</c:v>
                </c:pt>
                <c:pt idx="25">
                  <c:v>0.32631578947368423</c:v>
                </c:pt>
                <c:pt idx="26">
                  <c:v>9.5238095238095233E-2</c:v>
                </c:pt>
                <c:pt idx="27">
                  <c:v>-0.71376811594202894</c:v>
                </c:pt>
                <c:pt idx="28">
                  <c:v>2.759493670886076</c:v>
                </c:pt>
                <c:pt idx="29">
                  <c:v>6.7340067340067339E-2</c:v>
                </c:pt>
                <c:pt idx="30">
                  <c:v>-0.45110410094637227</c:v>
                </c:pt>
                <c:pt idx="31">
                  <c:v>32.603448275862071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07-4870-A2C1-C76AF0BD9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3094720"/>
        <c:axId val="775521392"/>
      </c:lineChart>
      <c:catAx>
        <c:axId val="10930947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521392"/>
        <c:crosses val="autoZero"/>
        <c:auto val="1"/>
        <c:lblAlgn val="ctr"/>
        <c:lblOffset val="100"/>
        <c:noMultiLvlLbl val="0"/>
      </c:catAx>
      <c:valAx>
        <c:axId val="77552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09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[Pharmacy_Sales_Dataset working.xlsx]Sheet2!PivotTable2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Sheet2!$A$2:$A$26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</c:multiLvlStrCache>
            </c:multiLvlStrRef>
          </c:cat>
          <c:val>
            <c:numRef>
              <c:f>Sheet2!$B$2:$B$26</c:f>
              <c:numCache>
                <c:formatCode>General</c:formatCode>
                <c:ptCount val="12"/>
                <c:pt idx="0">
                  <c:v>30413</c:v>
                </c:pt>
                <c:pt idx="1">
                  <c:v>29625</c:v>
                </c:pt>
                <c:pt idx="2">
                  <c:v>34735</c:v>
                </c:pt>
                <c:pt idx="3">
                  <c:v>27233</c:v>
                </c:pt>
                <c:pt idx="4">
                  <c:v>28841</c:v>
                </c:pt>
                <c:pt idx="5">
                  <c:v>28861</c:v>
                </c:pt>
                <c:pt idx="6">
                  <c:v>30401.96</c:v>
                </c:pt>
                <c:pt idx="7">
                  <c:v>34792.609999999986</c:v>
                </c:pt>
                <c:pt idx="8">
                  <c:v>35600.319999999992</c:v>
                </c:pt>
                <c:pt idx="9">
                  <c:v>30567.519999999997</c:v>
                </c:pt>
                <c:pt idx="10">
                  <c:v>33805.609999999979</c:v>
                </c:pt>
                <c:pt idx="11">
                  <c:v>30298.860000000004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DD-424B-8C13-DE01CC0F4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5408592"/>
        <c:axId val="775551632"/>
      </c:barChart>
      <c:catAx>
        <c:axId val="100540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551632"/>
        <c:crosses val="autoZero"/>
        <c:auto val="1"/>
        <c:lblAlgn val="ctr"/>
        <c:lblOffset val="100"/>
        <c:noMultiLvlLbl val="0"/>
      </c:catAx>
      <c:valAx>
        <c:axId val="77555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40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[Pharmacy_Sales_Dataset working.xlsx]Sheet3!PivotTable3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Sheet3!$A$2:$A$4</c:f>
              <c:strCache>
                <c:ptCount val="2"/>
                <c:pt idx="0">
                  <c:v>Branded</c:v>
                </c:pt>
                <c:pt idx="1">
                  <c:v>Generic</c:v>
                </c:pt>
              </c:strCache>
            </c:strRef>
          </c:cat>
          <c:val>
            <c:numRef>
              <c:f>Sheet3!$B$2:$B$4</c:f>
              <c:numCache>
                <c:formatCode>General</c:formatCode>
                <c:ptCount val="2"/>
                <c:pt idx="0">
                  <c:v>305452.01000000106</c:v>
                </c:pt>
                <c:pt idx="1">
                  <c:v>69722.869999999981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F7-4DC8-885A-2D9C9986ED20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Sum of Unit_Price_INR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Sheet3!$A$2:$A$4</c:f>
              <c:strCache>
                <c:ptCount val="2"/>
                <c:pt idx="0">
                  <c:v>Branded</c:v>
                </c:pt>
                <c:pt idx="1">
                  <c:v>Generic</c:v>
                </c:pt>
              </c:strCache>
            </c:strRef>
          </c:cat>
          <c:val>
            <c:numRef>
              <c:f>Sheet3!$C$2:$C$4</c:f>
              <c:numCache>
                <c:formatCode>#,##0.00</c:formatCode>
                <c:ptCount val="2"/>
                <c:pt idx="0">
                  <c:v>102240.98000000045</c:v>
                </c:pt>
                <c:pt idx="1">
                  <c:v>24307.840000000026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F7-4DC8-885A-2D9C9986ED20}"/>
            </c:ext>
          </c:extLst>
        </c:ser>
        <c:ser>
          <c:idx val="2"/>
          <c:order val="2"/>
          <c:tx>
            <c:strRef>
              <c:f>Sheet3!$D$1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Sheet3!$A$2:$A$4</c:f>
              <c:strCache>
                <c:ptCount val="2"/>
                <c:pt idx="0">
                  <c:v>Branded</c:v>
                </c:pt>
                <c:pt idx="1">
                  <c:v>Generic</c:v>
                </c:pt>
              </c:strCache>
            </c:strRef>
          </c:cat>
          <c:val>
            <c:numRef>
              <c:f>Sheet3!$D$2:$D$4</c:f>
              <c:numCache>
                <c:formatCode>General</c:formatCode>
                <c:ptCount val="2"/>
                <c:pt idx="0">
                  <c:v>3483</c:v>
                </c:pt>
                <c:pt idx="1">
                  <c:v>2364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F7-4DC8-885A-2D9C9986E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83823888"/>
        <c:axId val="775601072"/>
        <c:axId val="0"/>
      </c:bar3DChart>
      <c:catAx>
        <c:axId val="108382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601072"/>
        <c:crosses val="autoZero"/>
        <c:auto val="1"/>
        <c:lblAlgn val="ctr"/>
        <c:lblOffset val="100"/>
        <c:noMultiLvlLbl val="0"/>
      </c:catAx>
      <c:valAx>
        <c:axId val="7756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2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[Pharmacy_Sales_Dataset working.xlsx]Sheet3!PivotTable3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Sheet3!$B$1</c:f>
              <c:strCache>
                <c:ptCount val="1"/>
                <c:pt idx="0">
                  <c:v>Sum of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C86-4BDA-BA0F-86F0D5BCEF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C86-4BDA-BA0F-86F0D5BCEF1B}"/>
              </c:ext>
            </c:extLst>
          </c:dPt>
          <c:cat>
            <c:strRef>
              <c:f>Sheet3!$A$2:$A$4</c:f>
              <c:strCache>
                <c:ptCount val="2"/>
                <c:pt idx="0">
                  <c:v>Branded</c:v>
                </c:pt>
                <c:pt idx="1">
                  <c:v>Generic</c:v>
                </c:pt>
              </c:strCache>
            </c:strRef>
          </c:cat>
          <c:val>
            <c:numRef>
              <c:f>Sheet3!$B$2:$B$4</c:f>
              <c:numCache>
                <c:formatCode>General</c:formatCode>
                <c:ptCount val="2"/>
                <c:pt idx="0">
                  <c:v>305452.01000000106</c:v>
                </c:pt>
                <c:pt idx="1">
                  <c:v>69722.869999999981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86-4BDA-BA0F-86F0D5BCEF1B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Sum of Unit_Price_INR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8C86-4BDA-BA0F-86F0D5BCEF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8C86-4BDA-BA0F-86F0D5BCEF1B}"/>
              </c:ext>
            </c:extLst>
          </c:dPt>
          <c:cat>
            <c:strRef>
              <c:f>Sheet3!$A$2:$A$4</c:f>
              <c:strCache>
                <c:ptCount val="2"/>
                <c:pt idx="0">
                  <c:v>Branded</c:v>
                </c:pt>
                <c:pt idx="1">
                  <c:v>Generic</c:v>
                </c:pt>
              </c:strCache>
            </c:strRef>
          </c:cat>
          <c:val>
            <c:numRef>
              <c:f>Sheet3!$C$2:$C$4</c:f>
              <c:numCache>
                <c:formatCode>#,##0.00</c:formatCode>
                <c:ptCount val="2"/>
                <c:pt idx="0">
                  <c:v>102240.98000000045</c:v>
                </c:pt>
                <c:pt idx="1">
                  <c:v>24307.840000000026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86-4BDA-BA0F-86F0D5BCEF1B}"/>
            </c:ext>
          </c:extLst>
        </c:ser>
        <c:ser>
          <c:idx val="2"/>
          <c:order val="2"/>
          <c:tx>
            <c:strRef>
              <c:f>Sheet3!$D$1</c:f>
              <c:strCache>
                <c:ptCount val="1"/>
                <c:pt idx="0">
                  <c:v>Sum of 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C86-4BDA-BA0F-86F0D5BCEF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C86-4BDA-BA0F-86F0D5BCEF1B}"/>
              </c:ext>
            </c:extLst>
          </c:dPt>
          <c:cat>
            <c:strRef>
              <c:f>Sheet3!$A$2:$A$4</c:f>
              <c:strCache>
                <c:ptCount val="2"/>
                <c:pt idx="0">
                  <c:v>Branded</c:v>
                </c:pt>
                <c:pt idx="1">
                  <c:v>Generic</c:v>
                </c:pt>
              </c:strCache>
            </c:strRef>
          </c:cat>
          <c:val>
            <c:numRef>
              <c:f>Sheet3!$D$2:$D$4</c:f>
              <c:numCache>
                <c:formatCode>General</c:formatCode>
                <c:ptCount val="2"/>
                <c:pt idx="0">
                  <c:v>3483</c:v>
                </c:pt>
                <c:pt idx="1">
                  <c:v>2364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C86-4BDA-BA0F-86F0D5BCE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[Pharmacy_Sales_Dataset working.xlsx]Sheet4!PivotTable4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Sheet4!$B$1</c:f>
              <c:strCache>
                <c:ptCount val="1"/>
                <c:pt idx="0">
                  <c:v>Sum of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3CB-4CBE-9F23-26CD0FCD6EE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3CB-4CBE-9F23-26CD0FCD6EE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3CB-4CBE-9F23-26CD0FCD6EE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3CB-4CBE-9F23-26CD0FCD6EE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3CB-4CBE-9F23-26CD0FCD6EE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3CB-4CBE-9F23-26CD0FCD6EE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3CB-4CBE-9F23-26CD0FCD6EE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B3CB-4CBE-9F23-26CD0FCD6EE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B3CB-4CBE-9F23-26CD0FCD6EEF}"/>
              </c:ext>
            </c:extLst>
          </c:dPt>
          <c:cat>
            <c:strRef>
              <c:f>Sheet4!$A$2:$A$11</c:f>
              <c:strCache>
                <c:ptCount val="9"/>
                <c:pt idx="0">
                  <c:v>Analgesic/Antipyretic</c:v>
                </c:pt>
                <c:pt idx="1">
                  <c:v>Antibiotic</c:v>
                </c:pt>
                <c:pt idx="2">
                  <c:v>Antidiabetic</c:v>
                </c:pt>
                <c:pt idx="3">
                  <c:v>Antihistamine</c:v>
                </c:pt>
                <c:pt idx="4">
                  <c:v>Antihypertensive</c:v>
                </c:pt>
                <c:pt idx="5">
                  <c:v>Cardiac/Lipid</c:v>
                </c:pt>
                <c:pt idx="6">
                  <c:v>Gastrointestinal</c:v>
                </c:pt>
                <c:pt idx="7">
                  <c:v>Respiratory/Allergy</c:v>
                </c:pt>
                <c:pt idx="8">
                  <c:v>Vitamin/Supplement</c:v>
                </c:pt>
              </c:strCache>
            </c:strRef>
          </c:cat>
          <c:val>
            <c:numRef>
              <c:f>Sheet4!$B$2:$B$11</c:f>
              <c:numCache>
                <c:formatCode>General</c:formatCode>
                <c:ptCount val="9"/>
                <c:pt idx="0">
                  <c:v>34710.739999999896</c:v>
                </c:pt>
                <c:pt idx="1">
                  <c:v>74683.750000000015</c:v>
                </c:pt>
                <c:pt idx="2">
                  <c:v>55081.119999999995</c:v>
                </c:pt>
                <c:pt idx="3">
                  <c:v>7008.4800000000014</c:v>
                </c:pt>
                <c:pt idx="4">
                  <c:v>58651.029999999933</c:v>
                </c:pt>
                <c:pt idx="5">
                  <c:v>63822.739999999947</c:v>
                </c:pt>
                <c:pt idx="6">
                  <c:v>44770.280000000006</c:v>
                </c:pt>
                <c:pt idx="7">
                  <c:v>27293.979999999996</c:v>
                </c:pt>
                <c:pt idx="8">
                  <c:v>9152.7599999999984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3CB-4CBE-9F23-26CD0FCD6EEF}"/>
            </c:ext>
          </c:extLst>
        </c:ser>
        <c:ser>
          <c:idx val="1"/>
          <c:order val="1"/>
          <c:tx>
            <c:strRef>
              <c:f>Sheet4!$C$1</c:f>
              <c:strCache>
                <c:ptCount val="1"/>
                <c:pt idx="0">
                  <c:v>Sum of 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B3CB-4CBE-9F23-26CD0FCD6EE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B3CB-4CBE-9F23-26CD0FCD6EE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B3CB-4CBE-9F23-26CD0FCD6EE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B3CB-4CBE-9F23-26CD0FCD6EE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B3CB-4CBE-9F23-26CD0FCD6EE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B3CB-4CBE-9F23-26CD0FCD6EE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B3CB-4CBE-9F23-26CD0FCD6EE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B3CB-4CBE-9F23-26CD0FCD6EE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B3CB-4CBE-9F23-26CD0FCD6EEF}"/>
              </c:ext>
            </c:extLst>
          </c:dPt>
          <c:cat>
            <c:strRef>
              <c:f>Sheet4!$A$2:$A$11</c:f>
              <c:strCache>
                <c:ptCount val="9"/>
                <c:pt idx="0">
                  <c:v>Analgesic/Antipyretic</c:v>
                </c:pt>
                <c:pt idx="1">
                  <c:v>Antibiotic</c:v>
                </c:pt>
                <c:pt idx="2">
                  <c:v>Antidiabetic</c:v>
                </c:pt>
                <c:pt idx="3">
                  <c:v>Antihistamine</c:v>
                </c:pt>
                <c:pt idx="4">
                  <c:v>Antihypertensive</c:v>
                </c:pt>
                <c:pt idx="5">
                  <c:v>Cardiac/Lipid</c:v>
                </c:pt>
                <c:pt idx="6">
                  <c:v>Gastrointestinal</c:v>
                </c:pt>
                <c:pt idx="7">
                  <c:v>Respiratory/Allergy</c:v>
                </c:pt>
                <c:pt idx="8">
                  <c:v>Vitamin/Supplement</c:v>
                </c:pt>
              </c:strCache>
            </c:strRef>
          </c:cat>
          <c:val>
            <c:numRef>
              <c:f>Sheet4!$C$2:$C$11</c:f>
              <c:numCache>
                <c:formatCode>General</c:formatCode>
                <c:ptCount val="9"/>
                <c:pt idx="0">
                  <c:v>1114</c:v>
                </c:pt>
                <c:pt idx="1">
                  <c:v>556</c:v>
                </c:pt>
                <c:pt idx="2">
                  <c:v>1066</c:v>
                </c:pt>
                <c:pt idx="3">
                  <c:v>374</c:v>
                </c:pt>
                <c:pt idx="4">
                  <c:v>980</c:v>
                </c:pt>
                <c:pt idx="5">
                  <c:v>774</c:v>
                </c:pt>
                <c:pt idx="6">
                  <c:v>547</c:v>
                </c:pt>
                <c:pt idx="7">
                  <c:v>195</c:v>
                </c:pt>
                <c:pt idx="8">
                  <c:v>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B3CB-4CBE-9F23-26CD0FCD6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[Pharmacy_Sales_Dataset working.xlsx]Sheet5!PivotTable5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Sheet5!$B$1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D87-409F-BC8B-A013E59688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D87-409F-BC8B-A013E59688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D87-409F-BC8B-A013E596884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D87-409F-BC8B-A013E5968842}"/>
              </c:ext>
            </c:extLst>
          </c:dPt>
          <c:cat>
            <c:strRef>
              <c:f>Sheet5!$A$2:$A$6</c:f>
              <c:strCache>
                <c:ptCount val="4"/>
                <c:pt idx="0">
                  <c:v>Card</c:v>
                </c:pt>
                <c:pt idx="1">
                  <c:v>Cash</c:v>
                </c:pt>
                <c:pt idx="2">
                  <c:v>Insurance</c:v>
                </c:pt>
                <c:pt idx="3">
                  <c:v>UPI</c:v>
                </c:pt>
              </c:strCache>
            </c:strRef>
          </c:cat>
          <c:val>
            <c:numRef>
              <c:f>Sheet5!$B$2:$B$6</c:f>
              <c:numCache>
                <c:formatCode>0%</c:formatCode>
                <c:ptCount val="4"/>
                <c:pt idx="0">
                  <c:v>63620.869999999959</c:v>
                </c:pt>
                <c:pt idx="1">
                  <c:v>65592.609999999986</c:v>
                </c:pt>
                <c:pt idx="2">
                  <c:v>61182.699999999953</c:v>
                </c:pt>
                <c:pt idx="3">
                  <c:v>184778.70000000016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D87-409F-BC8B-A013E5968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A782D8-E3A2-E8C3-AB17-5A795B64A6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323849</xdr:colOff>
      <xdr:row>0</xdr:row>
      <xdr:rowOff>147637</xdr:rowOff>
    </xdr:from>
    <xdr:to>
      <xdr:col>18</xdr:col>
      <xdr:colOff>504824</xdr:colOff>
      <xdr:row>14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753E78-14B9-B426-89CF-42933C8470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257175</xdr:colOff>
      <xdr:row>15</xdr:row>
      <xdr:rowOff>90487</xdr:rowOff>
    </xdr:from>
    <xdr:to>
      <xdr:col>11</xdr:col>
      <xdr:colOff>561975</xdr:colOff>
      <xdr:row>29</xdr:row>
      <xdr:rowOff>166687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E5E3FFE-0789-1620-2B2F-CF92D16F25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71FA20-E127-718A-BB7B-39BD2AAAA3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209550</xdr:colOff>
      <xdr:row>0</xdr:row>
      <xdr:rowOff>0</xdr:rowOff>
    </xdr:from>
    <xdr:to>
      <xdr:col>9</xdr:col>
      <xdr:colOff>342900</xdr:colOff>
      <xdr:row>12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0F40D3-85DB-C9BF-13F3-9E7A9937B1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228600</xdr:colOff>
      <xdr:row>5</xdr:row>
      <xdr:rowOff>161924</xdr:rowOff>
    </xdr:from>
    <xdr:to>
      <xdr:col>3</xdr:col>
      <xdr:colOff>304800</xdr:colOff>
      <xdr:row>19</xdr:row>
      <xdr:rowOff>61911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316216-3D71-EAA3-5ECA-F7B6775843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533400</xdr:colOff>
      <xdr:row>0</xdr:row>
      <xdr:rowOff>28575</xdr:rowOff>
    </xdr:from>
    <xdr:to>
      <xdr:col>17</xdr:col>
      <xdr:colOff>228600</xdr:colOff>
      <xdr:row>14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5A6ED9-FDE4-7300-CB29-9BCEB77153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BB5CAE-7012-1BD3-CE4D-8B3AF14DF8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27CD0B-C413-C1DD-93B9-BEF26FBC61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EE9855-EB3B-41E5-A00C-D3192388FE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7</xdr:col>
      <xdr:colOff>304800</xdr:colOff>
      <xdr:row>29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EF7B1E-8FFA-493F-9724-8417D096F7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0</xdr:row>
      <xdr:rowOff>0</xdr:rowOff>
    </xdr:from>
    <xdr:to>
      <xdr:col>15</xdr:col>
      <xdr:colOff>304800</xdr:colOff>
      <xdr:row>14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A88DE9-5D9C-42F5-8734-8C1A1CFCCD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23</xdr:col>
      <xdr:colOff>304800</xdr:colOff>
      <xdr:row>14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3C4AC3-21E1-4F01-BB09-7C25AFFFDA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15</xdr:row>
      <xdr:rowOff>170076</xdr:rowOff>
    </xdr:from>
    <xdr:to>
      <xdr:col>23</xdr:col>
      <xdr:colOff>281990</xdr:colOff>
      <xdr:row>29</xdr:row>
      <xdr:rowOff>103902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233CBAC-82C2-4A10-8C7B-F5774B29E7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0</xdr:colOff>
      <xdr:row>0</xdr:row>
      <xdr:rowOff>0</xdr:rowOff>
    </xdr:from>
    <xdr:to>
      <xdr:col>31</xdr:col>
      <xdr:colOff>304800</xdr:colOff>
      <xdr:row>14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5D12992-D3E3-44EC-8666-0EFBCEB7E2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0</xdr:colOff>
      <xdr:row>16</xdr:row>
      <xdr:rowOff>0</xdr:rowOff>
    </xdr:from>
    <xdr:to>
      <xdr:col>31</xdr:col>
      <xdr:colOff>304800</xdr:colOff>
      <xdr:row>30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E1215CD-B973-4505-B3BF-D70E916E07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308.797361111108" createdVersion="8" refreshedVersion="8" minRefreshableVersion="3" recordCount="1965" xr:uid="{2CDA012C-5E96-4A22-BF34-6E69AC84FC8D}">
  <cacheSource type="worksheet">
    <worksheetSource ref="A1:M1966" sheet="Sales_Data"/>
  </cacheSource>
  <cacheFields count="13">
    <cacheField name="Transaction_ID" numFmtId="0">
      <sharedItems/>
    </cacheField>
    <cacheField name="Date" numFmtId="165">
      <sharedItems containsSemiMixedTypes="0" containsNonDate="0" containsDate="1" containsString="0" minDate="2025-01-01T00:00:00" maxDate="2026-01-01T00:00:00"/>
    </cacheField>
    <cacheField name="Medicine_Name" numFmtId="0">
      <sharedItems count="32">
        <s v="Dolo 650"/>
        <s v="Amlodipine 5mg"/>
        <s v="Omez 20"/>
        <s v="Omeprazole 20mg"/>
        <s v="Ibuprofen 400mg"/>
        <s v="Rosuvas 10"/>
        <s v="Telmisartan 40mg"/>
        <s v="Becosules"/>
        <s v="Azithromycin 500mg"/>
        <s v="Brufen 400"/>
        <s v="Okacet 10"/>
        <s v="Augmentin 625"/>
        <s v="Amoxicillin+Clav 625mg"/>
        <s v="Glycomet 500"/>
        <s v="Pan 40"/>
        <s v="Cetirizine 10mg"/>
        <s v="Azithral 500"/>
        <s v="Rosuvastatin 10mg"/>
        <s v="Paracetamol 650mg"/>
        <s v="Metformin 500mg"/>
        <s v="Pantoprazole 40mg"/>
        <s v="Montek LC"/>
        <s v="Atorva 10"/>
        <s v="Voveran 50"/>
        <s v="Amaryl 2"/>
        <s v="Amlokind-5"/>
        <s v="Atorvastatin 10mg"/>
        <s v="Vitamin B-Complex"/>
        <s v="Glimepiride 2mg"/>
        <s v="Diclofenac 50mg"/>
        <s v="Telma 40"/>
        <s v="Montelukast+Levocet"/>
      </sharedItems>
    </cacheField>
    <cacheField name="Composition" numFmtId="0">
      <sharedItems/>
    </cacheField>
    <cacheField name="Category" numFmtId="0">
      <sharedItems count="9">
        <s v="Analgesic/Antipyretic"/>
        <s v="Antihypertensive"/>
        <s v="Gastrointestinal"/>
        <s v="Cardiac/Lipid"/>
        <s v="Vitamin/Supplement"/>
        <s v="Antibiotic"/>
        <s v="Antihistamine"/>
        <s v="Antidiabetic"/>
        <s v="Respiratory/Allergy"/>
      </sharedItems>
    </cacheField>
    <cacheField name="Type" numFmtId="0">
      <sharedItems count="2">
        <s v="Branded"/>
        <s v="Generic"/>
      </sharedItems>
    </cacheField>
    <cacheField name="Manufacturer" numFmtId="0">
      <sharedItems/>
    </cacheField>
    <cacheField name="Quantity" numFmtId="0">
      <sharedItems containsSemiMixedTypes="0" containsString="0" containsNumber="1" containsInteger="1" minValue="1" maxValue="12"/>
    </cacheField>
    <cacheField name="Unit_Price_INR" numFmtId="4">
      <sharedItems containsSemiMixedTypes="0" containsString="0" containsNumber="1" minValue="8" maxValue="207.05"/>
    </cacheField>
    <cacheField name="Payment_Mode" numFmtId="0">
      <sharedItems count="4">
        <s v="UPI"/>
        <s v="Insurance"/>
        <s v="Cash"/>
        <s v="Card"/>
      </sharedItems>
    </cacheField>
    <cacheField name="Revenue" numFmtId="0">
      <sharedItems containsSemiMixedTypes="0" containsString="0" containsNumber="1" minValue="8" maxValue="2302.8000000000002"/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Month No.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5">
  <r>
    <s v="TXN00001"/>
    <d v="2025-01-01T00:00:00"/>
    <x v="0"/>
    <s v="Paracetamol 650mg"/>
    <x v="0"/>
    <x v="0"/>
    <s v="Micro Labs"/>
    <n v="2"/>
    <n v="32"/>
    <x v="0"/>
    <n v="64"/>
    <x v="0"/>
    <x v="0"/>
  </r>
  <r>
    <s v="TXN00002"/>
    <d v="2025-01-01T00:00:00"/>
    <x v="1"/>
    <s v="Amlodipine 5mg"/>
    <x v="1"/>
    <x v="1"/>
    <s v="Jan Aushadhi"/>
    <n v="12"/>
    <n v="15"/>
    <x v="1"/>
    <n v="180"/>
    <x v="0"/>
    <x v="0"/>
  </r>
  <r>
    <s v="TXN00003"/>
    <d v="2025-01-01T00:00:00"/>
    <x v="2"/>
    <s v="Omeprazole 20mg"/>
    <x v="2"/>
    <x v="0"/>
    <s v="Dr. Reddy's"/>
    <n v="1"/>
    <n v="58"/>
    <x v="0"/>
    <n v="58"/>
    <x v="0"/>
    <x v="0"/>
  </r>
  <r>
    <s v="TXN00004"/>
    <d v="2025-01-01T00:00:00"/>
    <x v="3"/>
    <s v="Omeprazole 20mg"/>
    <x v="2"/>
    <x v="1"/>
    <s v="Jan Aushadhi"/>
    <n v="2"/>
    <n v="20"/>
    <x v="0"/>
    <n v="40"/>
    <x v="0"/>
    <x v="0"/>
  </r>
  <r>
    <s v="TXN00005"/>
    <d v="2025-01-01T00:00:00"/>
    <x v="4"/>
    <s v="Ibuprofen 400mg"/>
    <x v="0"/>
    <x v="1"/>
    <s v="Jan Aushadhi"/>
    <n v="4"/>
    <n v="15"/>
    <x v="2"/>
    <n v="60"/>
    <x v="0"/>
    <x v="0"/>
  </r>
  <r>
    <s v="TXN00006"/>
    <d v="2025-01-02T00:00:00"/>
    <x v="0"/>
    <s v="Paracetamol 650mg"/>
    <x v="0"/>
    <x v="0"/>
    <s v="Micro Labs"/>
    <n v="1"/>
    <n v="32"/>
    <x v="0"/>
    <n v="32"/>
    <x v="0"/>
    <x v="0"/>
  </r>
  <r>
    <s v="TXN00007"/>
    <d v="2025-01-02T00:00:00"/>
    <x v="5"/>
    <s v="Rosuvastatin 10mg"/>
    <x v="3"/>
    <x v="0"/>
    <s v="Sun Pharma"/>
    <n v="2"/>
    <n v="165"/>
    <x v="3"/>
    <n v="330"/>
    <x v="0"/>
    <x v="0"/>
  </r>
  <r>
    <s v="TXN00008"/>
    <d v="2025-01-02T00:00:00"/>
    <x v="6"/>
    <s v="Telmisartan 40mg"/>
    <x v="1"/>
    <x v="1"/>
    <s v="Jan Aushadhi"/>
    <n v="6"/>
    <n v="46"/>
    <x v="0"/>
    <n v="276"/>
    <x v="0"/>
    <x v="0"/>
  </r>
  <r>
    <s v="TXN00009"/>
    <d v="2025-01-02T00:00:00"/>
    <x v="7"/>
    <s v="Vitamin B-Complex"/>
    <x v="4"/>
    <x v="0"/>
    <s v="Pfizer"/>
    <n v="2"/>
    <n v="46"/>
    <x v="0"/>
    <n v="92"/>
    <x v="0"/>
    <x v="0"/>
  </r>
  <r>
    <s v="TXN00010"/>
    <d v="2025-01-03T00:00:00"/>
    <x v="0"/>
    <s v="Paracetamol 650mg"/>
    <x v="0"/>
    <x v="0"/>
    <s v="Micro Labs"/>
    <n v="4"/>
    <n v="32"/>
    <x v="0"/>
    <n v="128"/>
    <x v="0"/>
    <x v="0"/>
  </r>
  <r>
    <s v="TXN00011"/>
    <d v="2025-01-03T00:00:00"/>
    <x v="8"/>
    <s v="Azithromycin 500mg"/>
    <x v="5"/>
    <x v="1"/>
    <s v="Jan Aushadhi"/>
    <n v="2"/>
    <n v="55"/>
    <x v="1"/>
    <n v="110"/>
    <x v="0"/>
    <x v="0"/>
  </r>
  <r>
    <s v="TXN00012"/>
    <d v="2025-01-03T00:00:00"/>
    <x v="3"/>
    <s v="Omeprazole 20mg"/>
    <x v="2"/>
    <x v="1"/>
    <s v="Jan Aushadhi"/>
    <n v="3"/>
    <n v="20"/>
    <x v="0"/>
    <n v="60"/>
    <x v="0"/>
    <x v="0"/>
  </r>
  <r>
    <s v="TXN00013"/>
    <d v="2025-01-03T00:00:00"/>
    <x v="9"/>
    <s v="Ibuprofen 400mg"/>
    <x v="0"/>
    <x v="0"/>
    <s v="Abbott"/>
    <n v="2"/>
    <n v="42"/>
    <x v="0"/>
    <n v="84"/>
    <x v="0"/>
    <x v="0"/>
  </r>
  <r>
    <s v="TXN00014"/>
    <d v="2025-01-03T00:00:00"/>
    <x v="9"/>
    <s v="Ibuprofen 400mg"/>
    <x v="0"/>
    <x v="0"/>
    <s v="Abbott"/>
    <n v="4"/>
    <n v="42"/>
    <x v="0"/>
    <n v="168"/>
    <x v="0"/>
    <x v="0"/>
  </r>
  <r>
    <s v="TXN00015"/>
    <d v="2025-01-04T00:00:00"/>
    <x v="1"/>
    <s v="Amlodipine 5mg"/>
    <x v="1"/>
    <x v="1"/>
    <s v="Jan Aushadhi"/>
    <n v="2"/>
    <n v="15"/>
    <x v="3"/>
    <n v="30"/>
    <x v="0"/>
    <x v="0"/>
  </r>
  <r>
    <s v="TXN00016"/>
    <d v="2025-01-04T00:00:00"/>
    <x v="1"/>
    <s v="Amlodipine 5mg"/>
    <x v="1"/>
    <x v="1"/>
    <s v="Jan Aushadhi"/>
    <n v="1"/>
    <n v="15"/>
    <x v="2"/>
    <n v="15"/>
    <x v="0"/>
    <x v="0"/>
  </r>
  <r>
    <s v="TXN00017"/>
    <d v="2025-01-04T00:00:00"/>
    <x v="6"/>
    <s v="Telmisartan 40mg"/>
    <x v="1"/>
    <x v="1"/>
    <s v="Jan Aushadhi"/>
    <n v="2"/>
    <n v="46"/>
    <x v="3"/>
    <n v="92"/>
    <x v="0"/>
    <x v="0"/>
  </r>
  <r>
    <s v="TXN00018"/>
    <d v="2025-01-04T00:00:00"/>
    <x v="3"/>
    <s v="Omeprazole 20mg"/>
    <x v="2"/>
    <x v="1"/>
    <s v="Jan Aushadhi"/>
    <n v="4"/>
    <n v="20"/>
    <x v="0"/>
    <n v="80"/>
    <x v="0"/>
    <x v="0"/>
  </r>
  <r>
    <s v="TXN00019"/>
    <d v="2025-01-04T00:00:00"/>
    <x v="10"/>
    <s v="Cetirizine 10mg"/>
    <x v="6"/>
    <x v="0"/>
    <s v="Cipla"/>
    <n v="2"/>
    <n v="26"/>
    <x v="0"/>
    <n v="52"/>
    <x v="0"/>
    <x v="0"/>
  </r>
  <r>
    <s v="TXN00020"/>
    <d v="2025-01-05T00:00:00"/>
    <x v="0"/>
    <s v="Paracetamol 650mg"/>
    <x v="0"/>
    <x v="0"/>
    <s v="Micro Labs"/>
    <n v="1"/>
    <n v="32"/>
    <x v="1"/>
    <n v="32"/>
    <x v="0"/>
    <x v="0"/>
  </r>
  <r>
    <s v="TXN00021"/>
    <d v="2025-01-05T00:00:00"/>
    <x v="0"/>
    <s v="Paracetamol 650mg"/>
    <x v="0"/>
    <x v="0"/>
    <s v="Micro Labs"/>
    <n v="2"/>
    <n v="32"/>
    <x v="2"/>
    <n v="64"/>
    <x v="0"/>
    <x v="0"/>
  </r>
  <r>
    <s v="TXN00022"/>
    <d v="2025-01-05T00:00:00"/>
    <x v="11"/>
    <s v="Amoxicillin+Clavulanate 625mg"/>
    <x v="5"/>
    <x v="0"/>
    <s v="GSK"/>
    <n v="2"/>
    <n v="205"/>
    <x v="3"/>
    <n v="410"/>
    <x v="0"/>
    <x v="0"/>
  </r>
  <r>
    <s v="TXN00023"/>
    <d v="2025-01-05T00:00:00"/>
    <x v="11"/>
    <s v="Amoxicillin+Clavulanate 625mg"/>
    <x v="5"/>
    <x v="0"/>
    <s v="GSK"/>
    <n v="5"/>
    <n v="205"/>
    <x v="2"/>
    <n v="1025"/>
    <x v="0"/>
    <x v="0"/>
  </r>
  <r>
    <s v="TXN00024"/>
    <d v="2025-01-05T00:00:00"/>
    <x v="12"/>
    <s v="Amoxicillin+Clavulanate 625mg"/>
    <x v="5"/>
    <x v="1"/>
    <s v="Jan Aushadhi"/>
    <n v="1"/>
    <n v="95"/>
    <x v="0"/>
    <n v="95"/>
    <x v="0"/>
    <x v="0"/>
  </r>
  <r>
    <s v="TXN00025"/>
    <d v="2025-01-05T00:00:00"/>
    <x v="13"/>
    <s v="Metformin 500mg"/>
    <x v="7"/>
    <x v="0"/>
    <s v="USV"/>
    <n v="3"/>
    <n v="32"/>
    <x v="3"/>
    <n v="96"/>
    <x v="0"/>
    <x v="0"/>
  </r>
  <r>
    <s v="TXN00026"/>
    <d v="2025-01-05T00:00:00"/>
    <x v="14"/>
    <s v="Pantoprazole 40mg"/>
    <x v="2"/>
    <x v="0"/>
    <s v="Alkem"/>
    <n v="2"/>
    <n v="152"/>
    <x v="0"/>
    <n v="304"/>
    <x v="0"/>
    <x v="0"/>
  </r>
  <r>
    <s v="TXN00027"/>
    <d v="2025-01-05T00:00:00"/>
    <x v="15"/>
    <s v="Cetirizine 10mg"/>
    <x v="6"/>
    <x v="1"/>
    <s v="Jan Aushadhi"/>
    <n v="1"/>
    <n v="8"/>
    <x v="0"/>
    <n v="8"/>
    <x v="0"/>
    <x v="0"/>
  </r>
  <r>
    <s v="TXN00028"/>
    <d v="2025-01-05T00:00:00"/>
    <x v="15"/>
    <s v="Cetirizine 10mg"/>
    <x v="6"/>
    <x v="1"/>
    <s v="Jan Aushadhi"/>
    <n v="1"/>
    <n v="8"/>
    <x v="0"/>
    <n v="8"/>
    <x v="0"/>
    <x v="0"/>
  </r>
  <r>
    <s v="TXN00029"/>
    <d v="2025-01-05T00:00:00"/>
    <x v="9"/>
    <s v="Ibuprofen 400mg"/>
    <x v="0"/>
    <x v="0"/>
    <s v="Abbott"/>
    <n v="1"/>
    <n v="42"/>
    <x v="0"/>
    <n v="42"/>
    <x v="0"/>
    <x v="0"/>
  </r>
  <r>
    <s v="TXN00030"/>
    <d v="2025-01-06T00:00:00"/>
    <x v="16"/>
    <s v="Azithromycin 500mg"/>
    <x v="5"/>
    <x v="0"/>
    <s v="Alembic"/>
    <n v="2"/>
    <n v="125"/>
    <x v="0"/>
    <n v="250"/>
    <x v="0"/>
    <x v="0"/>
  </r>
  <r>
    <s v="TXN00031"/>
    <d v="2025-01-06T00:00:00"/>
    <x v="17"/>
    <s v="Rosuvastatin 10mg"/>
    <x v="3"/>
    <x v="1"/>
    <s v="Jan Aushadhi"/>
    <n v="2"/>
    <n v="58"/>
    <x v="1"/>
    <n v="116"/>
    <x v="0"/>
    <x v="0"/>
  </r>
  <r>
    <s v="TXN00032"/>
    <d v="2025-01-07T00:00:00"/>
    <x v="5"/>
    <s v="Rosuvastatin 10mg"/>
    <x v="3"/>
    <x v="0"/>
    <s v="Sun Pharma"/>
    <n v="3"/>
    <n v="165"/>
    <x v="3"/>
    <n v="495"/>
    <x v="0"/>
    <x v="0"/>
  </r>
  <r>
    <s v="TXN00033"/>
    <d v="2025-01-07T00:00:00"/>
    <x v="10"/>
    <s v="Cetirizine 10mg"/>
    <x v="6"/>
    <x v="0"/>
    <s v="Cipla"/>
    <n v="4"/>
    <n v="26"/>
    <x v="0"/>
    <n v="104"/>
    <x v="0"/>
    <x v="0"/>
  </r>
  <r>
    <s v="TXN00034"/>
    <d v="2025-01-07T00:00:00"/>
    <x v="7"/>
    <s v="Vitamin B-Complex"/>
    <x v="4"/>
    <x v="0"/>
    <s v="Pfizer"/>
    <n v="5"/>
    <n v="46"/>
    <x v="0"/>
    <n v="230"/>
    <x v="0"/>
    <x v="0"/>
  </r>
  <r>
    <s v="TXN00035"/>
    <d v="2025-01-08T00:00:00"/>
    <x v="0"/>
    <s v="Paracetamol 650mg"/>
    <x v="0"/>
    <x v="0"/>
    <s v="Micro Labs"/>
    <n v="1"/>
    <n v="32"/>
    <x v="0"/>
    <n v="32"/>
    <x v="0"/>
    <x v="0"/>
  </r>
  <r>
    <s v="TXN00036"/>
    <d v="2025-01-08T00:00:00"/>
    <x v="18"/>
    <s v="Paracetamol 650mg"/>
    <x v="0"/>
    <x v="1"/>
    <s v="Jan Aushadhi"/>
    <n v="2"/>
    <n v="14"/>
    <x v="0"/>
    <n v="28"/>
    <x v="0"/>
    <x v="0"/>
  </r>
  <r>
    <s v="TXN00037"/>
    <d v="2025-01-08T00:00:00"/>
    <x v="19"/>
    <s v="Metformin 500mg"/>
    <x v="7"/>
    <x v="1"/>
    <s v="Jan Aushadhi"/>
    <n v="3"/>
    <n v="12"/>
    <x v="1"/>
    <n v="36"/>
    <x v="0"/>
    <x v="0"/>
  </r>
  <r>
    <s v="TXN00038"/>
    <d v="2025-01-08T00:00:00"/>
    <x v="20"/>
    <s v="Pantoprazole 40mg"/>
    <x v="2"/>
    <x v="1"/>
    <s v="Jan Aushadhi"/>
    <n v="2"/>
    <n v="50"/>
    <x v="0"/>
    <n v="100"/>
    <x v="0"/>
    <x v="0"/>
  </r>
  <r>
    <s v="TXN00039"/>
    <d v="2025-01-08T00:00:00"/>
    <x v="21"/>
    <s v="Montelukast+Levocetirizine"/>
    <x v="8"/>
    <x v="0"/>
    <s v="Sun Pharma"/>
    <n v="1"/>
    <n v="182"/>
    <x v="0"/>
    <n v="182"/>
    <x v="0"/>
    <x v="0"/>
  </r>
  <r>
    <s v="TXN00040"/>
    <d v="2025-01-09T00:00:00"/>
    <x v="22"/>
    <s v="Atorvastatin 10mg"/>
    <x v="3"/>
    <x v="0"/>
    <s v="Zydus"/>
    <n v="3"/>
    <n v="92"/>
    <x v="0"/>
    <n v="276"/>
    <x v="0"/>
    <x v="0"/>
  </r>
  <r>
    <s v="TXN00041"/>
    <d v="2025-01-09T00:00:00"/>
    <x v="1"/>
    <s v="Amlodipine 5mg"/>
    <x v="1"/>
    <x v="1"/>
    <s v="Jan Aushadhi"/>
    <n v="1"/>
    <n v="15"/>
    <x v="0"/>
    <n v="15"/>
    <x v="0"/>
    <x v="0"/>
  </r>
  <r>
    <s v="TXN00042"/>
    <d v="2025-01-09T00:00:00"/>
    <x v="20"/>
    <s v="Pantoprazole 40mg"/>
    <x v="2"/>
    <x v="1"/>
    <s v="Jan Aushadhi"/>
    <n v="1"/>
    <n v="50"/>
    <x v="0"/>
    <n v="50"/>
    <x v="0"/>
    <x v="0"/>
  </r>
  <r>
    <s v="TXN00043"/>
    <d v="2025-01-09T00:00:00"/>
    <x v="3"/>
    <s v="Omeprazole 20mg"/>
    <x v="2"/>
    <x v="1"/>
    <s v="Jan Aushadhi"/>
    <n v="1"/>
    <n v="20"/>
    <x v="0"/>
    <n v="20"/>
    <x v="0"/>
    <x v="0"/>
  </r>
  <r>
    <s v="TXN00044"/>
    <d v="2025-01-09T00:00:00"/>
    <x v="23"/>
    <s v="Diclofenac 50mg"/>
    <x v="0"/>
    <x v="0"/>
    <s v="Novartis"/>
    <n v="4"/>
    <n v="62"/>
    <x v="2"/>
    <n v="248"/>
    <x v="0"/>
    <x v="0"/>
  </r>
  <r>
    <s v="TXN00045"/>
    <d v="2025-01-10T00:00:00"/>
    <x v="13"/>
    <s v="Metformin 500mg"/>
    <x v="7"/>
    <x v="0"/>
    <s v="USV"/>
    <n v="3"/>
    <n v="32"/>
    <x v="2"/>
    <n v="96"/>
    <x v="0"/>
    <x v="0"/>
  </r>
  <r>
    <s v="TXN00046"/>
    <d v="2025-01-10T00:00:00"/>
    <x v="13"/>
    <s v="Metformin 500mg"/>
    <x v="7"/>
    <x v="0"/>
    <s v="USV"/>
    <n v="12"/>
    <n v="32"/>
    <x v="0"/>
    <n v="384"/>
    <x v="0"/>
    <x v="0"/>
  </r>
  <r>
    <s v="TXN00047"/>
    <d v="2025-01-10T00:00:00"/>
    <x v="19"/>
    <s v="Metformin 500mg"/>
    <x v="7"/>
    <x v="1"/>
    <s v="Jan Aushadhi"/>
    <n v="6"/>
    <n v="12"/>
    <x v="0"/>
    <n v="72"/>
    <x v="0"/>
    <x v="0"/>
  </r>
  <r>
    <s v="TXN00048"/>
    <d v="2025-01-10T00:00:00"/>
    <x v="20"/>
    <s v="Pantoprazole 40mg"/>
    <x v="2"/>
    <x v="1"/>
    <s v="Jan Aushadhi"/>
    <n v="2"/>
    <n v="50"/>
    <x v="2"/>
    <n v="100"/>
    <x v="0"/>
    <x v="0"/>
  </r>
  <r>
    <s v="TXN00049"/>
    <d v="2025-01-10T00:00:00"/>
    <x v="10"/>
    <s v="Cetirizine 10mg"/>
    <x v="6"/>
    <x v="0"/>
    <s v="Cipla"/>
    <n v="4"/>
    <n v="26"/>
    <x v="2"/>
    <n v="104"/>
    <x v="0"/>
    <x v="0"/>
  </r>
  <r>
    <s v="TXN00050"/>
    <d v="2025-01-10T00:00:00"/>
    <x v="10"/>
    <s v="Cetirizine 10mg"/>
    <x v="6"/>
    <x v="0"/>
    <s v="Cipla"/>
    <n v="2"/>
    <n v="26"/>
    <x v="0"/>
    <n v="52"/>
    <x v="0"/>
    <x v="0"/>
  </r>
  <r>
    <s v="TXN00051"/>
    <d v="2025-01-11T00:00:00"/>
    <x v="8"/>
    <s v="Azithromycin 500mg"/>
    <x v="5"/>
    <x v="1"/>
    <s v="Jan Aushadhi"/>
    <n v="2"/>
    <n v="55"/>
    <x v="0"/>
    <n v="110"/>
    <x v="0"/>
    <x v="0"/>
  </r>
  <r>
    <s v="TXN00052"/>
    <d v="2025-01-11T00:00:00"/>
    <x v="24"/>
    <s v="Glimepiride 2mg"/>
    <x v="7"/>
    <x v="0"/>
    <s v="Sanofi"/>
    <n v="2"/>
    <n v="190"/>
    <x v="0"/>
    <n v="380"/>
    <x v="0"/>
    <x v="0"/>
  </r>
  <r>
    <s v="TXN00053"/>
    <d v="2025-01-11T00:00:00"/>
    <x v="22"/>
    <s v="Atorvastatin 10mg"/>
    <x v="3"/>
    <x v="0"/>
    <s v="Zydus"/>
    <n v="1"/>
    <n v="92"/>
    <x v="0"/>
    <n v="92"/>
    <x v="0"/>
    <x v="0"/>
  </r>
  <r>
    <s v="TXN00054"/>
    <d v="2025-01-11T00:00:00"/>
    <x v="25"/>
    <s v="Amlodipine 5mg"/>
    <x v="1"/>
    <x v="0"/>
    <s v="Mankind"/>
    <n v="1"/>
    <n v="45"/>
    <x v="0"/>
    <n v="45"/>
    <x v="0"/>
    <x v="0"/>
  </r>
  <r>
    <s v="TXN00055"/>
    <d v="2025-01-11T00:00:00"/>
    <x v="9"/>
    <s v="Ibuprofen 400mg"/>
    <x v="0"/>
    <x v="0"/>
    <s v="Abbott"/>
    <n v="3"/>
    <n v="42"/>
    <x v="2"/>
    <n v="126"/>
    <x v="0"/>
    <x v="0"/>
  </r>
  <r>
    <s v="TXN00056"/>
    <d v="2025-01-12T00:00:00"/>
    <x v="1"/>
    <s v="Amlodipine 5mg"/>
    <x v="1"/>
    <x v="1"/>
    <s v="Jan Aushadhi"/>
    <n v="3"/>
    <n v="15"/>
    <x v="3"/>
    <n v="45"/>
    <x v="0"/>
    <x v="0"/>
  </r>
  <r>
    <s v="TXN00057"/>
    <d v="2025-01-12T00:00:00"/>
    <x v="14"/>
    <s v="Pantoprazole 40mg"/>
    <x v="2"/>
    <x v="0"/>
    <s v="Alkem"/>
    <n v="4"/>
    <n v="152"/>
    <x v="1"/>
    <n v="608"/>
    <x v="0"/>
    <x v="0"/>
  </r>
  <r>
    <s v="TXN00058"/>
    <d v="2025-01-13T00:00:00"/>
    <x v="16"/>
    <s v="Azithromycin 500mg"/>
    <x v="5"/>
    <x v="0"/>
    <s v="Alembic"/>
    <n v="2"/>
    <n v="125"/>
    <x v="1"/>
    <n v="250"/>
    <x v="0"/>
    <x v="0"/>
  </r>
  <r>
    <s v="TXN00059"/>
    <d v="2025-01-13T00:00:00"/>
    <x v="26"/>
    <s v="Atorvastatin 10mg"/>
    <x v="3"/>
    <x v="1"/>
    <s v="Jan Aushadhi"/>
    <n v="3"/>
    <n v="35"/>
    <x v="0"/>
    <n v="105"/>
    <x v="0"/>
    <x v="0"/>
  </r>
  <r>
    <s v="TXN00060"/>
    <d v="2025-01-13T00:00:00"/>
    <x v="15"/>
    <s v="Cetirizine 10mg"/>
    <x v="6"/>
    <x v="1"/>
    <s v="Jan Aushadhi"/>
    <n v="5"/>
    <n v="8"/>
    <x v="0"/>
    <n v="40"/>
    <x v="0"/>
    <x v="0"/>
  </r>
  <r>
    <s v="TXN00061"/>
    <d v="2025-01-13T00:00:00"/>
    <x v="27"/>
    <s v="Vitamin B-Complex"/>
    <x v="4"/>
    <x v="1"/>
    <s v="Jan Aushadhi"/>
    <n v="2"/>
    <n v="18"/>
    <x v="0"/>
    <n v="36"/>
    <x v="0"/>
    <x v="0"/>
  </r>
  <r>
    <s v="TXN00062"/>
    <d v="2025-01-14T00:00:00"/>
    <x v="11"/>
    <s v="Amoxicillin+Clavulanate 625mg"/>
    <x v="5"/>
    <x v="0"/>
    <s v="GSK"/>
    <n v="4"/>
    <n v="205"/>
    <x v="0"/>
    <n v="820"/>
    <x v="0"/>
    <x v="0"/>
  </r>
  <r>
    <s v="TXN00063"/>
    <d v="2025-01-14T00:00:00"/>
    <x v="26"/>
    <s v="Atorvastatin 10mg"/>
    <x v="3"/>
    <x v="1"/>
    <s v="Jan Aushadhi"/>
    <n v="3"/>
    <n v="35"/>
    <x v="0"/>
    <n v="105"/>
    <x v="0"/>
    <x v="0"/>
  </r>
  <r>
    <s v="TXN00064"/>
    <d v="2025-01-14T00:00:00"/>
    <x v="6"/>
    <s v="Telmisartan 40mg"/>
    <x v="1"/>
    <x v="1"/>
    <s v="Jan Aushadhi"/>
    <n v="1"/>
    <n v="46"/>
    <x v="0"/>
    <n v="46"/>
    <x v="0"/>
    <x v="0"/>
  </r>
  <r>
    <s v="TXN00065"/>
    <d v="2025-01-14T00:00:00"/>
    <x v="4"/>
    <s v="Ibuprofen 400mg"/>
    <x v="0"/>
    <x v="1"/>
    <s v="Jan Aushadhi"/>
    <n v="4"/>
    <n v="15"/>
    <x v="1"/>
    <n v="60"/>
    <x v="0"/>
    <x v="0"/>
  </r>
  <r>
    <s v="TXN00066"/>
    <d v="2025-01-14T00:00:00"/>
    <x v="7"/>
    <s v="Vitamin B-Complex"/>
    <x v="4"/>
    <x v="0"/>
    <s v="Pfizer"/>
    <n v="1"/>
    <n v="46"/>
    <x v="0"/>
    <n v="46"/>
    <x v="0"/>
    <x v="0"/>
  </r>
  <r>
    <s v="TXN00067"/>
    <d v="2025-01-15T00:00:00"/>
    <x v="18"/>
    <s v="Paracetamol 650mg"/>
    <x v="0"/>
    <x v="1"/>
    <s v="Jan Aushadhi"/>
    <n v="3"/>
    <n v="14"/>
    <x v="0"/>
    <n v="42"/>
    <x v="0"/>
    <x v="0"/>
  </r>
  <r>
    <s v="TXN00068"/>
    <d v="2025-01-15T00:00:00"/>
    <x v="13"/>
    <s v="Metformin 500mg"/>
    <x v="7"/>
    <x v="0"/>
    <s v="USV"/>
    <n v="3"/>
    <n v="32"/>
    <x v="2"/>
    <n v="96"/>
    <x v="0"/>
    <x v="0"/>
  </r>
  <r>
    <s v="TXN00069"/>
    <d v="2025-01-15T00:00:00"/>
    <x v="19"/>
    <s v="Metformin 500mg"/>
    <x v="7"/>
    <x v="1"/>
    <s v="Jan Aushadhi"/>
    <n v="3"/>
    <n v="12"/>
    <x v="0"/>
    <n v="36"/>
    <x v="0"/>
    <x v="0"/>
  </r>
  <r>
    <s v="TXN00070"/>
    <d v="2025-01-15T00:00:00"/>
    <x v="22"/>
    <s v="Atorvastatin 10mg"/>
    <x v="3"/>
    <x v="0"/>
    <s v="Zydus"/>
    <n v="6"/>
    <n v="92"/>
    <x v="1"/>
    <n v="552"/>
    <x v="0"/>
    <x v="0"/>
  </r>
  <r>
    <s v="TXN00071"/>
    <d v="2025-01-15T00:00:00"/>
    <x v="10"/>
    <s v="Cetirizine 10mg"/>
    <x v="6"/>
    <x v="0"/>
    <s v="Cipla"/>
    <n v="2"/>
    <n v="26"/>
    <x v="0"/>
    <n v="52"/>
    <x v="0"/>
    <x v="0"/>
  </r>
  <r>
    <s v="TXN00072"/>
    <d v="2025-01-16T00:00:00"/>
    <x v="19"/>
    <s v="Metformin 500mg"/>
    <x v="7"/>
    <x v="1"/>
    <s v="Jan Aushadhi"/>
    <n v="2"/>
    <n v="12"/>
    <x v="0"/>
    <n v="24"/>
    <x v="0"/>
    <x v="0"/>
  </r>
  <r>
    <s v="TXN00073"/>
    <d v="2025-01-16T00:00:00"/>
    <x v="28"/>
    <s v="Glimepiride 2mg"/>
    <x v="7"/>
    <x v="1"/>
    <s v="Jan Aushadhi"/>
    <n v="2"/>
    <n v="42"/>
    <x v="1"/>
    <n v="84"/>
    <x v="0"/>
    <x v="0"/>
  </r>
  <r>
    <s v="TXN00074"/>
    <d v="2025-01-16T00:00:00"/>
    <x v="15"/>
    <s v="Cetirizine 10mg"/>
    <x v="6"/>
    <x v="1"/>
    <s v="Jan Aushadhi"/>
    <n v="1"/>
    <n v="8"/>
    <x v="0"/>
    <n v="8"/>
    <x v="0"/>
    <x v="0"/>
  </r>
  <r>
    <s v="TXN00075"/>
    <d v="2025-01-17T00:00:00"/>
    <x v="19"/>
    <s v="Metformin 500mg"/>
    <x v="7"/>
    <x v="1"/>
    <s v="Jan Aushadhi"/>
    <n v="3"/>
    <n v="12"/>
    <x v="3"/>
    <n v="36"/>
    <x v="0"/>
    <x v="0"/>
  </r>
  <r>
    <s v="TXN00076"/>
    <d v="2025-01-18T00:00:00"/>
    <x v="0"/>
    <s v="Paracetamol 650mg"/>
    <x v="0"/>
    <x v="0"/>
    <s v="Micro Labs"/>
    <n v="1"/>
    <n v="32"/>
    <x v="2"/>
    <n v="32"/>
    <x v="0"/>
    <x v="0"/>
  </r>
  <r>
    <s v="TXN00077"/>
    <d v="2025-01-18T00:00:00"/>
    <x v="16"/>
    <s v="Azithromycin 500mg"/>
    <x v="5"/>
    <x v="0"/>
    <s v="Alembic"/>
    <n v="2"/>
    <n v="125"/>
    <x v="0"/>
    <n v="250"/>
    <x v="0"/>
    <x v="0"/>
  </r>
  <r>
    <s v="TXN00078"/>
    <d v="2025-01-18T00:00:00"/>
    <x v="11"/>
    <s v="Amoxicillin+Clavulanate 625mg"/>
    <x v="5"/>
    <x v="0"/>
    <s v="GSK"/>
    <n v="2"/>
    <n v="205"/>
    <x v="3"/>
    <n v="410"/>
    <x v="0"/>
    <x v="0"/>
  </r>
  <r>
    <s v="TXN00079"/>
    <d v="2025-01-18T00:00:00"/>
    <x v="22"/>
    <s v="Atorvastatin 10mg"/>
    <x v="3"/>
    <x v="0"/>
    <s v="Zydus"/>
    <n v="3"/>
    <n v="92"/>
    <x v="0"/>
    <n v="276"/>
    <x v="0"/>
    <x v="0"/>
  </r>
  <r>
    <s v="TXN00080"/>
    <d v="2025-01-18T00:00:00"/>
    <x v="26"/>
    <s v="Atorvastatin 10mg"/>
    <x v="3"/>
    <x v="1"/>
    <s v="Jan Aushadhi"/>
    <n v="1"/>
    <n v="35"/>
    <x v="0"/>
    <n v="35"/>
    <x v="0"/>
    <x v="0"/>
  </r>
  <r>
    <s v="TXN00081"/>
    <d v="2025-01-18T00:00:00"/>
    <x v="21"/>
    <s v="Montelukast+Levocetirizine"/>
    <x v="8"/>
    <x v="0"/>
    <s v="Sun Pharma"/>
    <n v="3"/>
    <n v="182"/>
    <x v="3"/>
    <n v="546"/>
    <x v="0"/>
    <x v="0"/>
  </r>
  <r>
    <s v="TXN00082"/>
    <d v="2025-01-18T00:00:00"/>
    <x v="9"/>
    <s v="Ibuprofen 400mg"/>
    <x v="0"/>
    <x v="0"/>
    <s v="Abbott"/>
    <n v="5"/>
    <n v="42"/>
    <x v="2"/>
    <n v="210"/>
    <x v="0"/>
    <x v="0"/>
  </r>
  <r>
    <s v="TXN00083"/>
    <d v="2025-01-19T00:00:00"/>
    <x v="0"/>
    <s v="Paracetamol 650mg"/>
    <x v="0"/>
    <x v="0"/>
    <s v="Micro Labs"/>
    <n v="2"/>
    <n v="32"/>
    <x v="0"/>
    <n v="64"/>
    <x v="0"/>
    <x v="0"/>
  </r>
  <r>
    <s v="TXN00084"/>
    <d v="2025-01-19T00:00:00"/>
    <x v="24"/>
    <s v="Glimepiride 2mg"/>
    <x v="7"/>
    <x v="0"/>
    <s v="Sanofi"/>
    <n v="1"/>
    <n v="190"/>
    <x v="1"/>
    <n v="190"/>
    <x v="0"/>
    <x v="0"/>
  </r>
  <r>
    <s v="TXN00085"/>
    <d v="2025-01-19T00:00:00"/>
    <x v="2"/>
    <s v="Omeprazole 20mg"/>
    <x v="2"/>
    <x v="0"/>
    <s v="Dr. Reddy's"/>
    <n v="2"/>
    <n v="58"/>
    <x v="2"/>
    <n v="116"/>
    <x v="0"/>
    <x v="0"/>
  </r>
  <r>
    <s v="TXN00086"/>
    <d v="2025-01-20T00:00:00"/>
    <x v="12"/>
    <s v="Amoxicillin+Clavulanate 625mg"/>
    <x v="5"/>
    <x v="1"/>
    <s v="Jan Aushadhi"/>
    <n v="1"/>
    <n v="95"/>
    <x v="0"/>
    <n v="95"/>
    <x v="0"/>
    <x v="0"/>
  </r>
  <r>
    <s v="TXN00087"/>
    <d v="2025-01-20T00:00:00"/>
    <x v="19"/>
    <s v="Metformin 500mg"/>
    <x v="7"/>
    <x v="1"/>
    <s v="Jan Aushadhi"/>
    <n v="3"/>
    <n v="12"/>
    <x v="2"/>
    <n v="36"/>
    <x v="0"/>
    <x v="0"/>
  </r>
  <r>
    <s v="TXN00088"/>
    <d v="2025-01-20T00:00:00"/>
    <x v="25"/>
    <s v="Amlodipine 5mg"/>
    <x v="1"/>
    <x v="0"/>
    <s v="Mankind"/>
    <n v="2"/>
    <n v="45"/>
    <x v="0"/>
    <n v="90"/>
    <x v="0"/>
    <x v="0"/>
  </r>
  <r>
    <s v="TXN00089"/>
    <d v="2025-01-20T00:00:00"/>
    <x v="1"/>
    <s v="Amlodipine 5mg"/>
    <x v="1"/>
    <x v="1"/>
    <s v="Jan Aushadhi"/>
    <n v="2"/>
    <n v="15"/>
    <x v="0"/>
    <n v="30"/>
    <x v="0"/>
    <x v="0"/>
  </r>
  <r>
    <s v="TXN00090"/>
    <d v="2025-01-20T00:00:00"/>
    <x v="2"/>
    <s v="Omeprazole 20mg"/>
    <x v="2"/>
    <x v="0"/>
    <s v="Dr. Reddy's"/>
    <n v="4"/>
    <n v="58"/>
    <x v="1"/>
    <n v="232"/>
    <x v="0"/>
    <x v="0"/>
  </r>
  <r>
    <s v="TXN00091"/>
    <d v="2025-01-21T00:00:00"/>
    <x v="16"/>
    <s v="Azithromycin 500mg"/>
    <x v="5"/>
    <x v="0"/>
    <s v="Alembic"/>
    <n v="1"/>
    <n v="125"/>
    <x v="1"/>
    <n v="125"/>
    <x v="0"/>
    <x v="0"/>
  </r>
  <r>
    <s v="TXN00092"/>
    <d v="2025-01-21T00:00:00"/>
    <x v="24"/>
    <s v="Glimepiride 2mg"/>
    <x v="7"/>
    <x v="0"/>
    <s v="Sanofi"/>
    <n v="1"/>
    <n v="190"/>
    <x v="2"/>
    <n v="190"/>
    <x v="0"/>
    <x v="0"/>
  </r>
  <r>
    <s v="TXN00093"/>
    <d v="2025-01-21T00:00:00"/>
    <x v="22"/>
    <s v="Atorvastatin 10mg"/>
    <x v="3"/>
    <x v="0"/>
    <s v="Zydus"/>
    <n v="1"/>
    <n v="92"/>
    <x v="1"/>
    <n v="92"/>
    <x v="0"/>
    <x v="0"/>
  </r>
  <r>
    <s v="TXN00094"/>
    <d v="2025-01-21T00:00:00"/>
    <x v="20"/>
    <s v="Pantoprazole 40mg"/>
    <x v="2"/>
    <x v="1"/>
    <s v="Jan Aushadhi"/>
    <n v="4"/>
    <n v="50"/>
    <x v="3"/>
    <n v="200"/>
    <x v="0"/>
    <x v="0"/>
  </r>
  <r>
    <s v="TXN00095"/>
    <d v="2025-01-22T00:00:00"/>
    <x v="16"/>
    <s v="Azithromycin 500mg"/>
    <x v="5"/>
    <x v="0"/>
    <s v="Alembic"/>
    <n v="2"/>
    <n v="125"/>
    <x v="1"/>
    <n v="250"/>
    <x v="0"/>
    <x v="0"/>
  </r>
  <r>
    <s v="TXN00096"/>
    <d v="2025-01-22T00:00:00"/>
    <x v="13"/>
    <s v="Metformin 500mg"/>
    <x v="7"/>
    <x v="0"/>
    <s v="USV"/>
    <n v="6"/>
    <n v="32"/>
    <x v="3"/>
    <n v="192"/>
    <x v="0"/>
    <x v="0"/>
  </r>
  <r>
    <s v="TXN00097"/>
    <d v="2025-01-22T00:00:00"/>
    <x v="19"/>
    <s v="Metformin 500mg"/>
    <x v="7"/>
    <x v="1"/>
    <s v="Jan Aushadhi"/>
    <n v="6"/>
    <n v="12"/>
    <x v="0"/>
    <n v="72"/>
    <x v="0"/>
    <x v="0"/>
  </r>
  <r>
    <s v="TXN00098"/>
    <d v="2025-01-22T00:00:00"/>
    <x v="22"/>
    <s v="Atorvastatin 10mg"/>
    <x v="3"/>
    <x v="0"/>
    <s v="Zydus"/>
    <n v="3"/>
    <n v="92"/>
    <x v="0"/>
    <n v="276"/>
    <x v="0"/>
    <x v="0"/>
  </r>
  <r>
    <s v="TXN00099"/>
    <d v="2025-01-22T00:00:00"/>
    <x v="25"/>
    <s v="Amlodipine 5mg"/>
    <x v="1"/>
    <x v="0"/>
    <s v="Mankind"/>
    <n v="6"/>
    <n v="45"/>
    <x v="0"/>
    <n v="270"/>
    <x v="0"/>
    <x v="0"/>
  </r>
  <r>
    <s v="TXN00100"/>
    <d v="2025-01-22T00:00:00"/>
    <x v="25"/>
    <s v="Amlodipine 5mg"/>
    <x v="1"/>
    <x v="0"/>
    <s v="Mankind"/>
    <n v="6"/>
    <n v="45"/>
    <x v="0"/>
    <n v="270"/>
    <x v="0"/>
    <x v="0"/>
  </r>
  <r>
    <s v="TXN00101"/>
    <d v="2025-01-22T00:00:00"/>
    <x v="14"/>
    <s v="Pantoprazole 40mg"/>
    <x v="2"/>
    <x v="0"/>
    <s v="Alkem"/>
    <n v="2"/>
    <n v="152"/>
    <x v="2"/>
    <n v="304"/>
    <x v="0"/>
    <x v="0"/>
  </r>
  <r>
    <s v="TXN00102"/>
    <d v="2025-01-22T00:00:00"/>
    <x v="20"/>
    <s v="Pantoprazole 40mg"/>
    <x v="2"/>
    <x v="1"/>
    <s v="Jan Aushadhi"/>
    <n v="2"/>
    <n v="50"/>
    <x v="0"/>
    <n v="100"/>
    <x v="0"/>
    <x v="0"/>
  </r>
  <r>
    <s v="TXN00103"/>
    <d v="2025-01-22T00:00:00"/>
    <x v="10"/>
    <s v="Cetirizine 10mg"/>
    <x v="6"/>
    <x v="0"/>
    <s v="Cipla"/>
    <n v="4"/>
    <n v="26"/>
    <x v="0"/>
    <n v="104"/>
    <x v="0"/>
    <x v="0"/>
  </r>
  <r>
    <s v="TXN00104"/>
    <d v="2025-01-22T00:00:00"/>
    <x v="10"/>
    <s v="Cetirizine 10mg"/>
    <x v="6"/>
    <x v="0"/>
    <s v="Cipla"/>
    <n v="1"/>
    <n v="26"/>
    <x v="3"/>
    <n v="26"/>
    <x v="0"/>
    <x v="0"/>
  </r>
  <r>
    <s v="TXN00105"/>
    <d v="2025-01-22T00:00:00"/>
    <x v="15"/>
    <s v="Cetirizine 10mg"/>
    <x v="6"/>
    <x v="1"/>
    <s v="Jan Aushadhi"/>
    <n v="3"/>
    <n v="8"/>
    <x v="0"/>
    <n v="24"/>
    <x v="0"/>
    <x v="0"/>
  </r>
  <r>
    <s v="TXN00106"/>
    <d v="2025-01-22T00:00:00"/>
    <x v="15"/>
    <s v="Cetirizine 10mg"/>
    <x v="6"/>
    <x v="1"/>
    <s v="Jan Aushadhi"/>
    <n v="2"/>
    <n v="8"/>
    <x v="0"/>
    <n v="16"/>
    <x v="0"/>
    <x v="0"/>
  </r>
  <r>
    <s v="TXN00107"/>
    <d v="2025-01-22T00:00:00"/>
    <x v="29"/>
    <s v="Diclofenac 50mg"/>
    <x v="0"/>
    <x v="1"/>
    <s v="Jan Aushadhi"/>
    <n v="4"/>
    <n v="20"/>
    <x v="0"/>
    <n v="80"/>
    <x v="0"/>
    <x v="0"/>
  </r>
  <r>
    <s v="TXN00108"/>
    <d v="2025-01-22T00:00:00"/>
    <x v="7"/>
    <s v="Vitamin B-Complex"/>
    <x v="4"/>
    <x v="0"/>
    <s v="Pfizer"/>
    <n v="1"/>
    <n v="46"/>
    <x v="1"/>
    <n v="46"/>
    <x v="0"/>
    <x v="0"/>
  </r>
  <r>
    <s v="TXN00109"/>
    <d v="2025-01-23T00:00:00"/>
    <x v="0"/>
    <s v="Paracetamol 650mg"/>
    <x v="0"/>
    <x v="0"/>
    <s v="Micro Labs"/>
    <n v="4"/>
    <n v="32"/>
    <x v="0"/>
    <n v="128"/>
    <x v="0"/>
    <x v="0"/>
  </r>
  <r>
    <s v="TXN00110"/>
    <d v="2025-01-23T00:00:00"/>
    <x v="0"/>
    <s v="Paracetamol 650mg"/>
    <x v="0"/>
    <x v="0"/>
    <s v="Micro Labs"/>
    <n v="4"/>
    <n v="32"/>
    <x v="0"/>
    <n v="128"/>
    <x v="0"/>
    <x v="0"/>
  </r>
  <r>
    <s v="TXN00111"/>
    <d v="2025-01-23T00:00:00"/>
    <x v="18"/>
    <s v="Paracetamol 650mg"/>
    <x v="0"/>
    <x v="1"/>
    <s v="Jan Aushadhi"/>
    <n v="1"/>
    <n v="14"/>
    <x v="1"/>
    <n v="14"/>
    <x v="0"/>
    <x v="0"/>
  </r>
  <r>
    <s v="TXN00112"/>
    <d v="2025-01-23T00:00:00"/>
    <x v="26"/>
    <s v="Atorvastatin 10mg"/>
    <x v="3"/>
    <x v="1"/>
    <s v="Jan Aushadhi"/>
    <n v="12"/>
    <n v="35"/>
    <x v="1"/>
    <n v="420"/>
    <x v="0"/>
    <x v="0"/>
  </r>
  <r>
    <s v="TXN00113"/>
    <d v="2025-01-23T00:00:00"/>
    <x v="1"/>
    <s v="Amlodipine 5mg"/>
    <x v="1"/>
    <x v="1"/>
    <s v="Jan Aushadhi"/>
    <n v="6"/>
    <n v="15"/>
    <x v="3"/>
    <n v="90"/>
    <x v="0"/>
    <x v="0"/>
  </r>
  <r>
    <s v="TXN00114"/>
    <d v="2025-01-23T00:00:00"/>
    <x v="10"/>
    <s v="Cetirizine 10mg"/>
    <x v="6"/>
    <x v="0"/>
    <s v="Cipla"/>
    <n v="2"/>
    <n v="26"/>
    <x v="0"/>
    <n v="52"/>
    <x v="0"/>
    <x v="0"/>
  </r>
  <r>
    <s v="TXN00115"/>
    <d v="2025-01-23T00:00:00"/>
    <x v="9"/>
    <s v="Ibuprofen 400mg"/>
    <x v="0"/>
    <x v="0"/>
    <s v="Abbott"/>
    <n v="1"/>
    <n v="42"/>
    <x v="0"/>
    <n v="42"/>
    <x v="0"/>
    <x v="0"/>
  </r>
  <r>
    <s v="TXN00116"/>
    <d v="2025-01-24T00:00:00"/>
    <x v="5"/>
    <s v="Rosuvastatin 10mg"/>
    <x v="3"/>
    <x v="0"/>
    <s v="Sun Pharma"/>
    <n v="3"/>
    <n v="165"/>
    <x v="0"/>
    <n v="495"/>
    <x v="0"/>
    <x v="0"/>
  </r>
  <r>
    <s v="TXN00117"/>
    <d v="2025-01-24T00:00:00"/>
    <x v="1"/>
    <s v="Amlodipine 5mg"/>
    <x v="1"/>
    <x v="1"/>
    <s v="Jan Aushadhi"/>
    <n v="3"/>
    <n v="15"/>
    <x v="0"/>
    <n v="45"/>
    <x v="0"/>
    <x v="0"/>
  </r>
  <r>
    <s v="TXN00118"/>
    <d v="2025-01-24T00:00:00"/>
    <x v="30"/>
    <s v="Telmisartan 40mg"/>
    <x v="1"/>
    <x v="0"/>
    <s v="Glenmark"/>
    <n v="6"/>
    <n v="142"/>
    <x v="0"/>
    <n v="852"/>
    <x v="0"/>
    <x v="0"/>
  </r>
  <r>
    <s v="TXN00119"/>
    <d v="2025-01-24T00:00:00"/>
    <x v="14"/>
    <s v="Pantoprazole 40mg"/>
    <x v="2"/>
    <x v="0"/>
    <s v="Alkem"/>
    <n v="3"/>
    <n v="152"/>
    <x v="1"/>
    <n v="456"/>
    <x v="0"/>
    <x v="0"/>
  </r>
  <r>
    <s v="TXN00120"/>
    <d v="2025-01-24T00:00:00"/>
    <x v="31"/>
    <s v="Montelukast+Levocetirizine"/>
    <x v="8"/>
    <x v="1"/>
    <s v="Jan Aushadhi"/>
    <n v="5"/>
    <n v="70"/>
    <x v="0"/>
    <n v="350"/>
    <x v="0"/>
    <x v="0"/>
  </r>
  <r>
    <s v="TXN00121"/>
    <d v="2025-01-24T00:00:00"/>
    <x v="23"/>
    <s v="Diclofenac 50mg"/>
    <x v="0"/>
    <x v="0"/>
    <s v="Novartis"/>
    <n v="2"/>
    <n v="62"/>
    <x v="0"/>
    <n v="124"/>
    <x v="0"/>
    <x v="0"/>
  </r>
  <r>
    <s v="TXN00122"/>
    <d v="2025-01-25T00:00:00"/>
    <x v="8"/>
    <s v="Azithromycin 500mg"/>
    <x v="5"/>
    <x v="1"/>
    <s v="Jan Aushadhi"/>
    <n v="1"/>
    <n v="55"/>
    <x v="2"/>
    <n v="55"/>
    <x v="0"/>
    <x v="0"/>
  </r>
  <r>
    <s v="TXN00123"/>
    <d v="2025-01-25T00:00:00"/>
    <x v="13"/>
    <s v="Metformin 500mg"/>
    <x v="7"/>
    <x v="0"/>
    <s v="USV"/>
    <n v="6"/>
    <n v="32"/>
    <x v="2"/>
    <n v="192"/>
    <x v="0"/>
    <x v="0"/>
  </r>
  <r>
    <s v="TXN00124"/>
    <d v="2025-01-25T00:00:00"/>
    <x v="13"/>
    <s v="Metformin 500mg"/>
    <x v="7"/>
    <x v="0"/>
    <s v="USV"/>
    <n v="2"/>
    <n v="32"/>
    <x v="1"/>
    <n v="64"/>
    <x v="0"/>
    <x v="0"/>
  </r>
  <r>
    <s v="TXN00125"/>
    <d v="2025-01-25T00:00:00"/>
    <x v="19"/>
    <s v="Metformin 500mg"/>
    <x v="7"/>
    <x v="1"/>
    <s v="Jan Aushadhi"/>
    <n v="12"/>
    <n v="12"/>
    <x v="1"/>
    <n v="144"/>
    <x v="0"/>
    <x v="0"/>
  </r>
  <r>
    <s v="TXN00126"/>
    <d v="2025-01-25T00:00:00"/>
    <x v="30"/>
    <s v="Telmisartan 40mg"/>
    <x v="1"/>
    <x v="0"/>
    <s v="Glenmark"/>
    <n v="2"/>
    <n v="142"/>
    <x v="0"/>
    <n v="284"/>
    <x v="0"/>
    <x v="0"/>
  </r>
  <r>
    <s v="TXN00127"/>
    <d v="2025-01-25T00:00:00"/>
    <x v="31"/>
    <s v="Montelukast+Levocetirizine"/>
    <x v="8"/>
    <x v="1"/>
    <s v="Jan Aushadhi"/>
    <n v="2"/>
    <n v="70"/>
    <x v="0"/>
    <n v="140"/>
    <x v="0"/>
    <x v="0"/>
  </r>
  <r>
    <s v="TXN00128"/>
    <d v="2025-01-25T00:00:00"/>
    <x v="31"/>
    <s v="Montelukast+Levocetirizine"/>
    <x v="8"/>
    <x v="1"/>
    <s v="Jan Aushadhi"/>
    <n v="5"/>
    <n v="70"/>
    <x v="0"/>
    <n v="350"/>
    <x v="0"/>
    <x v="0"/>
  </r>
  <r>
    <s v="TXN00129"/>
    <d v="2025-01-26T00:00:00"/>
    <x v="0"/>
    <s v="Paracetamol 650mg"/>
    <x v="0"/>
    <x v="0"/>
    <s v="Micro Labs"/>
    <n v="1"/>
    <n v="32"/>
    <x v="0"/>
    <n v="32"/>
    <x v="0"/>
    <x v="0"/>
  </r>
  <r>
    <s v="TXN00130"/>
    <d v="2025-01-26T00:00:00"/>
    <x v="8"/>
    <s v="Azithromycin 500mg"/>
    <x v="5"/>
    <x v="1"/>
    <s v="Jan Aushadhi"/>
    <n v="3"/>
    <n v="55"/>
    <x v="0"/>
    <n v="165"/>
    <x v="0"/>
    <x v="0"/>
  </r>
  <r>
    <s v="TXN00131"/>
    <d v="2025-01-26T00:00:00"/>
    <x v="22"/>
    <s v="Atorvastatin 10mg"/>
    <x v="3"/>
    <x v="0"/>
    <s v="Zydus"/>
    <n v="3"/>
    <n v="92"/>
    <x v="2"/>
    <n v="276"/>
    <x v="0"/>
    <x v="0"/>
  </r>
  <r>
    <s v="TXN00132"/>
    <d v="2025-01-26T00:00:00"/>
    <x v="14"/>
    <s v="Pantoprazole 40mg"/>
    <x v="2"/>
    <x v="0"/>
    <s v="Alkem"/>
    <n v="1"/>
    <n v="152"/>
    <x v="0"/>
    <n v="152"/>
    <x v="0"/>
    <x v="0"/>
  </r>
  <r>
    <s v="TXN00133"/>
    <d v="2025-01-26T00:00:00"/>
    <x v="14"/>
    <s v="Pantoprazole 40mg"/>
    <x v="2"/>
    <x v="0"/>
    <s v="Alkem"/>
    <n v="1"/>
    <n v="152"/>
    <x v="2"/>
    <n v="152"/>
    <x v="0"/>
    <x v="0"/>
  </r>
  <r>
    <s v="TXN00134"/>
    <d v="2025-01-26T00:00:00"/>
    <x v="2"/>
    <s v="Omeprazole 20mg"/>
    <x v="2"/>
    <x v="0"/>
    <s v="Dr. Reddy's"/>
    <n v="3"/>
    <n v="58"/>
    <x v="3"/>
    <n v="174"/>
    <x v="0"/>
    <x v="0"/>
  </r>
  <r>
    <s v="TXN00135"/>
    <d v="2025-01-26T00:00:00"/>
    <x v="10"/>
    <s v="Cetirizine 10mg"/>
    <x v="6"/>
    <x v="0"/>
    <s v="Cipla"/>
    <n v="3"/>
    <n v="26"/>
    <x v="0"/>
    <n v="78"/>
    <x v="0"/>
    <x v="0"/>
  </r>
  <r>
    <s v="TXN00136"/>
    <d v="2025-01-26T00:00:00"/>
    <x v="10"/>
    <s v="Cetirizine 10mg"/>
    <x v="6"/>
    <x v="0"/>
    <s v="Cipla"/>
    <n v="1"/>
    <n v="26"/>
    <x v="2"/>
    <n v="26"/>
    <x v="0"/>
    <x v="0"/>
  </r>
  <r>
    <s v="TXN00137"/>
    <d v="2025-01-26T00:00:00"/>
    <x v="21"/>
    <s v="Montelukast+Levocetirizine"/>
    <x v="8"/>
    <x v="0"/>
    <s v="Sun Pharma"/>
    <n v="5"/>
    <n v="182"/>
    <x v="3"/>
    <n v="910"/>
    <x v="0"/>
    <x v="0"/>
  </r>
  <r>
    <s v="TXN00138"/>
    <d v="2025-01-26T00:00:00"/>
    <x v="21"/>
    <s v="Montelukast+Levocetirizine"/>
    <x v="8"/>
    <x v="0"/>
    <s v="Sun Pharma"/>
    <n v="5"/>
    <n v="182"/>
    <x v="3"/>
    <n v="910"/>
    <x v="0"/>
    <x v="0"/>
  </r>
  <r>
    <s v="TXN00139"/>
    <d v="2025-01-27T00:00:00"/>
    <x v="18"/>
    <s v="Paracetamol 650mg"/>
    <x v="0"/>
    <x v="1"/>
    <s v="Jan Aushadhi"/>
    <n v="3"/>
    <n v="14"/>
    <x v="0"/>
    <n v="42"/>
    <x v="0"/>
    <x v="0"/>
  </r>
  <r>
    <s v="TXN00140"/>
    <d v="2025-01-27T00:00:00"/>
    <x v="30"/>
    <s v="Telmisartan 40mg"/>
    <x v="1"/>
    <x v="0"/>
    <s v="Glenmark"/>
    <n v="3"/>
    <n v="142"/>
    <x v="0"/>
    <n v="426"/>
    <x v="0"/>
    <x v="0"/>
  </r>
  <r>
    <s v="TXN00141"/>
    <d v="2025-01-27T00:00:00"/>
    <x v="21"/>
    <s v="Montelukast+Levocetirizine"/>
    <x v="8"/>
    <x v="0"/>
    <s v="Sun Pharma"/>
    <n v="4"/>
    <n v="182"/>
    <x v="0"/>
    <n v="728"/>
    <x v="0"/>
    <x v="0"/>
  </r>
  <r>
    <s v="TXN00142"/>
    <d v="2025-01-27T00:00:00"/>
    <x v="29"/>
    <s v="Diclofenac 50mg"/>
    <x v="0"/>
    <x v="1"/>
    <s v="Jan Aushadhi"/>
    <n v="5"/>
    <n v="20"/>
    <x v="3"/>
    <n v="100"/>
    <x v="0"/>
    <x v="0"/>
  </r>
  <r>
    <s v="TXN00143"/>
    <d v="2025-01-27T00:00:00"/>
    <x v="27"/>
    <s v="Vitamin B-Complex"/>
    <x v="4"/>
    <x v="1"/>
    <s v="Jan Aushadhi"/>
    <n v="1"/>
    <n v="18"/>
    <x v="2"/>
    <n v="18"/>
    <x v="0"/>
    <x v="0"/>
  </r>
  <r>
    <s v="TXN00144"/>
    <d v="2025-01-28T00:00:00"/>
    <x v="0"/>
    <s v="Paracetamol 650mg"/>
    <x v="0"/>
    <x v="0"/>
    <s v="Micro Labs"/>
    <n v="3"/>
    <n v="32"/>
    <x v="0"/>
    <n v="96"/>
    <x v="0"/>
    <x v="0"/>
  </r>
  <r>
    <s v="TXN00145"/>
    <d v="2025-01-28T00:00:00"/>
    <x v="18"/>
    <s v="Paracetamol 650mg"/>
    <x v="0"/>
    <x v="1"/>
    <s v="Jan Aushadhi"/>
    <n v="1"/>
    <n v="14"/>
    <x v="0"/>
    <n v="14"/>
    <x v="0"/>
    <x v="0"/>
  </r>
  <r>
    <s v="TXN00146"/>
    <d v="2025-01-28T00:00:00"/>
    <x v="24"/>
    <s v="Glimepiride 2mg"/>
    <x v="7"/>
    <x v="0"/>
    <s v="Sanofi"/>
    <n v="3"/>
    <n v="190"/>
    <x v="0"/>
    <n v="570"/>
    <x v="0"/>
    <x v="0"/>
  </r>
  <r>
    <s v="TXN00147"/>
    <d v="2025-01-28T00:00:00"/>
    <x v="26"/>
    <s v="Atorvastatin 10mg"/>
    <x v="3"/>
    <x v="1"/>
    <s v="Jan Aushadhi"/>
    <n v="3"/>
    <n v="35"/>
    <x v="1"/>
    <n v="105"/>
    <x v="0"/>
    <x v="0"/>
  </r>
  <r>
    <s v="TXN00148"/>
    <d v="2025-01-28T00:00:00"/>
    <x v="17"/>
    <s v="Rosuvastatin 10mg"/>
    <x v="3"/>
    <x v="1"/>
    <s v="Jan Aushadhi"/>
    <n v="1"/>
    <n v="58"/>
    <x v="3"/>
    <n v="58"/>
    <x v="0"/>
    <x v="0"/>
  </r>
  <r>
    <s v="TXN00149"/>
    <d v="2025-01-28T00:00:00"/>
    <x v="30"/>
    <s v="Telmisartan 40mg"/>
    <x v="1"/>
    <x v="0"/>
    <s v="Glenmark"/>
    <n v="6"/>
    <n v="142"/>
    <x v="0"/>
    <n v="852"/>
    <x v="0"/>
    <x v="0"/>
  </r>
  <r>
    <s v="TXN00150"/>
    <d v="2025-01-28T00:00:00"/>
    <x v="14"/>
    <s v="Pantoprazole 40mg"/>
    <x v="2"/>
    <x v="0"/>
    <s v="Alkem"/>
    <n v="2"/>
    <n v="152"/>
    <x v="0"/>
    <n v="304"/>
    <x v="0"/>
    <x v="0"/>
  </r>
  <r>
    <s v="TXN00151"/>
    <d v="2025-01-29T00:00:00"/>
    <x v="0"/>
    <s v="Paracetamol 650mg"/>
    <x v="0"/>
    <x v="0"/>
    <s v="Micro Labs"/>
    <n v="1"/>
    <n v="32"/>
    <x v="0"/>
    <n v="32"/>
    <x v="0"/>
    <x v="0"/>
  </r>
  <r>
    <s v="TXN00152"/>
    <d v="2025-01-29T00:00:00"/>
    <x v="26"/>
    <s v="Atorvastatin 10mg"/>
    <x v="3"/>
    <x v="1"/>
    <s v="Jan Aushadhi"/>
    <n v="1"/>
    <n v="35"/>
    <x v="2"/>
    <n v="35"/>
    <x v="0"/>
    <x v="0"/>
  </r>
  <r>
    <s v="TXN00153"/>
    <d v="2025-01-29T00:00:00"/>
    <x v="30"/>
    <s v="Telmisartan 40mg"/>
    <x v="1"/>
    <x v="0"/>
    <s v="Glenmark"/>
    <n v="1"/>
    <n v="142"/>
    <x v="0"/>
    <n v="142"/>
    <x v="0"/>
    <x v="0"/>
  </r>
  <r>
    <s v="TXN00154"/>
    <d v="2025-01-29T00:00:00"/>
    <x v="14"/>
    <s v="Pantoprazole 40mg"/>
    <x v="2"/>
    <x v="0"/>
    <s v="Alkem"/>
    <n v="4"/>
    <n v="152"/>
    <x v="0"/>
    <n v="608"/>
    <x v="0"/>
    <x v="0"/>
  </r>
  <r>
    <s v="TXN00155"/>
    <d v="2025-01-29T00:00:00"/>
    <x v="15"/>
    <s v="Cetirizine 10mg"/>
    <x v="6"/>
    <x v="1"/>
    <s v="Jan Aushadhi"/>
    <n v="2"/>
    <n v="8"/>
    <x v="1"/>
    <n v="16"/>
    <x v="0"/>
    <x v="0"/>
  </r>
  <r>
    <s v="TXN00156"/>
    <d v="2025-01-30T00:00:00"/>
    <x v="11"/>
    <s v="Amoxicillin+Clavulanate 625mg"/>
    <x v="5"/>
    <x v="0"/>
    <s v="GSK"/>
    <n v="5"/>
    <n v="205"/>
    <x v="0"/>
    <n v="1025"/>
    <x v="0"/>
    <x v="0"/>
  </r>
  <r>
    <s v="TXN00157"/>
    <d v="2025-01-30T00:00:00"/>
    <x v="19"/>
    <s v="Metformin 500mg"/>
    <x v="7"/>
    <x v="1"/>
    <s v="Jan Aushadhi"/>
    <n v="3"/>
    <n v="12"/>
    <x v="2"/>
    <n v="36"/>
    <x v="0"/>
    <x v="0"/>
  </r>
  <r>
    <s v="TXN00158"/>
    <d v="2025-01-30T00:00:00"/>
    <x v="28"/>
    <s v="Glimepiride 2mg"/>
    <x v="7"/>
    <x v="1"/>
    <s v="Jan Aushadhi"/>
    <n v="6"/>
    <n v="42"/>
    <x v="0"/>
    <n v="252"/>
    <x v="0"/>
    <x v="0"/>
  </r>
  <r>
    <s v="TXN00159"/>
    <d v="2025-01-30T00:00:00"/>
    <x v="5"/>
    <s v="Rosuvastatin 10mg"/>
    <x v="3"/>
    <x v="0"/>
    <s v="Sun Pharma"/>
    <n v="3"/>
    <n v="165"/>
    <x v="3"/>
    <n v="495"/>
    <x v="0"/>
    <x v="0"/>
  </r>
  <r>
    <s v="TXN00160"/>
    <d v="2025-01-30T00:00:00"/>
    <x v="25"/>
    <s v="Amlodipine 5mg"/>
    <x v="1"/>
    <x v="0"/>
    <s v="Mankind"/>
    <n v="3"/>
    <n v="45"/>
    <x v="1"/>
    <n v="135"/>
    <x v="0"/>
    <x v="0"/>
  </r>
  <r>
    <s v="TXN00161"/>
    <d v="2025-01-30T00:00:00"/>
    <x v="25"/>
    <s v="Amlodipine 5mg"/>
    <x v="1"/>
    <x v="0"/>
    <s v="Mankind"/>
    <n v="1"/>
    <n v="45"/>
    <x v="3"/>
    <n v="45"/>
    <x v="0"/>
    <x v="0"/>
  </r>
  <r>
    <s v="TXN00162"/>
    <d v="2025-01-30T00:00:00"/>
    <x v="7"/>
    <s v="Vitamin B-Complex"/>
    <x v="4"/>
    <x v="0"/>
    <s v="Pfizer"/>
    <n v="4"/>
    <n v="46"/>
    <x v="3"/>
    <n v="184"/>
    <x v="0"/>
    <x v="0"/>
  </r>
  <r>
    <s v="TXN00163"/>
    <d v="2025-01-31T00:00:00"/>
    <x v="13"/>
    <s v="Metformin 500mg"/>
    <x v="7"/>
    <x v="0"/>
    <s v="USV"/>
    <n v="12"/>
    <n v="32"/>
    <x v="3"/>
    <n v="384"/>
    <x v="0"/>
    <x v="0"/>
  </r>
  <r>
    <s v="TXN00164"/>
    <d v="2025-01-31T00:00:00"/>
    <x v="4"/>
    <s v="Ibuprofen 400mg"/>
    <x v="0"/>
    <x v="1"/>
    <s v="Jan Aushadhi"/>
    <n v="3"/>
    <n v="15"/>
    <x v="0"/>
    <n v="45"/>
    <x v="0"/>
    <x v="0"/>
  </r>
  <r>
    <s v="TXN00165"/>
    <d v="2025-01-31T00:00:00"/>
    <x v="23"/>
    <s v="Diclofenac 50mg"/>
    <x v="0"/>
    <x v="0"/>
    <s v="Novartis"/>
    <n v="4"/>
    <n v="62"/>
    <x v="1"/>
    <n v="248"/>
    <x v="0"/>
    <x v="0"/>
  </r>
  <r>
    <s v="TXN00166"/>
    <d v="2025-02-01T00:00:00"/>
    <x v="22"/>
    <s v="Atorvastatin 10mg"/>
    <x v="3"/>
    <x v="0"/>
    <s v="Zydus"/>
    <n v="3"/>
    <n v="92"/>
    <x v="3"/>
    <n v="276"/>
    <x v="1"/>
    <x v="1"/>
  </r>
  <r>
    <s v="TXN00167"/>
    <d v="2025-02-01T00:00:00"/>
    <x v="5"/>
    <s v="Rosuvastatin 10mg"/>
    <x v="3"/>
    <x v="0"/>
    <s v="Sun Pharma"/>
    <n v="1"/>
    <n v="165"/>
    <x v="3"/>
    <n v="165"/>
    <x v="1"/>
    <x v="1"/>
  </r>
  <r>
    <s v="TXN00168"/>
    <d v="2025-02-01T00:00:00"/>
    <x v="3"/>
    <s v="Omeprazole 20mg"/>
    <x v="2"/>
    <x v="1"/>
    <s v="Jan Aushadhi"/>
    <n v="1"/>
    <n v="20"/>
    <x v="2"/>
    <n v="20"/>
    <x v="1"/>
    <x v="1"/>
  </r>
  <r>
    <s v="TXN00169"/>
    <d v="2025-02-01T00:00:00"/>
    <x v="4"/>
    <s v="Ibuprofen 400mg"/>
    <x v="0"/>
    <x v="1"/>
    <s v="Jan Aushadhi"/>
    <n v="3"/>
    <n v="15"/>
    <x v="0"/>
    <n v="45"/>
    <x v="1"/>
    <x v="1"/>
  </r>
  <r>
    <s v="TXN00170"/>
    <d v="2025-02-01T00:00:00"/>
    <x v="27"/>
    <s v="Vitamin B-Complex"/>
    <x v="4"/>
    <x v="1"/>
    <s v="Jan Aushadhi"/>
    <n v="1"/>
    <n v="18"/>
    <x v="0"/>
    <n v="18"/>
    <x v="1"/>
    <x v="1"/>
  </r>
  <r>
    <s v="TXN00171"/>
    <d v="2025-02-02T00:00:00"/>
    <x v="0"/>
    <s v="Paracetamol 650mg"/>
    <x v="0"/>
    <x v="0"/>
    <s v="Micro Labs"/>
    <n v="3"/>
    <n v="32"/>
    <x v="1"/>
    <n v="96"/>
    <x v="1"/>
    <x v="1"/>
  </r>
  <r>
    <s v="TXN00172"/>
    <d v="2025-02-02T00:00:00"/>
    <x v="19"/>
    <s v="Metformin 500mg"/>
    <x v="7"/>
    <x v="1"/>
    <s v="Jan Aushadhi"/>
    <n v="2"/>
    <n v="12"/>
    <x v="1"/>
    <n v="24"/>
    <x v="1"/>
    <x v="1"/>
  </r>
  <r>
    <s v="TXN00173"/>
    <d v="2025-02-02T00:00:00"/>
    <x v="21"/>
    <s v="Montelukast+Levocetirizine"/>
    <x v="8"/>
    <x v="0"/>
    <s v="Sun Pharma"/>
    <n v="3"/>
    <n v="182"/>
    <x v="0"/>
    <n v="546"/>
    <x v="1"/>
    <x v="1"/>
  </r>
  <r>
    <s v="TXN00174"/>
    <d v="2025-02-02T00:00:00"/>
    <x v="23"/>
    <s v="Diclofenac 50mg"/>
    <x v="0"/>
    <x v="0"/>
    <s v="Novartis"/>
    <n v="1"/>
    <n v="62"/>
    <x v="0"/>
    <n v="62"/>
    <x v="1"/>
    <x v="1"/>
  </r>
  <r>
    <s v="TXN00175"/>
    <d v="2025-02-03T00:00:00"/>
    <x v="0"/>
    <s v="Paracetamol 650mg"/>
    <x v="0"/>
    <x v="0"/>
    <s v="Micro Labs"/>
    <n v="1"/>
    <n v="32"/>
    <x v="0"/>
    <n v="32"/>
    <x v="1"/>
    <x v="1"/>
  </r>
  <r>
    <s v="TXN00176"/>
    <d v="2025-02-03T00:00:00"/>
    <x v="28"/>
    <s v="Glimepiride 2mg"/>
    <x v="7"/>
    <x v="1"/>
    <s v="Jan Aushadhi"/>
    <n v="1"/>
    <n v="42"/>
    <x v="3"/>
    <n v="42"/>
    <x v="1"/>
    <x v="1"/>
  </r>
  <r>
    <s v="TXN00177"/>
    <d v="2025-02-03T00:00:00"/>
    <x v="25"/>
    <s v="Amlodipine 5mg"/>
    <x v="1"/>
    <x v="0"/>
    <s v="Mankind"/>
    <n v="3"/>
    <n v="45"/>
    <x v="2"/>
    <n v="135"/>
    <x v="1"/>
    <x v="1"/>
  </r>
  <r>
    <s v="TXN00178"/>
    <d v="2025-02-03T00:00:00"/>
    <x v="2"/>
    <s v="Omeprazole 20mg"/>
    <x v="2"/>
    <x v="0"/>
    <s v="Dr. Reddy's"/>
    <n v="4"/>
    <n v="58"/>
    <x v="1"/>
    <n v="232"/>
    <x v="1"/>
    <x v="1"/>
  </r>
  <r>
    <s v="TXN00179"/>
    <d v="2025-02-03T00:00:00"/>
    <x v="21"/>
    <s v="Montelukast+Levocetirizine"/>
    <x v="8"/>
    <x v="0"/>
    <s v="Sun Pharma"/>
    <n v="2"/>
    <n v="182"/>
    <x v="1"/>
    <n v="364"/>
    <x v="1"/>
    <x v="1"/>
  </r>
  <r>
    <s v="TXN00180"/>
    <d v="2025-02-03T00:00:00"/>
    <x v="9"/>
    <s v="Ibuprofen 400mg"/>
    <x v="0"/>
    <x v="0"/>
    <s v="Abbott"/>
    <n v="4"/>
    <n v="42"/>
    <x v="0"/>
    <n v="168"/>
    <x v="1"/>
    <x v="1"/>
  </r>
  <r>
    <s v="TXN00181"/>
    <d v="2025-02-03T00:00:00"/>
    <x v="7"/>
    <s v="Vitamin B-Complex"/>
    <x v="4"/>
    <x v="0"/>
    <s v="Pfizer"/>
    <n v="2"/>
    <n v="46"/>
    <x v="1"/>
    <n v="92"/>
    <x v="1"/>
    <x v="1"/>
  </r>
  <r>
    <s v="TXN00182"/>
    <d v="2025-02-04T00:00:00"/>
    <x v="0"/>
    <s v="Paracetamol 650mg"/>
    <x v="0"/>
    <x v="0"/>
    <s v="Micro Labs"/>
    <n v="2"/>
    <n v="32"/>
    <x v="1"/>
    <n v="64"/>
    <x v="1"/>
    <x v="1"/>
  </r>
  <r>
    <s v="TXN00183"/>
    <d v="2025-02-04T00:00:00"/>
    <x v="0"/>
    <s v="Paracetamol 650mg"/>
    <x v="0"/>
    <x v="0"/>
    <s v="Micro Labs"/>
    <n v="1"/>
    <n v="32"/>
    <x v="3"/>
    <n v="32"/>
    <x v="1"/>
    <x v="1"/>
  </r>
  <r>
    <s v="TXN00184"/>
    <d v="2025-02-04T00:00:00"/>
    <x v="13"/>
    <s v="Metformin 500mg"/>
    <x v="7"/>
    <x v="0"/>
    <s v="USV"/>
    <n v="12"/>
    <n v="32"/>
    <x v="0"/>
    <n v="384"/>
    <x v="1"/>
    <x v="1"/>
  </r>
  <r>
    <s v="TXN00185"/>
    <d v="2025-02-04T00:00:00"/>
    <x v="13"/>
    <s v="Metformin 500mg"/>
    <x v="7"/>
    <x v="0"/>
    <s v="USV"/>
    <n v="1"/>
    <n v="32"/>
    <x v="0"/>
    <n v="32"/>
    <x v="1"/>
    <x v="1"/>
  </r>
  <r>
    <s v="TXN00186"/>
    <d v="2025-02-04T00:00:00"/>
    <x v="19"/>
    <s v="Metformin 500mg"/>
    <x v="7"/>
    <x v="1"/>
    <s v="Jan Aushadhi"/>
    <n v="1"/>
    <n v="12"/>
    <x v="2"/>
    <n v="12"/>
    <x v="1"/>
    <x v="1"/>
  </r>
  <r>
    <s v="TXN00187"/>
    <d v="2025-02-04T00:00:00"/>
    <x v="1"/>
    <s v="Amlodipine 5mg"/>
    <x v="1"/>
    <x v="1"/>
    <s v="Jan Aushadhi"/>
    <n v="2"/>
    <n v="15"/>
    <x v="0"/>
    <n v="30"/>
    <x v="1"/>
    <x v="1"/>
  </r>
  <r>
    <s v="TXN00188"/>
    <d v="2025-02-04T00:00:00"/>
    <x v="14"/>
    <s v="Pantoprazole 40mg"/>
    <x v="2"/>
    <x v="0"/>
    <s v="Alkem"/>
    <n v="5"/>
    <n v="152"/>
    <x v="1"/>
    <n v="760"/>
    <x v="1"/>
    <x v="1"/>
  </r>
  <r>
    <s v="TXN00189"/>
    <d v="2025-02-04T00:00:00"/>
    <x v="23"/>
    <s v="Diclofenac 50mg"/>
    <x v="0"/>
    <x v="0"/>
    <s v="Novartis"/>
    <n v="1"/>
    <n v="62"/>
    <x v="3"/>
    <n v="62"/>
    <x v="1"/>
    <x v="1"/>
  </r>
  <r>
    <s v="TXN00190"/>
    <d v="2025-02-04T00:00:00"/>
    <x v="29"/>
    <s v="Diclofenac 50mg"/>
    <x v="0"/>
    <x v="1"/>
    <s v="Jan Aushadhi"/>
    <n v="5"/>
    <n v="20"/>
    <x v="0"/>
    <n v="100"/>
    <x v="1"/>
    <x v="1"/>
  </r>
  <r>
    <s v="TXN00191"/>
    <d v="2025-02-05T00:00:00"/>
    <x v="19"/>
    <s v="Metformin 500mg"/>
    <x v="7"/>
    <x v="1"/>
    <s v="Jan Aushadhi"/>
    <n v="6"/>
    <n v="12"/>
    <x v="2"/>
    <n v="72"/>
    <x v="1"/>
    <x v="1"/>
  </r>
  <r>
    <s v="TXN00192"/>
    <d v="2025-02-05T00:00:00"/>
    <x v="19"/>
    <s v="Metformin 500mg"/>
    <x v="7"/>
    <x v="1"/>
    <s v="Jan Aushadhi"/>
    <n v="3"/>
    <n v="12"/>
    <x v="0"/>
    <n v="36"/>
    <x v="1"/>
    <x v="1"/>
  </r>
  <r>
    <s v="TXN00193"/>
    <d v="2025-02-05T00:00:00"/>
    <x v="26"/>
    <s v="Atorvastatin 10mg"/>
    <x v="3"/>
    <x v="1"/>
    <s v="Jan Aushadhi"/>
    <n v="3"/>
    <n v="35"/>
    <x v="2"/>
    <n v="105"/>
    <x v="1"/>
    <x v="1"/>
  </r>
  <r>
    <s v="TXN00194"/>
    <d v="2025-02-05T00:00:00"/>
    <x v="1"/>
    <s v="Amlodipine 5mg"/>
    <x v="1"/>
    <x v="1"/>
    <s v="Jan Aushadhi"/>
    <n v="3"/>
    <n v="15"/>
    <x v="0"/>
    <n v="45"/>
    <x v="1"/>
    <x v="1"/>
  </r>
  <r>
    <s v="TXN00195"/>
    <d v="2025-02-05T00:00:00"/>
    <x v="14"/>
    <s v="Pantoprazole 40mg"/>
    <x v="2"/>
    <x v="0"/>
    <s v="Alkem"/>
    <n v="3"/>
    <n v="152"/>
    <x v="0"/>
    <n v="456"/>
    <x v="1"/>
    <x v="1"/>
  </r>
  <r>
    <s v="TXN00196"/>
    <d v="2025-02-05T00:00:00"/>
    <x v="14"/>
    <s v="Pantoprazole 40mg"/>
    <x v="2"/>
    <x v="0"/>
    <s v="Alkem"/>
    <n v="4"/>
    <n v="152"/>
    <x v="0"/>
    <n v="608"/>
    <x v="1"/>
    <x v="1"/>
  </r>
  <r>
    <s v="TXN00197"/>
    <d v="2025-02-05T00:00:00"/>
    <x v="3"/>
    <s v="Omeprazole 20mg"/>
    <x v="2"/>
    <x v="1"/>
    <s v="Jan Aushadhi"/>
    <n v="2"/>
    <n v="20"/>
    <x v="0"/>
    <n v="40"/>
    <x v="1"/>
    <x v="1"/>
  </r>
  <r>
    <s v="TXN00198"/>
    <d v="2025-02-05T00:00:00"/>
    <x v="9"/>
    <s v="Ibuprofen 400mg"/>
    <x v="0"/>
    <x v="0"/>
    <s v="Abbott"/>
    <n v="2"/>
    <n v="42"/>
    <x v="1"/>
    <n v="84"/>
    <x v="1"/>
    <x v="1"/>
  </r>
  <r>
    <s v="TXN00199"/>
    <d v="2025-02-05T00:00:00"/>
    <x v="23"/>
    <s v="Diclofenac 50mg"/>
    <x v="0"/>
    <x v="0"/>
    <s v="Novartis"/>
    <n v="4"/>
    <n v="62"/>
    <x v="0"/>
    <n v="248"/>
    <x v="1"/>
    <x v="1"/>
  </r>
  <r>
    <s v="TXN00200"/>
    <d v="2025-02-05T00:00:00"/>
    <x v="27"/>
    <s v="Vitamin B-Complex"/>
    <x v="4"/>
    <x v="1"/>
    <s v="Jan Aushadhi"/>
    <n v="2"/>
    <n v="18"/>
    <x v="3"/>
    <n v="36"/>
    <x v="1"/>
    <x v="1"/>
  </r>
  <r>
    <s v="TXN00201"/>
    <d v="2025-02-06T00:00:00"/>
    <x v="8"/>
    <s v="Azithromycin 500mg"/>
    <x v="5"/>
    <x v="1"/>
    <s v="Jan Aushadhi"/>
    <n v="5"/>
    <n v="55"/>
    <x v="0"/>
    <n v="275"/>
    <x v="1"/>
    <x v="1"/>
  </r>
  <r>
    <s v="TXN00202"/>
    <d v="2025-02-06T00:00:00"/>
    <x v="13"/>
    <s v="Metformin 500mg"/>
    <x v="7"/>
    <x v="0"/>
    <s v="USV"/>
    <n v="3"/>
    <n v="32"/>
    <x v="3"/>
    <n v="96"/>
    <x v="1"/>
    <x v="1"/>
  </r>
  <r>
    <s v="TXN00203"/>
    <d v="2025-02-06T00:00:00"/>
    <x v="26"/>
    <s v="Atorvastatin 10mg"/>
    <x v="3"/>
    <x v="1"/>
    <s v="Jan Aushadhi"/>
    <n v="6"/>
    <n v="35"/>
    <x v="3"/>
    <n v="210"/>
    <x v="1"/>
    <x v="1"/>
  </r>
  <r>
    <s v="TXN00204"/>
    <d v="2025-02-07T00:00:00"/>
    <x v="0"/>
    <s v="Paracetamol 650mg"/>
    <x v="0"/>
    <x v="0"/>
    <s v="Micro Labs"/>
    <n v="1"/>
    <n v="32"/>
    <x v="0"/>
    <n v="32"/>
    <x v="1"/>
    <x v="1"/>
  </r>
  <r>
    <s v="TXN00205"/>
    <d v="2025-02-07T00:00:00"/>
    <x v="0"/>
    <s v="Paracetamol 650mg"/>
    <x v="0"/>
    <x v="0"/>
    <s v="Micro Labs"/>
    <n v="1"/>
    <n v="32"/>
    <x v="1"/>
    <n v="32"/>
    <x v="1"/>
    <x v="1"/>
  </r>
  <r>
    <s v="TXN00206"/>
    <d v="2025-02-07T00:00:00"/>
    <x v="13"/>
    <s v="Metformin 500mg"/>
    <x v="7"/>
    <x v="0"/>
    <s v="USV"/>
    <n v="2"/>
    <n v="32"/>
    <x v="0"/>
    <n v="64"/>
    <x v="1"/>
    <x v="1"/>
  </r>
  <r>
    <s v="TXN00207"/>
    <d v="2025-02-07T00:00:00"/>
    <x v="28"/>
    <s v="Glimepiride 2mg"/>
    <x v="7"/>
    <x v="1"/>
    <s v="Jan Aushadhi"/>
    <n v="6"/>
    <n v="42"/>
    <x v="1"/>
    <n v="252"/>
    <x v="1"/>
    <x v="1"/>
  </r>
  <r>
    <s v="TXN00208"/>
    <d v="2025-02-07T00:00:00"/>
    <x v="31"/>
    <s v="Montelukast+Levocetirizine"/>
    <x v="8"/>
    <x v="1"/>
    <s v="Jan Aushadhi"/>
    <n v="1"/>
    <n v="70"/>
    <x v="0"/>
    <n v="70"/>
    <x v="1"/>
    <x v="1"/>
  </r>
  <r>
    <s v="TXN00209"/>
    <d v="2025-02-07T00:00:00"/>
    <x v="7"/>
    <s v="Vitamin B-Complex"/>
    <x v="4"/>
    <x v="0"/>
    <s v="Pfizer"/>
    <n v="5"/>
    <n v="46"/>
    <x v="0"/>
    <n v="230"/>
    <x v="1"/>
    <x v="1"/>
  </r>
  <r>
    <s v="TXN00210"/>
    <d v="2025-02-08T00:00:00"/>
    <x v="0"/>
    <s v="Paracetamol 650mg"/>
    <x v="0"/>
    <x v="0"/>
    <s v="Micro Labs"/>
    <n v="1"/>
    <n v="32"/>
    <x v="1"/>
    <n v="32"/>
    <x v="1"/>
    <x v="1"/>
  </r>
  <r>
    <s v="TXN00211"/>
    <d v="2025-02-08T00:00:00"/>
    <x v="16"/>
    <s v="Azithromycin 500mg"/>
    <x v="5"/>
    <x v="0"/>
    <s v="Alembic"/>
    <n v="5"/>
    <n v="125"/>
    <x v="3"/>
    <n v="625"/>
    <x v="1"/>
    <x v="1"/>
  </r>
  <r>
    <s v="TXN00212"/>
    <d v="2025-02-08T00:00:00"/>
    <x v="12"/>
    <s v="Amoxicillin+Clavulanate 625mg"/>
    <x v="5"/>
    <x v="1"/>
    <s v="Jan Aushadhi"/>
    <n v="4"/>
    <n v="95"/>
    <x v="0"/>
    <n v="380"/>
    <x v="1"/>
    <x v="1"/>
  </r>
  <r>
    <s v="TXN00213"/>
    <d v="2025-02-08T00:00:00"/>
    <x v="13"/>
    <s v="Metformin 500mg"/>
    <x v="7"/>
    <x v="0"/>
    <s v="USV"/>
    <n v="2"/>
    <n v="32"/>
    <x v="0"/>
    <n v="64"/>
    <x v="1"/>
    <x v="1"/>
  </r>
  <r>
    <s v="TXN00214"/>
    <d v="2025-02-08T00:00:00"/>
    <x v="24"/>
    <s v="Glimepiride 2mg"/>
    <x v="7"/>
    <x v="0"/>
    <s v="Sanofi"/>
    <n v="3"/>
    <n v="190"/>
    <x v="0"/>
    <n v="570"/>
    <x v="1"/>
    <x v="1"/>
  </r>
  <r>
    <s v="TXN00215"/>
    <d v="2025-02-08T00:00:00"/>
    <x v="2"/>
    <s v="Omeprazole 20mg"/>
    <x v="2"/>
    <x v="0"/>
    <s v="Dr. Reddy's"/>
    <n v="2"/>
    <n v="58"/>
    <x v="1"/>
    <n v="116"/>
    <x v="1"/>
    <x v="1"/>
  </r>
  <r>
    <s v="TXN00216"/>
    <d v="2025-02-08T00:00:00"/>
    <x v="10"/>
    <s v="Cetirizine 10mg"/>
    <x v="6"/>
    <x v="0"/>
    <s v="Cipla"/>
    <n v="5"/>
    <n v="26"/>
    <x v="0"/>
    <n v="130"/>
    <x v="1"/>
    <x v="1"/>
  </r>
  <r>
    <s v="TXN00217"/>
    <d v="2025-02-08T00:00:00"/>
    <x v="10"/>
    <s v="Cetirizine 10mg"/>
    <x v="6"/>
    <x v="0"/>
    <s v="Cipla"/>
    <n v="5"/>
    <n v="26"/>
    <x v="0"/>
    <n v="130"/>
    <x v="1"/>
    <x v="1"/>
  </r>
  <r>
    <s v="TXN00218"/>
    <d v="2025-02-08T00:00:00"/>
    <x v="21"/>
    <s v="Montelukast+Levocetirizine"/>
    <x v="8"/>
    <x v="0"/>
    <s v="Sun Pharma"/>
    <n v="2"/>
    <n v="182"/>
    <x v="0"/>
    <n v="364"/>
    <x v="1"/>
    <x v="1"/>
  </r>
  <r>
    <s v="TXN00219"/>
    <d v="2025-02-09T00:00:00"/>
    <x v="0"/>
    <s v="Paracetamol 650mg"/>
    <x v="0"/>
    <x v="0"/>
    <s v="Micro Labs"/>
    <n v="3"/>
    <n v="32"/>
    <x v="3"/>
    <n v="96"/>
    <x v="1"/>
    <x v="1"/>
  </r>
  <r>
    <s v="TXN00220"/>
    <d v="2025-02-09T00:00:00"/>
    <x v="7"/>
    <s v="Vitamin B-Complex"/>
    <x v="4"/>
    <x v="0"/>
    <s v="Pfizer"/>
    <n v="1"/>
    <n v="46"/>
    <x v="0"/>
    <n v="46"/>
    <x v="1"/>
    <x v="1"/>
  </r>
  <r>
    <s v="TXN00221"/>
    <d v="2025-02-09T00:00:00"/>
    <x v="7"/>
    <s v="Vitamin B-Complex"/>
    <x v="4"/>
    <x v="0"/>
    <s v="Pfizer"/>
    <n v="2"/>
    <n v="46"/>
    <x v="0"/>
    <n v="92"/>
    <x v="1"/>
    <x v="1"/>
  </r>
  <r>
    <s v="TXN00222"/>
    <d v="2025-02-10T00:00:00"/>
    <x v="12"/>
    <s v="Amoxicillin+Clavulanate 625mg"/>
    <x v="5"/>
    <x v="1"/>
    <s v="Jan Aushadhi"/>
    <n v="3"/>
    <n v="95"/>
    <x v="3"/>
    <n v="285"/>
    <x v="1"/>
    <x v="1"/>
  </r>
  <r>
    <s v="TXN00223"/>
    <d v="2025-02-10T00:00:00"/>
    <x v="24"/>
    <s v="Glimepiride 2mg"/>
    <x v="7"/>
    <x v="0"/>
    <s v="Sanofi"/>
    <n v="3"/>
    <n v="190"/>
    <x v="3"/>
    <n v="570"/>
    <x v="1"/>
    <x v="1"/>
  </r>
  <r>
    <s v="TXN00224"/>
    <d v="2025-02-10T00:00:00"/>
    <x v="26"/>
    <s v="Atorvastatin 10mg"/>
    <x v="3"/>
    <x v="1"/>
    <s v="Jan Aushadhi"/>
    <n v="3"/>
    <n v="35"/>
    <x v="1"/>
    <n v="105"/>
    <x v="1"/>
    <x v="1"/>
  </r>
  <r>
    <s v="TXN00225"/>
    <d v="2025-02-10T00:00:00"/>
    <x v="26"/>
    <s v="Atorvastatin 10mg"/>
    <x v="3"/>
    <x v="1"/>
    <s v="Jan Aushadhi"/>
    <n v="6"/>
    <n v="35"/>
    <x v="3"/>
    <n v="210"/>
    <x v="1"/>
    <x v="1"/>
  </r>
  <r>
    <s v="TXN00226"/>
    <d v="2025-02-10T00:00:00"/>
    <x v="30"/>
    <s v="Telmisartan 40mg"/>
    <x v="1"/>
    <x v="0"/>
    <s v="Glenmark"/>
    <n v="6"/>
    <n v="142"/>
    <x v="0"/>
    <n v="852"/>
    <x v="1"/>
    <x v="1"/>
  </r>
  <r>
    <s v="TXN00227"/>
    <d v="2025-02-10T00:00:00"/>
    <x v="6"/>
    <s v="Telmisartan 40mg"/>
    <x v="1"/>
    <x v="1"/>
    <s v="Jan Aushadhi"/>
    <n v="6"/>
    <n v="46"/>
    <x v="3"/>
    <n v="276"/>
    <x v="1"/>
    <x v="1"/>
  </r>
  <r>
    <s v="TXN00228"/>
    <d v="2025-02-10T00:00:00"/>
    <x v="3"/>
    <s v="Omeprazole 20mg"/>
    <x v="2"/>
    <x v="1"/>
    <s v="Jan Aushadhi"/>
    <n v="3"/>
    <n v="20"/>
    <x v="0"/>
    <n v="60"/>
    <x v="1"/>
    <x v="1"/>
  </r>
  <r>
    <s v="TXN00229"/>
    <d v="2025-02-11T00:00:00"/>
    <x v="8"/>
    <s v="Azithromycin 500mg"/>
    <x v="5"/>
    <x v="1"/>
    <s v="Jan Aushadhi"/>
    <n v="1"/>
    <n v="55"/>
    <x v="0"/>
    <n v="55"/>
    <x v="1"/>
    <x v="1"/>
  </r>
  <r>
    <s v="TXN00230"/>
    <d v="2025-02-11T00:00:00"/>
    <x v="19"/>
    <s v="Metformin 500mg"/>
    <x v="7"/>
    <x v="1"/>
    <s v="Jan Aushadhi"/>
    <n v="1"/>
    <n v="12"/>
    <x v="0"/>
    <n v="12"/>
    <x v="1"/>
    <x v="1"/>
  </r>
  <r>
    <s v="TXN00231"/>
    <d v="2025-02-11T00:00:00"/>
    <x v="25"/>
    <s v="Amlodipine 5mg"/>
    <x v="1"/>
    <x v="0"/>
    <s v="Mankind"/>
    <n v="6"/>
    <n v="45"/>
    <x v="0"/>
    <n v="270"/>
    <x v="1"/>
    <x v="1"/>
  </r>
  <r>
    <s v="TXN00232"/>
    <d v="2025-02-11T00:00:00"/>
    <x v="25"/>
    <s v="Amlodipine 5mg"/>
    <x v="1"/>
    <x v="0"/>
    <s v="Mankind"/>
    <n v="6"/>
    <n v="45"/>
    <x v="0"/>
    <n v="270"/>
    <x v="1"/>
    <x v="1"/>
  </r>
  <r>
    <s v="TXN00233"/>
    <d v="2025-02-11T00:00:00"/>
    <x v="14"/>
    <s v="Pantoprazole 40mg"/>
    <x v="2"/>
    <x v="0"/>
    <s v="Alkem"/>
    <n v="5"/>
    <n v="152"/>
    <x v="0"/>
    <n v="760"/>
    <x v="1"/>
    <x v="1"/>
  </r>
  <r>
    <s v="TXN00234"/>
    <d v="2025-02-12T00:00:00"/>
    <x v="18"/>
    <s v="Paracetamol 650mg"/>
    <x v="0"/>
    <x v="1"/>
    <s v="Jan Aushadhi"/>
    <n v="5"/>
    <n v="14"/>
    <x v="0"/>
    <n v="70"/>
    <x v="1"/>
    <x v="1"/>
  </r>
  <r>
    <s v="TXN00235"/>
    <d v="2025-02-12T00:00:00"/>
    <x v="1"/>
    <s v="Amlodipine 5mg"/>
    <x v="1"/>
    <x v="1"/>
    <s v="Jan Aushadhi"/>
    <n v="3"/>
    <n v="15"/>
    <x v="0"/>
    <n v="45"/>
    <x v="1"/>
    <x v="1"/>
  </r>
  <r>
    <s v="TXN00236"/>
    <d v="2025-02-12T00:00:00"/>
    <x v="10"/>
    <s v="Cetirizine 10mg"/>
    <x v="6"/>
    <x v="0"/>
    <s v="Cipla"/>
    <n v="2"/>
    <n v="26"/>
    <x v="0"/>
    <n v="52"/>
    <x v="1"/>
    <x v="1"/>
  </r>
  <r>
    <s v="TXN00237"/>
    <d v="2025-02-12T00:00:00"/>
    <x v="7"/>
    <s v="Vitamin B-Complex"/>
    <x v="4"/>
    <x v="0"/>
    <s v="Pfizer"/>
    <n v="3"/>
    <n v="46"/>
    <x v="0"/>
    <n v="138"/>
    <x v="1"/>
    <x v="1"/>
  </r>
  <r>
    <s v="TXN00238"/>
    <d v="2025-02-13T00:00:00"/>
    <x v="6"/>
    <s v="Telmisartan 40mg"/>
    <x v="1"/>
    <x v="1"/>
    <s v="Jan Aushadhi"/>
    <n v="3"/>
    <n v="46"/>
    <x v="1"/>
    <n v="138"/>
    <x v="1"/>
    <x v="1"/>
  </r>
  <r>
    <s v="TXN00239"/>
    <d v="2025-02-13T00:00:00"/>
    <x v="14"/>
    <s v="Pantoprazole 40mg"/>
    <x v="2"/>
    <x v="0"/>
    <s v="Alkem"/>
    <n v="2"/>
    <n v="152"/>
    <x v="2"/>
    <n v="304"/>
    <x v="1"/>
    <x v="1"/>
  </r>
  <r>
    <s v="TXN00240"/>
    <d v="2025-02-13T00:00:00"/>
    <x v="14"/>
    <s v="Pantoprazole 40mg"/>
    <x v="2"/>
    <x v="0"/>
    <s v="Alkem"/>
    <n v="1"/>
    <n v="152"/>
    <x v="2"/>
    <n v="152"/>
    <x v="1"/>
    <x v="1"/>
  </r>
  <r>
    <s v="TXN00241"/>
    <d v="2025-02-13T00:00:00"/>
    <x v="20"/>
    <s v="Pantoprazole 40mg"/>
    <x v="2"/>
    <x v="1"/>
    <s v="Jan Aushadhi"/>
    <n v="3"/>
    <n v="50"/>
    <x v="1"/>
    <n v="150"/>
    <x v="1"/>
    <x v="1"/>
  </r>
  <r>
    <s v="TXN00242"/>
    <d v="2025-02-13T00:00:00"/>
    <x v="15"/>
    <s v="Cetirizine 10mg"/>
    <x v="6"/>
    <x v="1"/>
    <s v="Jan Aushadhi"/>
    <n v="3"/>
    <n v="8"/>
    <x v="0"/>
    <n v="24"/>
    <x v="1"/>
    <x v="1"/>
  </r>
  <r>
    <s v="TXN00243"/>
    <d v="2025-02-13T00:00:00"/>
    <x v="15"/>
    <s v="Cetirizine 10mg"/>
    <x v="6"/>
    <x v="1"/>
    <s v="Jan Aushadhi"/>
    <n v="2"/>
    <n v="8"/>
    <x v="3"/>
    <n v="16"/>
    <x v="1"/>
    <x v="1"/>
  </r>
  <r>
    <s v="TXN00244"/>
    <d v="2025-02-14T00:00:00"/>
    <x v="18"/>
    <s v="Paracetamol 650mg"/>
    <x v="0"/>
    <x v="1"/>
    <s v="Jan Aushadhi"/>
    <n v="3"/>
    <n v="14"/>
    <x v="3"/>
    <n v="42"/>
    <x v="1"/>
    <x v="1"/>
  </r>
  <r>
    <s v="TXN00245"/>
    <d v="2025-02-14T00:00:00"/>
    <x v="13"/>
    <s v="Metformin 500mg"/>
    <x v="7"/>
    <x v="0"/>
    <s v="USV"/>
    <n v="12"/>
    <n v="32"/>
    <x v="0"/>
    <n v="384"/>
    <x v="1"/>
    <x v="1"/>
  </r>
  <r>
    <s v="TXN00246"/>
    <d v="2025-02-14T00:00:00"/>
    <x v="5"/>
    <s v="Rosuvastatin 10mg"/>
    <x v="3"/>
    <x v="0"/>
    <s v="Sun Pharma"/>
    <n v="6"/>
    <n v="165"/>
    <x v="0"/>
    <n v="990"/>
    <x v="1"/>
    <x v="1"/>
  </r>
  <r>
    <s v="TXN00247"/>
    <d v="2025-02-15T00:00:00"/>
    <x v="17"/>
    <s v="Rosuvastatin 10mg"/>
    <x v="3"/>
    <x v="1"/>
    <s v="Jan Aushadhi"/>
    <n v="3"/>
    <n v="58"/>
    <x v="0"/>
    <n v="174"/>
    <x v="1"/>
    <x v="1"/>
  </r>
  <r>
    <s v="TXN00248"/>
    <d v="2025-02-15T00:00:00"/>
    <x v="1"/>
    <s v="Amlodipine 5mg"/>
    <x v="1"/>
    <x v="1"/>
    <s v="Jan Aushadhi"/>
    <n v="3"/>
    <n v="15"/>
    <x v="3"/>
    <n v="45"/>
    <x v="1"/>
    <x v="1"/>
  </r>
  <r>
    <s v="TXN00249"/>
    <d v="2025-02-15T00:00:00"/>
    <x v="1"/>
    <s v="Amlodipine 5mg"/>
    <x v="1"/>
    <x v="1"/>
    <s v="Jan Aushadhi"/>
    <n v="2"/>
    <n v="15"/>
    <x v="0"/>
    <n v="30"/>
    <x v="1"/>
    <x v="1"/>
  </r>
  <r>
    <s v="TXN00250"/>
    <d v="2025-02-15T00:00:00"/>
    <x v="10"/>
    <s v="Cetirizine 10mg"/>
    <x v="6"/>
    <x v="0"/>
    <s v="Cipla"/>
    <n v="2"/>
    <n v="26"/>
    <x v="2"/>
    <n v="52"/>
    <x v="1"/>
    <x v="1"/>
  </r>
  <r>
    <s v="TXN00251"/>
    <d v="2025-02-15T00:00:00"/>
    <x v="15"/>
    <s v="Cetirizine 10mg"/>
    <x v="6"/>
    <x v="1"/>
    <s v="Jan Aushadhi"/>
    <n v="2"/>
    <n v="8"/>
    <x v="0"/>
    <n v="16"/>
    <x v="1"/>
    <x v="1"/>
  </r>
  <r>
    <s v="TXN00252"/>
    <d v="2025-02-16T00:00:00"/>
    <x v="22"/>
    <s v="Atorvastatin 10mg"/>
    <x v="3"/>
    <x v="0"/>
    <s v="Zydus"/>
    <n v="3"/>
    <n v="92"/>
    <x v="0"/>
    <n v="276"/>
    <x v="1"/>
    <x v="1"/>
  </r>
  <r>
    <s v="TXN00253"/>
    <d v="2025-02-16T00:00:00"/>
    <x v="25"/>
    <s v="Amlodipine 5mg"/>
    <x v="1"/>
    <x v="0"/>
    <s v="Mankind"/>
    <n v="1"/>
    <n v="45"/>
    <x v="0"/>
    <n v="45"/>
    <x v="1"/>
    <x v="1"/>
  </r>
  <r>
    <s v="TXN00254"/>
    <d v="2025-02-16T00:00:00"/>
    <x v="6"/>
    <s v="Telmisartan 40mg"/>
    <x v="1"/>
    <x v="1"/>
    <s v="Jan Aushadhi"/>
    <n v="3"/>
    <n v="46"/>
    <x v="3"/>
    <n v="138"/>
    <x v="1"/>
    <x v="1"/>
  </r>
  <r>
    <s v="TXN00255"/>
    <d v="2025-02-16T00:00:00"/>
    <x v="2"/>
    <s v="Omeprazole 20mg"/>
    <x v="2"/>
    <x v="0"/>
    <s v="Dr. Reddy's"/>
    <n v="1"/>
    <n v="58"/>
    <x v="2"/>
    <n v="58"/>
    <x v="1"/>
    <x v="1"/>
  </r>
  <r>
    <s v="TXN00256"/>
    <d v="2025-02-16T00:00:00"/>
    <x v="15"/>
    <s v="Cetirizine 10mg"/>
    <x v="6"/>
    <x v="1"/>
    <s v="Jan Aushadhi"/>
    <n v="2"/>
    <n v="8"/>
    <x v="3"/>
    <n v="16"/>
    <x v="1"/>
    <x v="1"/>
  </r>
  <r>
    <s v="TXN00257"/>
    <d v="2025-02-17T00:00:00"/>
    <x v="11"/>
    <s v="Amoxicillin+Clavulanate 625mg"/>
    <x v="5"/>
    <x v="0"/>
    <s v="GSK"/>
    <n v="2"/>
    <n v="205"/>
    <x v="0"/>
    <n v="410"/>
    <x v="1"/>
    <x v="1"/>
  </r>
  <r>
    <s v="TXN00258"/>
    <d v="2025-02-17T00:00:00"/>
    <x v="30"/>
    <s v="Telmisartan 40mg"/>
    <x v="1"/>
    <x v="0"/>
    <s v="Glenmark"/>
    <n v="6"/>
    <n v="142"/>
    <x v="0"/>
    <n v="852"/>
    <x v="1"/>
    <x v="1"/>
  </r>
  <r>
    <s v="TXN00259"/>
    <d v="2025-02-17T00:00:00"/>
    <x v="31"/>
    <s v="Montelukast+Levocetirizine"/>
    <x v="8"/>
    <x v="1"/>
    <s v="Jan Aushadhi"/>
    <n v="2"/>
    <n v="70"/>
    <x v="0"/>
    <n v="140"/>
    <x v="1"/>
    <x v="1"/>
  </r>
  <r>
    <s v="TXN00260"/>
    <d v="2025-02-18T00:00:00"/>
    <x v="26"/>
    <s v="Atorvastatin 10mg"/>
    <x v="3"/>
    <x v="1"/>
    <s v="Jan Aushadhi"/>
    <n v="3"/>
    <n v="35"/>
    <x v="3"/>
    <n v="105"/>
    <x v="1"/>
    <x v="1"/>
  </r>
  <r>
    <s v="TXN00261"/>
    <d v="2025-02-18T00:00:00"/>
    <x v="1"/>
    <s v="Amlodipine 5mg"/>
    <x v="1"/>
    <x v="1"/>
    <s v="Jan Aushadhi"/>
    <n v="3"/>
    <n v="15"/>
    <x v="2"/>
    <n v="45"/>
    <x v="1"/>
    <x v="1"/>
  </r>
  <r>
    <s v="TXN00262"/>
    <d v="2025-02-18T00:00:00"/>
    <x v="30"/>
    <s v="Telmisartan 40mg"/>
    <x v="1"/>
    <x v="0"/>
    <s v="Glenmark"/>
    <n v="1"/>
    <n v="142"/>
    <x v="3"/>
    <n v="142"/>
    <x v="1"/>
    <x v="1"/>
  </r>
  <r>
    <s v="TXN00263"/>
    <d v="2025-02-18T00:00:00"/>
    <x v="10"/>
    <s v="Cetirizine 10mg"/>
    <x v="6"/>
    <x v="0"/>
    <s v="Cipla"/>
    <n v="1"/>
    <n v="26"/>
    <x v="0"/>
    <n v="26"/>
    <x v="1"/>
    <x v="1"/>
  </r>
  <r>
    <s v="TXN00264"/>
    <d v="2025-02-18T00:00:00"/>
    <x v="9"/>
    <s v="Ibuprofen 400mg"/>
    <x v="0"/>
    <x v="0"/>
    <s v="Abbott"/>
    <n v="1"/>
    <n v="42"/>
    <x v="0"/>
    <n v="42"/>
    <x v="1"/>
    <x v="1"/>
  </r>
  <r>
    <s v="TXN00265"/>
    <d v="2025-02-19T00:00:00"/>
    <x v="19"/>
    <s v="Metformin 500mg"/>
    <x v="7"/>
    <x v="1"/>
    <s v="Jan Aushadhi"/>
    <n v="3"/>
    <n v="12"/>
    <x v="0"/>
    <n v="36"/>
    <x v="1"/>
    <x v="1"/>
  </r>
  <r>
    <s v="TXN00266"/>
    <d v="2025-02-19T00:00:00"/>
    <x v="19"/>
    <s v="Metformin 500mg"/>
    <x v="7"/>
    <x v="1"/>
    <s v="Jan Aushadhi"/>
    <n v="12"/>
    <n v="12"/>
    <x v="0"/>
    <n v="144"/>
    <x v="1"/>
    <x v="1"/>
  </r>
  <r>
    <s v="TXN00267"/>
    <d v="2025-02-19T00:00:00"/>
    <x v="5"/>
    <s v="Rosuvastatin 10mg"/>
    <x v="3"/>
    <x v="0"/>
    <s v="Sun Pharma"/>
    <n v="2"/>
    <n v="165"/>
    <x v="3"/>
    <n v="330"/>
    <x v="1"/>
    <x v="1"/>
  </r>
  <r>
    <s v="TXN00268"/>
    <d v="2025-02-19T00:00:00"/>
    <x v="3"/>
    <s v="Omeprazole 20mg"/>
    <x v="2"/>
    <x v="1"/>
    <s v="Jan Aushadhi"/>
    <n v="1"/>
    <n v="20"/>
    <x v="0"/>
    <n v="20"/>
    <x v="1"/>
    <x v="1"/>
  </r>
  <r>
    <s v="TXN00269"/>
    <d v="2025-02-20T00:00:00"/>
    <x v="0"/>
    <s v="Paracetamol 650mg"/>
    <x v="0"/>
    <x v="0"/>
    <s v="Micro Labs"/>
    <n v="1"/>
    <n v="32"/>
    <x v="0"/>
    <n v="32"/>
    <x v="1"/>
    <x v="1"/>
  </r>
  <r>
    <s v="TXN00270"/>
    <d v="2025-02-20T00:00:00"/>
    <x v="24"/>
    <s v="Glimepiride 2mg"/>
    <x v="7"/>
    <x v="0"/>
    <s v="Sanofi"/>
    <n v="2"/>
    <n v="190"/>
    <x v="2"/>
    <n v="380"/>
    <x v="1"/>
    <x v="1"/>
  </r>
  <r>
    <s v="TXN00271"/>
    <d v="2025-02-21T00:00:00"/>
    <x v="18"/>
    <s v="Paracetamol 650mg"/>
    <x v="0"/>
    <x v="1"/>
    <s v="Jan Aushadhi"/>
    <n v="3"/>
    <n v="14"/>
    <x v="0"/>
    <n v="42"/>
    <x v="1"/>
    <x v="1"/>
  </r>
  <r>
    <s v="TXN00272"/>
    <d v="2025-02-21T00:00:00"/>
    <x v="11"/>
    <s v="Amoxicillin+Clavulanate 625mg"/>
    <x v="5"/>
    <x v="0"/>
    <s v="GSK"/>
    <n v="5"/>
    <n v="205"/>
    <x v="2"/>
    <n v="1025"/>
    <x v="1"/>
    <x v="1"/>
  </r>
  <r>
    <s v="TXN00273"/>
    <d v="2025-02-21T00:00:00"/>
    <x v="21"/>
    <s v="Montelukast+Levocetirizine"/>
    <x v="8"/>
    <x v="0"/>
    <s v="Sun Pharma"/>
    <n v="1"/>
    <n v="182"/>
    <x v="0"/>
    <n v="182"/>
    <x v="1"/>
    <x v="1"/>
  </r>
  <r>
    <s v="TXN00274"/>
    <d v="2025-02-21T00:00:00"/>
    <x v="4"/>
    <s v="Ibuprofen 400mg"/>
    <x v="0"/>
    <x v="1"/>
    <s v="Jan Aushadhi"/>
    <n v="1"/>
    <n v="15"/>
    <x v="0"/>
    <n v="15"/>
    <x v="1"/>
    <x v="1"/>
  </r>
  <r>
    <s v="TXN00275"/>
    <d v="2025-02-22T00:00:00"/>
    <x v="0"/>
    <s v="Paracetamol 650mg"/>
    <x v="0"/>
    <x v="0"/>
    <s v="Micro Labs"/>
    <n v="4"/>
    <n v="32"/>
    <x v="1"/>
    <n v="128"/>
    <x v="1"/>
    <x v="1"/>
  </r>
  <r>
    <s v="TXN00276"/>
    <d v="2025-02-22T00:00:00"/>
    <x v="22"/>
    <s v="Atorvastatin 10mg"/>
    <x v="3"/>
    <x v="0"/>
    <s v="Zydus"/>
    <n v="1"/>
    <n v="92"/>
    <x v="3"/>
    <n v="92"/>
    <x v="1"/>
    <x v="1"/>
  </r>
  <r>
    <s v="TXN00277"/>
    <d v="2025-02-22T00:00:00"/>
    <x v="22"/>
    <s v="Atorvastatin 10mg"/>
    <x v="3"/>
    <x v="0"/>
    <s v="Zydus"/>
    <n v="1"/>
    <n v="92"/>
    <x v="3"/>
    <n v="92"/>
    <x v="1"/>
    <x v="1"/>
  </r>
  <r>
    <s v="TXN00278"/>
    <d v="2025-02-22T00:00:00"/>
    <x v="25"/>
    <s v="Amlodipine 5mg"/>
    <x v="1"/>
    <x v="0"/>
    <s v="Mankind"/>
    <n v="6"/>
    <n v="45"/>
    <x v="0"/>
    <n v="270"/>
    <x v="1"/>
    <x v="1"/>
  </r>
  <r>
    <s v="TXN00279"/>
    <d v="2025-02-22T00:00:00"/>
    <x v="6"/>
    <s v="Telmisartan 40mg"/>
    <x v="1"/>
    <x v="1"/>
    <s v="Jan Aushadhi"/>
    <n v="3"/>
    <n v="46"/>
    <x v="3"/>
    <n v="138"/>
    <x v="1"/>
    <x v="1"/>
  </r>
  <r>
    <s v="TXN00280"/>
    <d v="2025-02-22T00:00:00"/>
    <x v="21"/>
    <s v="Montelukast+Levocetirizine"/>
    <x v="8"/>
    <x v="0"/>
    <s v="Sun Pharma"/>
    <n v="1"/>
    <n v="182"/>
    <x v="2"/>
    <n v="182"/>
    <x v="1"/>
    <x v="1"/>
  </r>
  <r>
    <s v="TXN00281"/>
    <d v="2025-02-22T00:00:00"/>
    <x v="9"/>
    <s v="Ibuprofen 400mg"/>
    <x v="0"/>
    <x v="0"/>
    <s v="Abbott"/>
    <n v="4"/>
    <n v="42"/>
    <x v="0"/>
    <n v="168"/>
    <x v="1"/>
    <x v="1"/>
  </r>
  <r>
    <s v="TXN00282"/>
    <d v="2025-02-22T00:00:00"/>
    <x v="9"/>
    <s v="Ibuprofen 400mg"/>
    <x v="0"/>
    <x v="0"/>
    <s v="Abbott"/>
    <n v="2"/>
    <n v="42"/>
    <x v="0"/>
    <n v="84"/>
    <x v="1"/>
    <x v="1"/>
  </r>
  <r>
    <s v="TXN00283"/>
    <d v="2025-02-23T00:00:00"/>
    <x v="11"/>
    <s v="Amoxicillin+Clavulanate 625mg"/>
    <x v="5"/>
    <x v="0"/>
    <s v="GSK"/>
    <n v="2"/>
    <n v="205"/>
    <x v="2"/>
    <n v="410"/>
    <x v="1"/>
    <x v="1"/>
  </r>
  <r>
    <s v="TXN00284"/>
    <d v="2025-02-23T00:00:00"/>
    <x v="13"/>
    <s v="Metformin 500mg"/>
    <x v="7"/>
    <x v="0"/>
    <s v="USV"/>
    <n v="3"/>
    <n v="32"/>
    <x v="0"/>
    <n v="96"/>
    <x v="1"/>
    <x v="1"/>
  </r>
  <r>
    <s v="TXN00285"/>
    <d v="2025-02-23T00:00:00"/>
    <x v="22"/>
    <s v="Atorvastatin 10mg"/>
    <x v="3"/>
    <x v="0"/>
    <s v="Zydus"/>
    <n v="6"/>
    <n v="92"/>
    <x v="2"/>
    <n v="552"/>
    <x v="1"/>
    <x v="1"/>
  </r>
  <r>
    <s v="TXN00286"/>
    <d v="2025-02-23T00:00:00"/>
    <x v="1"/>
    <s v="Amlodipine 5mg"/>
    <x v="1"/>
    <x v="1"/>
    <s v="Jan Aushadhi"/>
    <n v="1"/>
    <n v="15"/>
    <x v="2"/>
    <n v="15"/>
    <x v="1"/>
    <x v="1"/>
  </r>
  <r>
    <s v="TXN00287"/>
    <d v="2025-02-23T00:00:00"/>
    <x v="20"/>
    <s v="Pantoprazole 40mg"/>
    <x v="2"/>
    <x v="1"/>
    <s v="Jan Aushadhi"/>
    <n v="4"/>
    <n v="50"/>
    <x v="2"/>
    <n v="200"/>
    <x v="1"/>
    <x v="1"/>
  </r>
  <r>
    <s v="TXN00288"/>
    <d v="2025-02-23T00:00:00"/>
    <x v="2"/>
    <s v="Omeprazole 20mg"/>
    <x v="2"/>
    <x v="0"/>
    <s v="Dr. Reddy's"/>
    <n v="1"/>
    <n v="58"/>
    <x v="0"/>
    <n v="58"/>
    <x v="1"/>
    <x v="1"/>
  </r>
  <r>
    <s v="TXN00289"/>
    <d v="2025-02-23T00:00:00"/>
    <x v="15"/>
    <s v="Cetirizine 10mg"/>
    <x v="6"/>
    <x v="1"/>
    <s v="Jan Aushadhi"/>
    <n v="2"/>
    <n v="8"/>
    <x v="1"/>
    <n v="16"/>
    <x v="1"/>
    <x v="1"/>
  </r>
  <r>
    <s v="TXN00290"/>
    <d v="2025-02-23T00:00:00"/>
    <x v="4"/>
    <s v="Ibuprofen 400mg"/>
    <x v="0"/>
    <x v="1"/>
    <s v="Jan Aushadhi"/>
    <n v="2"/>
    <n v="15"/>
    <x v="0"/>
    <n v="30"/>
    <x v="1"/>
    <x v="1"/>
  </r>
  <r>
    <s v="TXN00291"/>
    <d v="2025-02-24T00:00:00"/>
    <x v="16"/>
    <s v="Azithromycin 500mg"/>
    <x v="5"/>
    <x v="0"/>
    <s v="Alembic"/>
    <n v="2"/>
    <n v="125"/>
    <x v="3"/>
    <n v="250"/>
    <x v="1"/>
    <x v="1"/>
  </r>
  <r>
    <s v="TXN00292"/>
    <d v="2025-02-24T00:00:00"/>
    <x v="11"/>
    <s v="Amoxicillin+Clavulanate 625mg"/>
    <x v="5"/>
    <x v="0"/>
    <s v="GSK"/>
    <n v="4"/>
    <n v="205"/>
    <x v="3"/>
    <n v="820"/>
    <x v="1"/>
    <x v="1"/>
  </r>
  <r>
    <s v="TXN00293"/>
    <d v="2025-02-24T00:00:00"/>
    <x v="13"/>
    <s v="Metformin 500mg"/>
    <x v="7"/>
    <x v="0"/>
    <s v="USV"/>
    <n v="6"/>
    <n v="32"/>
    <x v="0"/>
    <n v="192"/>
    <x v="1"/>
    <x v="1"/>
  </r>
  <r>
    <s v="TXN00294"/>
    <d v="2025-02-24T00:00:00"/>
    <x v="29"/>
    <s v="Diclofenac 50mg"/>
    <x v="0"/>
    <x v="1"/>
    <s v="Jan Aushadhi"/>
    <n v="4"/>
    <n v="20"/>
    <x v="1"/>
    <n v="80"/>
    <x v="1"/>
    <x v="1"/>
  </r>
  <r>
    <s v="TXN00295"/>
    <d v="2025-02-24T00:00:00"/>
    <x v="29"/>
    <s v="Diclofenac 50mg"/>
    <x v="0"/>
    <x v="1"/>
    <s v="Jan Aushadhi"/>
    <n v="1"/>
    <n v="20"/>
    <x v="1"/>
    <n v="20"/>
    <x v="1"/>
    <x v="1"/>
  </r>
  <r>
    <s v="TXN00296"/>
    <d v="2025-02-25T00:00:00"/>
    <x v="0"/>
    <s v="Paracetamol 650mg"/>
    <x v="0"/>
    <x v="0"/>
    <s v="Micro Labs"/>
    <n v="2"/>
    <n v="32"/>
    <x v="3"/>
    <n v="64"/>
    <x v="1"/>
    <x v="1"/>
  </r>
  <r>
    <s v="TXN00297"/>
    <d v="2025-02-25T00:00:00"/>
    <x v="16"/>
    <s v="Azithromycin 500mg"/>
    <x v="5"/>
    <x v="0"/>
    <s v="Alembic"/>
    <n v="5"/>
    <n v="125"/>
    <x v="0"/>
    <n v="625"/>
    <x v="1"/>
    <x v="1"/>
  </r>
  <r>
    <s v="TXN00298"/>
    <d v="2025-02-25T00:00:00"/>
    <x v="11"/>
    <s v="Amoxicillin+Clavulanate 625mg"/>
    <x v="5"/>
    <x v="0"/>
    <s v="GSK"/>
    <n v="2"/>
    <n v="205"/>
    <x v="0"/>
    <n v="410"/>
    <x v="1"/>
    <x v="1"/>
  </r>
  <r>
    <s v="TXN00299"/>
    <d v="2025-02-25T00:00:00"/>
    <x v="24"/>
    <s v="Glimepiride 2mg"/>
    <x v="7"/>
    <x v="0"/>
    <s v="Sanofi"/>
    <n v="6"/>
    <n v="190"/>
    <x v="3"/>
    <n v="1140"/>
    <x v="1"/>
    <x v="1"/>
  </r>
  <r>
    <s v="TXN00300"/>
    <d v="2025-02-25T00:00:00"/>
    <x v="17"/>
    <s v="Rosuvastatin 10mg"/>
    <x v="3"/>
    <x v="1"/>
    <s v="Jan Aushadhi"/>
    <n v="1"/>
    <n v="58"/>
    <x v="1"/>
    <n v="58"/>
    <x v="1"/>
    <x v="1"/>
  </r>
  <r>
    <s v="TXN00301"/>
    <d v="2025-02-25T00:00:00"/>
    <x v="25"/>
    <s v="Amlodipine 5mg"/>
    <x v="1"/>
    <x v="0"/>
    <s v="Mankind"/>
    <n v="6"/>
    <n v="45"/>
    <x v="1"/>
    <n v="270"/>
    <x v="1"/>
    <x v="1"/>
  </r>
  <r>
    <s v="TXN00302"/>
    <d v="2025-02-25T00:00:00"/>
    <x v="1"/>
    <s v="Amlodipine 5mg"/>
    <x v="1"/>
    <x v="1"/>
    <s v="Jan Aushadhi"/>
    <n v="1"/>
    <n v="15"/>
    <x v="3"/>
    <n v="15"/>
    <x v="1"/>
    <x v="1"/>
  </r>
  <r>
    <s v="TXN00303"/>
    <d v="2025-02-25T00:00:00"/>
    <x v="30"/>
    <s v="Telmisartan 40mg"/>
    <x v="1"/>
    <x v="0"/>
    <s v="Glenmark"/>
    <n v="3"/>
    <n v="142"/>
    <x v="0"/>
    <n v="426"/>
    <x v="1"/>
    <x v="1"/>
  </r>
  <r>
    <s v="TXN00304"/>
    <d v="2025-02-26T00:00:00"/>
    <x v="18"/>
    <s v="Paracetamol 650mg"/>
    <x v="0"/>
    <x v="1"/>
    <s v="Jan Aushadhi"/>
    <n v="1"/>
    <n v="14"/>
    <x v="3"/>
    <n v="14"/>
    <x v="1"/>
    <x v="1"/>
  </r>
  <r>
    <s v="TXN00305"/>
    <d v="2025-02-26T00:00:00"/>
    <x v="8"/>
    <s v="Azithromycin 500mg"/>
    <x v="5"/>
    <x v="1"/>
    <s v="Jan Aushadhi"/>
    <n v="2"/>
    <n v="55"/>
    <x v="0"/>
    <n v="110"/>
    <x v="1"/>
    <x v="1"/>
  </r>
  <r>
    <s v="TXN00306"/>
    <d v="2025-02-26T00:00:00"/>
    <x v="20"/>
    <s v="Pantoprazole 40mg"/>
    <x v="2"/>
    <x v="1"/>
    <s v="Jan Aushadhi"/>
    <n v="2"/>
    <n v="50"/>
    <x v="3"/>
    <n v="100"/>
    <x v="1"/>
    <x v="1"/>
  </r>
  <r>
    <s v="TXN00307"/>
    <d v="2025-02-26T00:00:00"/>
    <x v="10"/>
    <s v="Cetirizine 10mg"/>
    <x v="6"/>
    <x v="0"/>
    <s v="Cipla"/>
    <n v="5"/>
    <n v="26"/>
    <x v="1"/>
    <n v="130"/>
    <x v="1"/>
    <x v="1"/>
  </r>
  <r>
    <s v="TXN00308"/>
    <d v="2025-02-26T00:00:00"/>
    <x v="9"/>
    <s v="Ibuprofen 400mg"/>
    <x v="0"/>
    <x v="0"/>
    <s v="Abbott"/>
    <n v="1"/>
    <n v="42"/>
    <x v="2"/>
    <n v="42"/>
    <x v="1"/>
    <x v="1"/>
  </r>
  <r>
    <s v="TXN00309"/>
    <d v="2025-02-27T00:00:00"/>
    <x v="0"/>
    <s v="Paracetamol 650mg"/>
    <x v="0"/>
    <x v="0"/>
    <s v="Micro Labs"/>
    <n v="2"/>
    <n v="32"/>
    <x v="1"/>
    <n v="64"/>
    <x v="1"/>
    <x v="1"/>
  </r>
  <r>
    <s v="TXN00310"/>
    <d v="2025-02-27T00:00:00"/>
    <x v="18"/>
    <s v="Paracetamol 650mg"/>
    <x v="0"/>
    <x v="1"/>
    <s v="Jan Aushadhi"/>
    <n v="5"/>
    <n v="14"/>
    <x v="0"/>
    <n v="70"/>
    <x v="1"/>
    <x v="1"/>
  </r>
  <r>
    <s v="TXN00311"/>
    <d v="2025-02-27T00:00:00"/>
    <x v="16"/>
    <s v="Azithromycin 500mg"/>
    <x v="5"/>
    <x v="0"/>
    <s v="Alembic"/>
    <n v="2"/>
    <n v="125"/>
    <x v="0"/>
    <n v="250"/>
    <x v="1"/>
    <x v="1"/>
  </r>
  <r>
    <s v="TXN00312"/>
    <d v="2025-02-27T00:00:00"/>
    <x v="16"/>
    <s v="Azithromycin 500mg"/>
    <x v="5"/>
    <x v="0"/>
    <s v="Alembic"/>
    <n v="1"/>
    <n v="125"/>
    <x v="0"/>
    <n v="125"/>
    <x v="1"/>
    <x v="1"/>
  </r>
  <r>
    <s v="TXN00313"/>
    <d v="2025-02-27T00:00:00"/>
    <x v="30"/>
    <s v="Telmisartan 40mg"/>
    <x v="1"/>
    <x v="0"/>
    <s v="Glenmark"/>
    <n v="3"/>
    <n v="142"/>
    <x v="0"/>
    <n v="426"/>
    <x v="1"/>
    <x v="1"/>
  </r>
  <r>
    <s v="TXN00314"/>
    <d v="2025-02-27T00:00:00"/>
    <x v="31"/>
    <s v="Montelukast+Levocetirizine"/>
    <x v="8"/>
    <x v="1"/>
    <s v="Jan Aushadhi"/>
    <n v="5"/>
    <n v="70"/>
    <x v="1"/>
    <n v="350"/>
    <x v="1"/>
    <x v="1"/>
  </r>
  <r>
    <s v="TXN00315"/>
    <d v="2025-02-27T00:00:00"/>
    <x v="9"/>
    <s v="Ibuprofen 400mg"/>
    <x v="0"/>
    <x v="0"/>
    <s v="Abbott"/>
    <n v="3"/>
    <n v="42"/>
    <x v="1"/>
    <n v="126"/>
    <x v="1"/>
    <x v="1"/>
  </r>
  <r>
    <s v="TXN00316"/>
    <d v="2025-02-28T00:00:00"/>
    <x v="20"/>
    <s v="Pantoprazole 40mg"/>
    <x v="2"/>
    <x v="1"/>
    <s v="Jan Aushadhi"/>
    <n v="3"/>
    <n v="50"/>
    <x v="3"/>
    <n v="150"/>
    <x v="1"/>
    <x v="1"/>
  </r>
  <r>
    <s v="TXN00317"/>
    <d v="2025-02-28T00:00:00"/>
    <x v="10"/>
    <s v="Cetirizine 10mg"/>
    <x v="6"/>
    <x v="0"/>
    <s v="Cipla"/>
    <n v="4"/>
    <n v="26"/>
    <x v="1"/>
    <n v="104"/>
    <x v="1"/>
    <x v="1"/>
  </r>
  <r>
    <s v="TXN00318"/>
    <d v="2025-02-28T00:00:00"/>
    <x v="15"/>
    <s v="Cetirizine 10mg"/>
    <x v="6"/>
    <x v="1"/>
    <s v="Jan Aushadhi"/>
    <n v="5"/>
    <n v="8"/>
    <x v="0"/>
    <n v="40"/>
    <x v="1"/>
    <x v="1"/>
  </r>
  <r>
    <s v="TXN00319"/>
    <d v="2025-02-28T00:00:00"/>
    <x v="15"/>
    <s v="Cetirizine 10mg"/>
    <x v="6"/>
    <x v="1"/>
    <s v="Jan Aushadhi"/>
    <n v="1"/>
    <n v="8"/>
    <x v="1"/>
    <n v="8"/>
    <x v="1"/>
    <x v="1"/>
  </r>
  <r>
    <s v="TXN00320"/>
    <d v="2025-02-28T00:00:00"/>
    <x v="7"/>
    <s v="Vitamin B-Complex"/>
    <x v="4"/>
    <x v="0"/>
    <s v="Pfizer"/>
    <n v="3"/>
    <n v="46"/>
    <x v="1"/>
    <n v="138"/>
    <x v="1"/>
    <x v="1"/>
  </r>
  <r>
    <s v="TXN00321"/>
    <d v="2025-03-01T00:00:00"/>
    <x v="0"/>
    <s v="Paracetamol 650mg"/>
    <x v="0"/>
    <x v="0"/>
    <s v="Micro Labs"/>
    <n v="1"/>
    <n v="32"/>
    <x v="2"/>
    <n v="32"/>
    <x v="2"/>
    <x v="2"/>
  </r>
  <r>
    <s v="TXN00322"/>
    <d v="2025-03-01T00:00:00"/>
    <x v="15"/>
    <s v="Cetirizine 10mg"/>
    <x v="6"/>
    <x v="1"/>
    <s v="Jan Aushadhi"/>
    <n v="1"/>
    <n v="8"/>
    <x v="0"/>
    <n v="8"/>
    <x v="2"/>
    <x v="2"/>
  </r>
  <r>
    <s v="TXN00323"/>
    <d v="2025-03-02T00:00:00"/>
    <x v="18"/>
    <s v="Paracetamol 650mg"/>
    <x v="0"/>
    <x v="1"/>
    <s v="Jan Aushadhi"/>
    <n v="2"/>
    <n v="14"/>
    <x v="1"/>
    <n v="28"/>
    <x v="2"/>
    <x v="2"/>
  </r>
  <r>
    <s v="TXN00324"/>
    <d v="2025-03-02T00:00:00"/>
    <x v="19"/>
    <s v="Metformin 500mg"/>
    <x v="7"/>
    <x v="1"/>
    <s v="Jan Aushadhi"/>
    <n v="6"/>
    <n v="12"/>
    <x v="0"/>
    <n v="72"/>
    <x v="2"/>
    <x v="2"/>
  </r>
  <r>
    <s v="TXN00325"/>
    <d v="2025-03-02T00:00:00"/>
    <x v="25"/>
    <s v="Amlodipine 5mg"/>
    <x v="1"/>
    <x v="0"/>
    <s v="Mankind"/>
    <n v="6"/>
    <n v="45"/>
    <x v="0"/>
    <n v="270"/>
    <x v="2"/>
    <x v="2"/>
  </r>
  <r>
    <s v="TXN00326"/>
    <d v="2025-03-02T00:00:00"/>
    <x v="20"/>
    <s v="Pantoprazole 40mg"/>
    <x v="2"/>
    <x v="1"/>
    <s v="Jan Aushadhi"/>
    <n v="4"/>
    <n v="50"/>
    <x v="1"/>
    <n v="200"/>
    <x v="2"/>
    <x v="2"/>
  </r>
  <r>
    <s v="TXN00327"/>
    <d v="2025-03-02T00:00:00"/>
    <x v="9"/>
    <s v="Ibuprofen 400mg"/>
    <x v="0"/>
    <x v="0"/>
    <s v="Abbott"/>
    <n v="4"/>
    <n v="42"/>
    <x v="0"/>
    <n v="168"/>
    <x v="2"/>
    <x v="2"/>
  </r>
  <r>
    <s v="TXN00328"/>
    <d v="2025-03-03T00:00:00"/>
    <x v="18"/>
    <s v="Paracetamol 650mg"/>
    <x v="0"/>
    <x v="1"/>
    <s v="Jan Aushadhi"/>
    <n v="1"/>
    <n v="14"/>
    <x v="3"/>
    <n v="14"/>
    <x v="2"/>
    <x v="2"/>
  </r>
  <r>
    <s v="TXN00329"/>
    <d v="2025-03-03T00:00:00"/>
    <x v="19"/>
    <s v="Metformin 500mg"/>
    <x v="7"/>
    <x v="1"/>
    <s v="Jan Aushadhi"/>
    <n v="2"/>
    <n v="12"/>
    <x v="2"/>
    <n v="24"/>
    <x v="2"/>
    <x v="2"/>
  </r>
  <r>
    <s v="TXN00330"/>
    <d v="2025-03-03T00:00:00"/>
    <x v="19"/>
    <s v="Metformin 500mg"/>
    <x v="7"/>
    <x v="1"/>
    <s v="Jan Aushadhi"/>
    <n v="12"/>
    <n v="12"/>
    <x v="0"/>
    <n v="144"/>
    <x v="2"/>
    <x v="2"/>
  </r>
  <r>
    <s v="TXN00331"/>
    <d v="2025-03-03T00:00:00"/>
    <x v="19"/>
    <s v="Metformin 500mg"/>
    <x v="7"/>
    <x v="1"/>
    <s v="Jan Aushadhi"/>
    <n v="1"/>
    <n v="12"/>
    <x v="3"/>
    <n v="12"/>
    <x v="2"/>
    <x v="2"/>
  </r>
  <r>
    <s v="TXN00332"/>
    <d v="2025-03-03T00:00:00"/>
    <x v="26"/>
    <s v="Atorvastatin 10mg"/>
    <x v="3"/>
    <x v="1"/>
    <s v="Jan Aushadhi"/>
    <n v="6"/>
    <n v="35"/>
    <x v="3"/>
    <n v="210"/>
    <x v="2"/>
    <x v="2"/>
  </r>
  <r>
    <s v="TXN00333"/>
    <d v="2025-03-03T00:00:00"/>
    <x v="30"/>
    <s v="Telmisartan 40mg"/>
    <x v="1"/>
    <x v="0"/>
    <s v="Glenmark"/>
    <n v="6"/>
    <n v="142"/>
    <x v="0"/>
    <n v="852"/>
    <x v="2"/>
    <x v="2"/>
  </r>
  <r>
    <s v="TXN00334"/>
    <d v="2025-03-03T00:00:00"/>
    <x v="9"/>
    <s v="Ibuprofen 400mg"/>
    <x v="0"/>
    <x v="0"/>
    <s v="Abbott"/>
    <n v="1"/>
    <n v="42"/>
    <x v="0"/>
    <n v="42"/>
    <x v="2"/>
    <x v="2"/>
  </r>
  <r>
    <s v="TXN00335"/>
    <d v="2025-03-03T00:00:00"/>
    <x v="27"/>
    <s v="Vitamin B-Complex"/>
    <x v="4"/>
    <x v="1"/>
    <s v="Jan Aushadhi"/>
    <n v="4"/>
    <n v="18"/>
    <x v="0"/>
    <n v="72"/>
    <x v="2"/>
    <x v="2"/>
  </r>
  <r>
    <s v="TXN00336"/>
    <d v="2025-03-04T00:00:00"/>
    <x v="0"/>
    <s v="Paracetamol 650mg"/>
    <x v="0"/>
    <x v="0"/>
    <s v="Micro Labs"/>
    <n v="5"/>
    <n v="32"/>
    <x v="0"/>
    <n v="160"/>
    <x v="2"/>
    <x v="2"/>
  </r>
  <r>
    <s v="TXN00337"/>
    <d v="2025-03-04T00:00:00"/>
    <x v="18"/>
    <s v="Paracetamol 650mg"/>
    <x v="0"/>
    <x v="1"/>
    <s v="Jan Aushadhi"/>
    <n v="5"/>
    <n v="14"/>
    <x v="0"/>
    <n v="70"/>
    <x v="2"/>
    <x v="2"/>
  </r>
  <r>
    <s v="TXN00338"/>
    <d v="2025-03-04T00:00:00"/>
    <x v="11"/>
    <s v="Amoxicillin+Clavulanate 625mg"/>
    <x v="5"/>
    <x v="0"/>
    <s v="GSK"/>
    <n v="3"/>
    <n v="205"/>
    <x v="3"/>
    <n v="615"/>
    <x v="2"/>
    <x v="2"/>
  </r>
  <r>
    <s v="TXN00339"/>
    <d v="2025-03-04T00:00:00"/>
    <x v="24"/>
    <s v="Glimepiride 2mg"/>
    <x v="7"/>
    <x v="0"/>
    <s v="Sanofi"/>
    <n v="6"/>
    <n v="190"/>
    <x v="3"/>
    <n v="1140"/>
    <x v="2"/>
    <x v="2"/>
  </r>
  <r>
    <s v="TXN00340"/>
    <d v="2025-03-04T00:00:00"/>
    <x v="28"/>
    <s v="Glimepiride 2mg"/>
    <x v="7"/>
    <x v="1"/>
    <s v="Jan Aushadhi"/>
    <n v="1"/>
    <n v="42"/>
    <x v="0"/>
    <n v="42"/>
    <x v="2"/>
    <x v="2"/>
  </r>
  <r>
    <s v="TXN00341"/>
    <d v="2025-03-05T00:00:00"/>
    <x v="0"/>
    <s v="Paracetamol 650mg"/>
    <x v="0"/>
    <x v="0"/>
    <s v="Micro Labs"/>
    <n v="2"/>
    <n v="32"/>
    <x v="2"/>
    <n v="64"/>
    <x v="2"/>
    <x v="2"/>
  </r>
  <r>
    <s v="TXN00342"/>
    <d v="2025-03-05T00:00:00"/>
    <x v="0"/>
    <s v="Paracetamol 650mg"/>
    <x v="0"/>
    <x v="0"/>
    <s v="Micro Labs"/>
    <n v="4"/>
    <n v="32"/>
    <x v="2"/>
    <n v="128"/>
    <x v="2"/>
    <x v="2"/>
  </r>
  <r>
    <s v="TXN00343"/>
    <d v="2025-03-05T00:00:00"/>
    <x v="16"/>
    <s v="Azithromycin 500mg"/>
    <x v="5"/>
    <x v="0"/>
    <s v="Alembic"/>
    <n v="2"/>
    <n v="125"/>
    <x v="1"/>
    <n v="250"/>
    <x v="2"/>
    <x v="2"/>
  </r>
  <r>
    <s v="TXN00344"/>
    <d v="2025-03-05T00:00:00"/>
    <x v="13"/>
    <s v="Metformin 500mg"/>
    <x v="7"/>
    <x v="0"/>
    <s v="USV"/>
    <n v="6"/>
    <n v="32"/>
    <x v="2"/>
    <n v="192"/>
    <x v="2"/>
    <x v="2"/>
  </r>
  <r>
    <s v="TXN00345"/>
    <d v="2025-03-05T00:00:00"/>
    <x v="14"/>
    <s v="Pantoprazole 40mg"/>
    <x v="2"/>
    <x v="0"/>
    <s v="Alkem"/>
    <n v="1"/>
    <n v="152"/>
    <x v="0"/>
    <n v="152"/>
    <x v="2"/>
    <x v="2"/>
  </r>
  <r>
    <s v="TXN00346"/>
    <d v="2025-03-05T00:00:00"/>
    <x v="15"/>
    <s v="Cetirizine 10mg"/>
    <x v="6"/>
    <x v="1"/>
    <s v="Jan Aushadhi"/>
    <n v="1"/>
    <n v="8"/>
    <x v="0"/>
    <n v="8"/>
    <x v="2"/>
    <x v="2"/>
  </r>
  <r>
    <s v="TXN00347"/>
    <d v="2025-03-06T00:00:00"/>
    <x v="13"/>
    <s v="Metformin 500mg"/>
    <x v="7"/>
    <x v="0"/>
    <s v="USV"/>
    <n v="6"/>
    <n v="32"/>
    <x v="0"/>
    <n v="192"/>
    <x v="2"/>
    <x v="2"/>
  </r>
  <r>
    <s v="TXN00348"/>
    <d v="2025-03-06T00:00:00"/>
    <x v="28"/>
    <s v="Glimepiride 2mg"/>
    <x v="7"/>
    <x v="1"/>
    <s v="Jan Aushadhi"/>
    <n v="1"/>
    <n v="42"/>
    <x v="1"/>
    <n v="42"/>
    <x v="2"/>
    <x v="2"/>
  </r>
  <r>
    <s v="TXN00349"/>
    <d v="2025-03-06T00:00:00"/>
    <x v="22"/>
    <s v="Atorvastatin 10mg"/>
    <x v="3"/>
    <x v="0"/>
    <s v="Zydus"/>
    <n v="3"/>
    <n v="92"/>
    <x v="0"/>
    <n v="276"/>
    <x v="2"/>
    <x v="2"/>
  </r>
  <r>
    <s v="TXN00350"/>
    <d v="2025-03-06T00:00:00"/>
    <x v="1"/>
    <s v="Amlodipine 5mg"/>
    <x v="1"/>
    <x v="1"/>
    <s v="Jan Aushadhi"/>
    <n v="3"/>
    <n v="15"/>
    <x v="0"/>
    <n v="45"/>
    <x v="2"/>
    <x v="2"/>
  </r>
  <r>
    <s v="TXN00351"/>
    <d v="2025-03-06T00:00:00"/>
    <x v="20"/>
    <s v="Pantoprazole 40mg"/>
    <x v="2"/>
    <x v="1"/>
    <s v="Jan Aushadhi"/>
    <n v="1"/>
    <n v="50"/>
    <x v="0"/>
    <n v="50"/>
    <x v="2"/>
    <x v="2"/>
  </r>
  <r>
    <s v="TXN00352"/>
    <d v="2025-03-07T00:00:00"/>
    <x v="0"/>
    <s v="Paracetamol 650mg"/>
    <x v="0"/>
    <x v="0"/>
    <s v="Micro Labs"/>
    <n v="2"/>
    <n v="32"/>
    <x v="0"/>
    <n v="64"/>
    <x v="2"/>
    <x v="2"/>
  </r>
  <r>
    <s v="TXN00353"/>
    <d v="2025-03-07T00:00:00"/>
    <x v="24"/>
    <s v="Glimepiride 2mg"/>
    <x v="7"/>
    <x v="0"/>
    <s v="Sanofi"/>
    <n v="3"/>
    <n v="190"/>
    <x v="0"/>
    <n v="570"/>
    <x v="2"/>
    <x v="2"/>
  </r>
  <r>
    <s v="TXN00354"/>
    <d v="2025-03-07T00:00:00"/>
    <x v="15"/>
    <s v="Cetirizine 10mg"/>
    <x v="6"/>
    <x v="1"/>
    <s v="Jan Aushadhi"/>
    <n v="1"/>
    <n v="8"/>
    <x v="1"/>
    <n v="8"/>
    <x v="2"/>
    <x v="2"/>
  </r>
  <r>
    <s v="TXN00355"/>
    <d v="2025-03-07T00:00:00"/>
    <x v="23"/>
    <s v="Diclofenac 50mg"/>
    <x v="0"/>
    <x v="0"/>
    <s v="Novartis"/>
    <n v="1"/>
    <n v="62"/>
    <x v="2"/>
    <n v="62"/>
    <x v="2"/>
    <x v="2"/>
  </r>
  <r>
    <s v="TXN00356"/>
    <d v="2025-03-08T00:00:00"/>
    <x v="24"/>
    <s v="Glimepiride 2mg"/>
    <x v="7"/>
    <x v="0"/>
    <s v="Sanofi"/>
    <n v="6"/>
    <n v="190"/>
    <x v="2"/>
    <n v="1140"/>
    <x v="2"/>
    <x v="2"/>
  </r>
  <r>
    <s v="TXN00357"/>
    <d v="2025-03-09T00:00:00"/>
    <x v="11"/>
    <s v="Amoxicillin+Clavulanate 625mg"/>
    <x v="5"/>
    <x v="0"/>
    <s v="GSK"/>
    <n v="3"/>
    <n v="205"/>
    <x v="1"/>
    <n v="615"/>
    <x v="2"/>
    <x v="2"/>
  </r>
  <r>
    <s v="TXN00358"/>
    <d v="2025-03-09T00:00:00"/>
    <x v="5"/>
    <s v="Rosuvastatin 10mg"/>
    <x v="3"/>
    <x v="0"/>
    <s v="Sun Pharma"/>
    <n v="1"/>
    <n v="165"/>
    <x v="0"/>
    <n v="165"/>
    <x v="2"/>
    <x v="2"/>
  </r>
  <r>
    <s v="TXN00359"/>
    <d v="2025-03-09T00:00:00"/>
    <x v="3"/>
    <s v="Omeprazole 20mg"/>
    <x v="2"/>
    <x v="1"/>
    <s v="Jan Aushadhi"/>
    <n v="1"/>
    <n v="20"/>
    <x v="0"/>
    <n v="20"/>
    <x v="2"/>
    <x v="2"/>
  </r>
  <r>
    <s v="TXN00360"/>
    <d v="2025-03-09T00:00:00"/>
    <x v="10"/>
    <s v="Cetirizine 10mg"/>
    <x v="6"/>
    <x v="0"/>
    <s v="Cipla"/>
    <n v="5"/>
    <n v="26"/>
    <x v="0"/>
    <n v="130"/>
    <x v="2"/>
    <x v="2"/>
  </r>
  <r>
    <s v="TXN00361"/>
    <d v="2025-03-09T00:00:00"/>
    <x v="29"/>
    <s v="Diclofenac 50mg"/>
    <x v="0"/>
    <x v="1"/>
    <s v="Jan Aushadhi"/>
    <n v="1"/>
    <n v="20"/>
    <x v="0"/>
    <n v="20"/>
    <x v="2"/>
    <x v="2"/>
  </r>
  <r>
    <s v="TXN00362"/>
    <d v="2025-03-09T00:00:00"/>
    <x v="7"/>
    <s v="Vitamin B-Complex"/>
    <x v="4"/>
    <x v="0"/>
    <s v="Pfizer"/>
    <n v="1"/>
    <n v="46"/>
    <x v="0"/>
    <n v="46"/>
    <x v="2"/>
    <x v="2"/>
  </r>
  <r>
    <s v="TXN00363"/>
    <d v="2025-03-10T00:00:00"/>
    <x v="19"/>
    <s v="Metformin 500mg"/>
    <x v="7"/>
    <x v="1"/>
    <s v="Jan Aushadhi"/>
    <n v="6"/>
    <n v="12"/>
    <x v="3"/>
    <n v="72"/>
    <x v="2"/>
    <x v="2"/>
  </r>
  <r>
    <s v="TXN00364"/>
    <d v="2025-03-10T00:00:00"/>
    <x v="22"/>
    <s v="Atorvastatin 10mg"/>
    <x v="3"/>
    <x v="0"/>
    <s v="Zydus"/>
    <n v="1"/>
    <n v="92"/>
    <x v="0"/>
    <n v="92"/>
    <x v="2"/>
    <x v="2"/>
  </r>
  <r>
    <s v="TXN00365"/>
    <d v="2025-03-10T00:00:00"/>
    <x v="30"/>
    <s v="Telmisartan 40mg"/>
    <x v="1"/>
    <x v="0"/>
    <s v="Glenmark"/>
    <n v="12"/>
    <n v="142"/>
    <x v="0"/>
    <n v="1704"/>
    <x v="2"/>
    <x v="2"/>
  </r>
  <r>
    <s v="TXN00366"/>
    <d v="2025-03-10T00:00:00"/>
    <x v="14"/>
    <s v="Pantoprazole 40mg"/>
    <x v="2"/>
    <x v="0"/>
    <s v="Alkem"/>
    <n v="1"/>
    <n v="152"/>
    <x v="0"/>
    <n v="152"/>
    <x v="2"/>
    <x v="2"/>
  </r>
  <r>
    <s v="TXN00367"/>
    <d v="2025-03-10T00:00:00"/>
    <x v="20"/>
    <s v="Pantoprazole 40mg"/>
    <x v="2"/>
    <x v="1"/>
    <s v="Jan Aushadhi"/>
    <n v="5"/>
    <n v="50"/>
    <x v="3"/>
    <n v="250"/>
    <x v="2"/>
    <x v="2"/>
  </r>
  <r>
    <s v="TXN00368"/>
    <d v="2025-03-10T00:00:00"/>
    <x v="21"/>
    <s v="Montelukast+Levocetirizine"/>
    <x v="8"/>
    <x v="0"/>
    <s v="Sun Pharma"/>
    <n v="1"/>
    <n v="182"/>
    <x v="0"/>
    <n v="182"/>
    <x v="2"/>
    <x v="2"/>
  </r>
  <r>
    <s v="TXN00369"/>
    <d v="2025-03-10T00:00:00"/>
    <x v="31"/>
    <s v="Montelukast+Levocetirizine"/>
    <x v="8"/>
    <x v="1"/>
    <s v="Jan Aushadhi"/>
    <n v="4"/>
    <n v="70"/>
    <x v="3"/>
    <n v="280"/>
    <x v="2"/>
    <x v="2"/>
  </r>
  <r>
    <s v="TXN00370"/>
    <d v="2025-03-10T00:00:00"/>
    <x v="29"/>
    <s v="Diclofenac 50mg"/>
    <x v="0"/>
    <x v="1"/>
    <s v="Jan Aushadhi"/>
    <n v="4"/>
    <n v="20"/>
    <x v="0"/>
    <n v="80"/>
    <x v="2"/>
    <x v="2"/>
  </r>
  <r>
    <s v="TXN00371"/>
    <d v="2025-03-11T00:00:00"/>
    <x v="11"/>
    <s v="Amoxicillin+Clavulanate 625mg"/>
    <x v="5"/>
    <x v="0"/>
    <s v="GSK"/>
    <n v="4"/>
    <n v="205"/>
    <x v="1"/>
    <n v="820"/>
    <x v="2"/>
    <x v="2"/>
  </r>
  <r>
    <s v="TXN00372"/>
    <d v="2025-03-11T00:00:00"/>
    <x v="17"/>
    <s v="Rosuvastatin 10mg"/>
    <x v="3"/>
    <x v="1"/>
    <s v="Jan Aushadhi"/>
    <n v="6"/>
    <n v="58"/>
    <x v="0"/>
    <n v="348"/>
    <x v="2"/>
    <x v="2"/>
  </r>
  <r>
    <s v="TXN00373"/>
    <d v="2025-03-12T00:00:00"/>
    <x v="0"/>
    <s v="Paracetamol 650mg"/>
    <x v="0"/>
    <x v="0"/>
    <s v="Micro Labs"/>
    <n v="2"/>
    <n v="32"/>
    <x v="0"/>
    <n v="64"/>
    <x v="2"/>
    <x v="2"/>
  </r>
  <r>
    <s v="TXN00374"/>
    <d v="2025-03-12T00:00:00"/>
    <x v="13"/>
    <s v="Metformin 500mg"/>
    <x v="7"/>
    <x v="0"/>
    <s v="USV"/>
    <n v="2"/>
    <n v="32"/>
    <x v="0"/>
    <n v="64"/>
    <x v="2"/>
    <x v="2"/>
  </r>
  <r>
    <s v="TXN00375"/>
    <d v="2025-03-12T00:00:00"/>
    <x v="13"/>
    <s v="Metformin 500mg"/>
    <x v="7"/>
    <x v="0"/>
    <s v="USV"/>
    <n v="3"/>
    <n v="32"/>
    <x v="0"/>
    <n v="96"/>
    <x v="2"/>
    <x v="2"/>
  </r>
  <r>
    <s v="TXN00376"/>
    <d v="2025-03-12T00:00:00"/>
    <x v="13"/>
    <s v="Metformin 500mg"/>
    <x v="7"/>
    <x v="0"/>
    <s v="USV"/>
    <n v="1"/>
    <n v="32"/>
    <x v="3"/>
    <n v="32"/>
    <x v="2"/>
    <x v="2"/>
  </r>
  <r>
    <s v="TXN00377"/>
    <d v="2025-03-12T00:00:00"/>
    <x v="10"/>
    <s v="Cetirizine 10mg"/>
    <x v="6"/>
    <x v="0"/>
    <s v="Cipla"/>
    <n v="2"/>
    <n v="26"/>
    <x v="2"/>
    <n v="52"/>
    <x v="2"/>
    <x v="2"/>
  </r>
  <r>
    <s v="TXN00378"/>
    <d v="2025-03-12T00:00:00"/>
    <x v="10"/>
    <s v="Cetirizine 10mg"/>
    <x v="6"/>
    <x v="0"/>
    <s v="Cipla"/>
    <n v="2"/>
    <n v="26"/>
    <x v="0"/>
    <n v="52"/>
    <x v="2"/>
    <x v="2"/>
  </r>
  <r>
    <s v="TXN00379"/>
    <d v="2025-03-12T00:00:00"/>
    <x v="9"/>
    <s v="Ibuprofen 400mg"/>
    <x v="0"/>
    <x v="0"/>
    <s v="Abbott"/>
    <n v="2"/>
    <n v="42"/>
    <x v="1"/>
    <n v="84"/>
    <x v="2"/>
    <x v="2"/>
  </r>
  <r>
    <s v="TXN00380"/>
    <d v="2025-03-12T00:00:00"/>
    <x v="4"/>
    <s v="Ibuprofen 400mg"/>
    <x v="0"/>
    <x v="1"/>
    <s v="Jan Aushadhi"/>
    <n v="3"/>
    <n v="15"/>
    <x v="0"/>
    <n v="45"/>
    <x v="2"/>
    <x v="2"/>
  </r>
  <r>
    <s v="TXN00381"/>
    <d v="2025-03-13T00:00:00"/>
    <x v="26"/>
    <s v="Atorvastatin 10mg"/>
    <x v="3"/>
    <x v="1"/>
    <s v="Jan Aushadhi"/>
    <n v="3"/>
    <n v="35"/>
    <x v="0"/>
    <n v="105"/>
    <x v="2"/>
    <x v="2"/>
  </r>
  <r>
    <s v="TXN00382"/>
    <d v="2025-03-14T00:00:00"/>
    <x v="12"/>
    <s v="Amoxicillin+Clavulanate 625mg"/>
    <x v="5"/>
    <x v="1"/>
    <s v="Jan Aushadhi"/>
    <n v="3"/>
    <n v="95"/>
    <x v="0"/>
    <n v="285"/>
    <x v="2"/>
    <x v="2"/>
  </r>
  <r>
    <s v="TXN00383"/>
    <d v="2025-03-14T00:00:00"/>
    <x v="19"/>
    <s v="Metformin 500mg"/>
    <x v="7"/>
    <x v="1"/>
    <s v="Jan Aushadhi"/>
    <n v="3"/>
    <n v="12"/>
    <x v="0"/>
    <n v="36"/>
    <x v="2"/>
    <x v="2"/>
  </r>
  <r>
    <s v="TXN00384"/>
    <d v="2025-03-14T00:00:00"/>
    <x v="19"/>
    <s v="Metformin 500mg"/>
    <x v="7"/>
    <x v="1"/>
    <s v="Jan Aushadhi"/>
    <n v="3"/>
    <n v="12"/>
    <x v="2"/>
    <n v="36"/>
    <x v="2"/>
    <x v="2"/>
  </r>
  <r>
    <s v="TXN00385"/>
    <d v="2025-03-14T00:00:00"/>
    <x v="1"/>
    <s v="Amlodipine 5mg"/>
    <x v="1"/>
    <x v="1"/>
    <s v="Jan Aushadhi"/>
    <n v="6"/>
    <n v="15"/>
    <x v="2"/>
    <n v="90"/>
    <x v="2"/>
    <x v="2"/>
  </r>
  <r>
    <s v="TXN00386"/>
    <d v="2025-03-14T00:00:00"/>
    <x v="14"/>
    <s v="Pantoprazole 40mg"/>
    <x v="2"/>
    <x v="0"/>
    <s v="Alkem"/>
    <n v="3"/>
    <n v="152"/>
    <x v="0"/>
    <n v="456"/>
    <x v="2"/>
    <x v="2"/>
  </r>
  <r>
    <s v="TXN00387"/>
    <d v="2025-03-14T00:00:00"/>
    <x v="2"/>
    <s v="Omeprazole 20mg"/>
    <x v="2"/>
    <x v="0"/>
    <s v="Dr. Reddy's"/>
    <n v="1"/>
    <n v="58"/>
    <x v="3"/>
    <n v="58"/>
    <x v="2"/>
    <x v="2"/>
  </r>
  <r>
    <s v="TXN00388"/>
    <d v="2025-03-14T00:00:00"/>
    <x v="10"/>
    <s v="Cetirizine 10mg"/>
    <x v="6"/>
    <x v="0"/>
    <s v="Cipla"/>
    <n v="1"/>
    <n v="26"/>
    <x v="3"/>
    <n v="26"/>
    <x v="2"/>
    <x v="2"/>
  </r>
  <r>
    <s v="TXN00389"/>
    <d v="2025-03-14T00:00:00"/>
    <x v="21"/>
    <s v="Montelukast+Levocetirizine"/>
    <x v="8"/>
    <x v="0"/>
    <s v="Sun Pharma"/>
    <n v="1"/>
    <n v="182"/>
    <x v="0"/>
    <n v="182"/>
    <x v="2"/>
    <x v="2"/>
  </r>
  <r>
    <s v="TXN00390"/>
    <d v="2025-03-14T00:00:00"/>
    <x v="21"/>
    <s v="Montelukast+Levocetirizine"/>
    <x v="8"/>
    <x v="0"/>
    <s v="Sun Pharma"/>
    <n v="5"/>
    <n v="182"/>
    <x v="2"/>
    <n v="910"/>
    <x v="2"/>
    <x v="2"/>
  </r>
  <r>
    <s v="TXN00391"/>
    <d v="2025-03-15T00:00:00"/>
    <x v="22"/>
    <s v="Atorvastatin 10mg"/>
    <x v="3"/>
    <x v="0"/>
    <s v="Zydus"/>
    <n v="1"/>
    <n v="92"/>
    <x v="0"/>
    <n v="92"/>
    <x v="2"/>
    <x v="2"/>
  </r>
  <r>
    <s v="TXN00392"/>
    <d v="2025-03-15T00:00:00"/>
    <x v="25"/>
    <s v="Amlodipine 5mg"/>
    <x v="1"/>
    <x v="0"/>
    <s v="Mankind"/>
    <n v="6"/>
    <n v="45"/>
    <x v="3"/>
    <n v="270"/>
    <x v="2"/>
    <x v="2"/>
  </r>
  <r>
    <s v="TXN00393"/>
    <d v="2025-03-15T00:00:00"/>
    <x v="25"/>
    <s v="Amlodipine 5mg"/>
    <x v="1"/>
    <x v="0"/>
    <s v="Mankind"/>
    <n v="3"/>
    <n v="45"/>
    <x v="0"/>
    <n v="135"/>
    <x v="2"/>
    <x v="2"/>
  </r>
  <r>
    <s v="TXN00394"/>
    <d v="2025-03-15T00:00:00"/>
    <x v="1"/>
    <s v="Amlodipine 5mg"/>
    <x v="1"/>
    <x v="1"/>
    <s v="Jan Aushadhi"/>
    <n v="6"/>
    <n v="15"/>
    <x v="3"/>
    <n v="90"/>
    <x v="2"/>
    <x v="2"/>
  </r>
  <r>
    <s v="TXN00395"/>
    <d v="2025-03-16T00:00:00"/>
    <x v="24"/>
    <s v="Glimepiride 2mg"/>
    <x v="7"/>
    <x v="0"/>
    <s v="Sanofi"/>
    <n v="6"/>
    <n v="190"/>
    <x v="2"/>
    <n v="1140"/>
    <x v="2"/>
    <x v="2"/>
  </r>
  <r>
    <s v="TXN00396"/>
    <d v="2025-03-16T00:00:00"/>
    <x v="5"/>
    <s v="Rosuvastatin 10mg"/>
    <x v="3"/>
    <x v="0"/>
    <s v="Sun Pharma"/>
    <n v="6"/>
    <n v="165"/>
    <x v="0"/>
    <n v="990"/>
    <x v="2"/>
    <x v="2"/>
  </r>
  <r>
    <s v="TXN00397"/>
    <d v="2025-03-16T00:00:00"/>
    <x v="7"/>
    <s v="Vitamin B-Complex"/>
    <x v="4"/>
    <x v="0"/>
    <s v="Pfizer"/>
    <n v="5"/>
    <n v="46"/>
    <x v="3"/>
    <n v="230"/>
    <x v="2"/>
    <x v="2"/>
  </r>
  <r>
    <s v="TXN00398"/>
    <d v="2025-03-17T00:00:00"/>
    <x v="16"/>
    <s v="Azithromycin 500mg"/>
    <x v="5"/>
    <x v="0"/>
    <s v="Alembic"/>
    <n v="2"/>
    <n v="125"/>
    <x v="3"/>
    <n v="250"/>
    <x v="2"/>
    <x v="2"/>
  </r>
  <r>
    <s v="TXN00399"/>
    <d v="2025-03-17T00:00:00"/>
    <x v="26"/>
    <s v="Atorvastatin 10mg"/>
    <x v="3"/>
    <x v="1"/>
    <s v="Jan Aushadhi"/>
    <n v="1"/>
    <n v="35"/>
    <x v="1"/>
    <n v="35"/>
    <x v="2"/>
    <x v="2"/>
  </r>
  <r>
    <s v="TXN00400"/>
    <d v="2025-03-17T00:00:00"/>
    <x v="1"/>
    <s v="Amlodipine 5mg"/>
    <x v="1"/>
    <x v="1"/>
    <s v="Jan Aushadhi"/>
    <n v="1"/>
    <n v="15"/>
    <x v="2"/>
    <n v="15"/>
    <x v="2"/>
    <x v="2"/>
  </r>
  <r>
    <s v="TXN00401"/>
    <d v="2025-03-17T00:00:00"/>
    <x v="31"/>
    <s v="Montelukast+Levocetirizine"/>
    <x v="8"/>
    <x v="1"/>
    <s v="Jan Aushadhi"/>
    <n v="2"/>
    <n v="70"/>
    <x v="0"/>
    <n v="140"/>
    <x v="2"/>
    <x v="2"/>
  </r>
  <r>
    <s v="TXN00402"/>
    <d v="2025-03-18T00:00:00"/>
    <x v="22"/>
    <s v="Atorvastatin 10mg"/>
    <x v="3"/>
    <x v="0"/>
    <s v="Zydus"/>
    <n v="6"/>
    <n v="92"/>
    <x v="0"/>
    <n v="552"/>
    <x v="2"/>
    <x v="2"/>
  </r>
  <r>
    <s v="TXN00403"/>
    <d v="2025-03-18T00:00:00"/>
    <x v="30"/>
    <s v="Telmisartan 40mg"/>
    <x v="1"/>
    <x v="0"/>
    <s v="Glenmark"/>
    <n v="6"/>
    <n v="142"/>
    <x v="0"/>
    <n v="852"/>
    <x v="2"/>
    <x v="2"/>
  </r>
  <r>
    <s v="TXN00404"/>
    <d v="2025-03-19T00:00:00"/>
    <x v="16"/>
    <s v="Azithromycin 500mg"/>
    <x v="5"/>
    <x v="0"/>
    <s v="Alembic"/>
    <n v="3"/>
    <n v="125"/>
    <x v="3"/>
    <n v="375"/>
    <x v="2"/>
    <x v="2"/>
  </r>
  <r>
    <s v="TXN00405"/>
    <d v="2025-03-19T00:00:00"/>
    <x v="13"/>
    <s v="Metformin 500mg"/>
    <x v="7"/>
    <x v="0"/>
    <s v="USV"/>
    <n v="1"/>
    <n v="32"/>
    <x v="3"/>
    <n v="32"/>
    <x v="2"/>
    <x v="2"/>
  </r>
  <r>
    <s v="TXN00406"/>
    <d v="2025-03-19T00:00:00"/>
    <x v="22"/>
    <s v="Atorvastatin 10mg"/>
    <x v="3"/>
    <x v="0"/>
    <s v="Zydus"/>
    <n v="6"/>
    <n v="92"/>
    <x v="0"/>
    <n v="552"/>
    <x v="2"/>
    <x v="2"/>
  </r>
  <r>
    <s v="TXN00407"/>
    <d v="2025-03-19T00:00:00"/>
    <x v="9"/>
    <s v="Ibuprofen 400mg"/>
    <x v="0"/>
    <x v="0"/>
    <s v="Abbott"/>
    <n v="4"/>
    <n v="42"/>
    <x v="1"/>
    <n v="168"/>
    <x v="2"/>
    <x v="2"/>
  </r>
  <r>
    <s v="TXN00408"/>
    <d v="2025-03-20T00:00:00"/>
    <x v="16"/>
    <s v="Azithromycin 500mg"/>
    <x v="5"/>
    <x v="0"/>
    <s v="Alembic"/>
    <n v="4"/>
    <n v="125"/>
    <x v="1"/>
    <n v="500"/>
    <x v="2"/>
    <x v="2"/>
  </r>
  <r>
    <s v="TXN00409"/>
    <d v="2025-03-20T00:00:00"/>
    <x v="13"/>
    <s v="Metformin 500mg"/>
    <x v="7"/>
    <x v="0"/>
    <s v="USV"/>
    <n v="12"/>
    <n v="32"/>
    <x v="2"/>
    <n v="384"/>
    <x v="2"/>
    <x v="2"/>
  </r>
  <r>
    <s v="TXN00410"/>
    <d v="2025-03-20T00:00:00"/>
    <x v="13"/>
    <s v="Metformin 500mg"/>
    <x v="7"/>
    <x v="0"/>
    <s v="USV"/>
    <n v="12"/>
    <n v="32"/>
    <x v="2"/>
    <n v="384"/>
    <x v="2"/>
    <x v="2"/>
  </r>
  <r>
    <s v="TXN00411"/>
    <d v="2025-03-20T00:00:00"/>
    <x v="25"/>
    <s v="Amlodipine 5mg"/>
    <x v="1"/>
    <x v="0"/>
    <s v="Mankind"/>
    <n v="6"/>
    <n v="45"/>
    <x v="0"/>
    <n v="270"/>
    <x v="2"/>
    <x v="2"/>
  </r>
  <r>
    <s v="TXN00412"/>
    <d v="2025-03-20T00:00:00"/>
    <x v="27"/>
    <s v="Vitamin B-Complex"/>
    <x v="4"/>
    <x v="1"/>
    <s v="Jan Aushadhi"/>
    <n v="1"/>
    <n v="18"/>
    <x v="0"/>
    <n v="18"/>
    <x v="2"/>
    <x v="2"/>
  </r>
  <r>
    <s v="TXN00413"/>
    <d v="2025-03-21T00:00:00"/>
    <x v="8"/>
    <s v="Azithromycin 500mg"/>
    <x v="5"/>
    <x v="1"/>
    <s v="Jan Aushadhi"/>
    <n v="2"/>
    <n v="55"/>
    <x v="0"/>
    <n v="110"/>
    <x v="2"/>
    <x v="2"/>
  </r>
  <r>
    <s v="TXN00414"/>
    <d v="2025-03-21T00:00:00"/>
    <x v="5"/>
    <s v="Rosuvastatin 10mg"/>
    <x v="3"/>
    <x v="0"/>
    <s v="Sun Pharma"/>
    <n v="1"/>
    <n v="165"/>
    <x v="0"/>
    <n v="165"/>
    <x v="2"/>
    <x v="2"/>
  </r>
  <r>
    <s v="TXN00415"/>
    <d v="2025-03-21T00:00:00"/>
    <x v="1"/>
    <s v="Amlodipine 5mg"/>
    <x v="1"/>
    <x v="1"/>
    <s v="Jan Aushadhi"/>
    <n v="1"/>
    <n v="15"/>
    <x v="0"/>
    <n v="15"/>
    <x v="2"/>
    <x v="2"/>
  </r>
  <r>
    <s v="TXN00416"/>
    <d v="2025-03-21T00:00:00"/>
    <x v="1"/>
    <s v="Amlodipine 5mg"/>
    <x v="1"/>
    <x v="1"/>
    <s v="Jan Aushadhi"/>
    <n v="1"/>
    <n v="15"/>
    <x v="1"/>
    <n v="15"/>
    <x v="2"/>
    <x v="2"/>
  </r>
  <r>
    <s v="TXN00417"/>
    <d v="2025-03-21T00:00:00"/>
    <x v="30"/>
    <s v="Telmisartan 40mg"/>
    <x v="1"/>
    <x v="0"/>
    <s v="Glenmark"/>
    <n v="3"/>
    <n v="142"/>
    <x v="2"/>
    <n v="426"/>
    <x v="2"/>
    <x v="2"/>
  </r>
  <r>
    <s v="TXN00418"/>
    <d v="2025-03-21T00:00:00"/>
    <x v="6"/>
    <s v="Telmisartan 40mg"/>
    <x v="1"/>
    <x v="1"/>
    <s v="Jan Aushadhi"/>
    <n v="3"/>
    <n v="46"/>
    <x v="1"/>
    <n v="138"/>
    <x v="2"/>
    <x v="2"/>
  </r>
  <r>
    <s v="TXN00419"/>
    <d v="2025-03-22T00:00:00"/>
    <x v="0"/>
    <s v="Paracetamol 650mg"/>
    <x v="0"/>
    <x v="0"/>
    <s v="Micro Labs"/>
    <n v="1"/>
    <n v="32"/>
    <x v="2"/>
    <n v="32"/>
    <x v="2"/>
    <x v="2"/>
  </r>
  <r>
    <s v="TXN00420"/>
    <d v="2025-03-22T00:00:00"/>
    <x v="19"/>
    <s v="Metformin 500mg"/>
    <x v="7"/>
    <x v="1"/>
    <s v="Jan Aushadhi"/>
    <n v="3"/>
    <n v="12"/>
    <x v="0"/>
    <n v="36"/>
    <x v="2"/>
    <x v="2"/>
  </r>
  <r>
    <s v="TXN00421"/>
    <d v="2025-03-22T00:00:00"/>
    <x v="2"/>
    <s v="Omeprazole 20mg"/>
    <x v="2"/>
    <x v="0"/>
    <s v="Dr. Reddy's"/>
    <n v="5"/>
    <n v="58"/>
    <x v="0"/>
    <n v="290"/>
    <x v="2"/>
    <x v="2"/>
  </r>
  <r>
    <s v="TXN00422"/>
    <d v="2025-03-22T00:00:00"/>
    <x v="9"/>
    <s v="Ibuprofen 400mg"/>
    <x v="0"/>
    <x v="0"/>
    <s v="Abbott"/>
    <n v="1"/>
    <n v="42"/>
    <x v="0"/>
    <n v="42"/>
    <x v="2"/>
    <x v="2"/>
  </r>
  <r>
    <s v="TXN00423"/>
    <d v="2025-03-23T00:00:00"/>
    <x v="6"/>
    <s v="Telmisartan 40mg"/>
    <x v="1"/>
    <x v="1"/>
    <s v="Jan Aushadhi"/>
    <n v="1"/>
    <n v="46"/>
    <x v="0"/>
    <n v="46"/>
    <x v="2"/>
    <x v="2"/>
  </r>
  <r>
    <s v="TXN00424"/>
    <d v="2025-03-23T00:00:00"/>
    <x v="3"/>
    <s v="Omeprazole 20mg"/>
    <x v="2"/>
    <x v="1"/>
    <s v="Jan Aushadhi"/>
    <n v="1"/>
    <n v="20"/>
    <x v="2"/>
    <n v="20"/>
    <x v="2"/>
    <x v="2"/>
  </r>
  <r>
    <s v="TXN00425"/>
    <d v="2025-03-24T00:00:00"/>
    <x v="0"/>
    <s v="Paracetamol 650mg"/>
    <x v="0"/>
    <x v="0"/>
    <s v="Micro Labs"/>
    <n v="1"/>
    <n v="32"/>
    <x v="0"/>
    <n v="32"/>
    <x v="2"/>
    <x v="2"/>
  </r>
  <r>
    <s v="TXN00426"/>
    <d v="2025-03-24T00:00:00"/>
    <x v="13"/>
    <s v="Metformin 500mg"/>
    <x v="7"/>
    <x v="0"/>
    <s v="USV"/>
    <n v="1"/>
    <n v="32"/>
    <x v="0"/>
    <n v="32"/>
    <x v="2"/>
    <x v="2"/>
  </r>
  <r>
    <s v="TXN00427"/>
    <d v="2025-03-24T00:00:00"/>
    <x v="26"/>
    <s v="Atorvastatin 10mg"/>
    <x v="3"/>
    <x v="1"/>
    <s v="Jan Aushadhi"/>
    <n v="3"/>
    <n v="35"/>
    <x v="0"/>
    <n v="105"/>
    <x v="2"/>
    <x v="2"/>
  </r>
  <r>
    <s v="TXN00428"/>
    <d v="2025-03-24T00:00:00"/>
    <x v="30"/>
    <s v="Telmisartan 40mg"/>
    <x v="1"/>
    <x v="0"/>
    <s v="Glenmark"/>
    <n v="12"/>
    <n v="142"/>
    <x v="0"/>
    <n v="1704"/>
    <x v="2"/>
    <x v="2"/>
  </r>
  <r>
    <s v="TXN00429"/>
    <d v="2025-03-24T00:00:00"/>
    <x v="20"/>
    <s v="Pantoprazole 40mg"/>
    <x v="2"/>
    <x v="1"/>
    <s v="Jan Aushadhi"/>
    <n v="2"/>
    <n v="50"/>
    <x v="3"/>
    <n v="100"/>
    <x v="2"/>
    <x v="2"/>
  </r>
  <r>
    <s v="TXN00430"/>
    <d v="2025-03-24T00:00:00"/>
    <x v="9"/>
    <s v="Ibuprofen 400mg"/>
    <x v="0"/>
    <x v="0"/>
    <s v="Abbott"/>
    <n v="1"/>
    <n v="42"/>
    <x v="2"/>
    <n v="42"/>
    <x v="2"/>
    <x v="2"/>
  </r>
  <r>
    <s v="TXN00431"/>
    <d v="2025-03-25T00:00:00"/>
    <x v="0"/>
    <s v="Paracetamol 650mg"/>
    <x v="0"/>
    <x v="0"/>
    <s v="Micro Labs"/>
    <n v="3"/>
    <n v="32"/>
    <x v="3"/>
    <n v="96"/>
    <x v="2"/>
    <x v="2"/>
  </r>
  <r>
    <s v="TXN00432"/>
    <d v="2025-03-25T00:00:00"/>
    <x v="5"/>
    <s v="Rosuvastatin 10mg"/>
    <x v="3"/>
    <x v="0"/>
    <s v="Sun Pharma"/>
    <n v="6"/>
    <n v="165"/>
    <x v="1"/>
    <n v="990"/>
    <x v="2"/>
    <x v="2"/>
  </r>
  <r>
    <s v="TXN00433"/>
    <d v="2025-03-25T00:00:00"/>
    <x v="2"/>
    <s v="Omeprazole 20mg"/>
    <x v="2"/>
    <x v="0"/>
    <s v="Dr. Reddy's"/>
    <n v="4"/>
    <n v="58"/>
    <x v="3"/>
    <n v="232"/>
    <x v="2"/>
    <x v="2"/>
  </r>
  <r>
    <s v="TXN00434"/>
    <d v="2025-03-25T00:00:00"/>
    <x v="15"/>
    <s v="Cetirizine 10mg"/>
    <x v="6"/>
    <x v="1"/>
    <s v="Jan Aushadhi"/>
    <n v="5"/>
    <n v="8"/>
    <x v="3"/>
    <n v="40"/>
    <x v="2"/>
    <x v="2"/>
  </r>
  <r>
    <s v="TXN00435"/>
    <d v="2025-03-25T00:00:00"/>
    <x v="4"/>
    <s v="Ibuprofen 400mg"/>
    <x v="0"/>
    <x v="1"/>
    <s v="Jan Aushadhi"/>
    <n v="3"/>
    <n v="15"/>
    <x v="2"/>
    <n v="45"/>
    <x v="2"/>
    <x v="2"/>
  </r>
  <r>
    <s v="TXN00436"/>
    <d v="2025-03-25T00:00:00"/>
    <x v="23"/>
    <s v="Diclofenac 50mg"/>
    <x v="0"/>
    <x v="0"/>
    <s v="Novartis"/>
    <n v="5"/>
    <n v="62"/>
    <x v="0"/>
    <n v="310"/>
    <x v="2"/>
    <x v="2"/>
  </r>
  <r>
    <s v="TXN00437"/>
    <d v="2025-03-26T00:00:00"/>
    <x v="0"/>
    <s v="Paracetamol 650mg"/>
    <x v="0"/>
    <x v="0"/>
    <s v="Micro Labs"/>
    <n v="1"/>
    <n v="32"/>
    <x v="0"/>
    <n v="32"/>
    <x v="2"/>
    <x v="2"/>
  </r>
  <r>
    <s v="TXN00438"/>
    <d v="2025-03-26T00:00:00"/>
    <x v="1"/>
    <s v="Amlodipine 5mg"/>
    <x v="1"/>
    <x v="1"/>
    <s v="Jan Aushadhi"/>
    <n v="6"/>
    <n v="15"/>
    <x v="3"/>
    <n v="90"/>
    <x v="2"/>
    <x v="2"/>
  </r>
  <r>
    <s v="TXN00439"/>
    <d v="2025-03-26T00:00:00"/>
    <x v="23"/>
    <s v="Diclofenac 50mg"/>
    <x v="0"/>
    <x v="0"/>
    <s v="Novartis"/>
    <n v="1"/>
    <n v="62"/>
    <x v="1"/>
    <n v="62"/>
    <x v="2"/>
    <x v="2"/>
  </r>
  <r>
    <s v="TXN00440"/>
    <d v="2025-03-27T00:00:00"/>
    <x v="8"/>
    <s v="Azithromycin 500mg"/>
    <x v="5"/>
    <x v="1"/>
    <s v="Jan Aushadhi"/>
    <n v="5"/>
    <n v="55"/>
    <x v="0"/>
    <n v="275"/>
    <x v="2"/>
    <x v="2"/>
  </r>
  <r>
    <s v="TXN00441"/>
    <d v="2025-03-27T00:00:00"/>
    <x v="11"/>
    <s v="Amoxicillin+Clavulanate 625mg"/>
    <x v="5"/>
    <x v="0"/>
    <s v="GSK"/>
    <n v="1"/>
    <n v="205"/>
    <x v="0"/>
    <n v="205"/>
    <x v="2"/>
    <x v="2"/>
  </r>
  <r>
    <s v="TXN00442"/>
    <d v="2025-03-27T00:00:00"/>
    <x v="25"/>
    <s v="Amlodipine 5mg"/>
    <x v="1"/>
    <x v="0"/>
    <s v="Mankind"/>
    <n v="3"/>
    <n v="45"/>
    <x v="2"/>
    <n v="135"/>
    <x v="2"/>
    <x v="2"/>
  </r>
  <r>
    <s v="TXN00443"/>
    <d v="2025-03-27T00:00:00"/>
    <x v="6"/>
    <s v="Telmisartan 40mg"/>
    <x v="1"/>
    <x v="1"/>
    <s v="Jan Aushadhi"/>
    <n v="12"/>
    <n v="46"/>
    <x v="2"/>
    <n v="552"/>
    <x v="2"/>
    <x v="2"/>
  </r>
  <r>
    <s v="TXN00444"/>
    <d v="2025-03-27T00:00:00"/>
    <x v="14"/>
    <s v="Pantoprazole 40mg"/>
    <x v="2"/>
    <x v="0"/>
    <s v="Alkem"/>
    <n v="1"/>
    <n v="152"/>
    <x v="0"/>
    <n v="152"/>
    <x v="2"/>
    <x v="2"/>
  </r>
  <r>
    <s v="TXN00445"/>
    <d v="2025-03-27T00:00:00"/>
    <x v="10"/>
    <s v="Cetirizine 10mg"/>
    <x v="6"/>
    <x v="0"/>
    <s v="Cipla"/>
    <n v="4"/>
    <n v="26"/>
    <x v="0"/>
    <n v="104"/>
    <x v="2"/>
    <x v="2"/>
  </r>
  <r>
    <s v="TXN00446"/>
    <d v="2025-03-27T00:00:00"/>
    <x v="10"/>
    <s v="Cetirizine 10mg"/>
    <x v="6"/>
    <x v="0"/>
    <s v="Cipla"/>
    <n v="5"/>
    <n v="26"/>
    <x v="2"/>
    <n v="130"/>
    <x v="2"/>
    <x v="2"/>
  </r>
  <r>
    <s v="TXN00447"/>
    <d v="2025-03-27T00:00:00"/>
    <x v="21"/>
    <s v="Montelukast+Levocetirizine"/>
    <x v="8"/>
    <x v="0"/>
    <s v="Sun Pharma"/>
    <n v="5"/>
    <n v="182"/>
    <x v="3"/>
    <n v="910"/>
    <x v="2"/>
    <x v="2"/>
  </r>
  <r>
    <s v="TXN00448"/>
    <d v="2025-03-27T00:00:00"/>
    <x v="4"/>
    <s v="Ibuprofen 400mg"/>
    <x v="0"/>
    <x v="1"/>
    <s v="Jan Aushadhi"/>
    <n v="5"/>
    <n v="15"/>
    <x v="0"/>
    <n v="75"/>
    <x v="2"/>
    <x v="2"/>
  </r>
  <r>
    <s v="TXN00449"/>
    <d v="2025-03-28T00:00:00"/>
    <x v="18"/>
    <s v="Paracetamol 650mg"/>
    <x v="0"/>
    <x v="1"/>
    <s v="Jan Aushadhi"/>
    <n v="4"/>
    <n v="14"/>
    <x v="1"/>
    <n v="56"/>
    <x v="2"/>
    <x v="2"/>
  </r>
  <r>
    <s v="TXN00450"/>
    <d v="2025-03-28T00:00:00"/>
    <x v="22"/>
    <s v="Atorvastatin 10mg"/>
    <x v="3"/>
    <x v="0"/>
    <s v="Zydus"/>
    <n v="6"/>
    <n v="92"/>
    <x v="2"/>
    <n v="552"/>
    <x v="2"/>
    <x v="2"/>
  </r>
  <r>
    <s v="TXN00451"/>
    <d v="2025-03-28T00:00:00"/>
    <x v="26"/>
    <s v="Atorvastatin 10mg"/>
    <x v="3"/>
    <x v="1"/>
    <s v="Jan Aushadhi"/>
    <n v="1"/>
    <n v="35"/>
    <x v="3"/>
    <n v="35"/>
    <x v="2"/>
    <x v="2"/>
  </r>
  <r>
    <s v="TXN00452"/>
    <d v="2025-03-28T00:00:00"/>
    <x v="14"/>
    <s v="Pantoprazole 40mg"/>
    <x v="2"/>
    <x v="0"/>
    <s v="Alkem"/>
    <n v="1"/>
    <n v="152"/>
    <x v="3"/>
    <n v="152"/>
    <x v="2"/>
    <x v="2"/>
  </r>
  <r>
    <s v="TXN00453"/>
    <d v="2025-03-28T00:00:00"/>
    <x v="3"/>
    <s v="Omeprazole 20mg"/>
    <x v="2"/>
    <x v="1"/>
    <s v="Jan Aushadhi"/>
    <n v="3"/>
    <n v="20"/>
    <x v="2"/>
    <n v="60"/>
    <x v="2"/>
    <x v="2"/>
  </r>
  <r>
    <s v="TXN00454"/>
    <d v="2025-03-28T00:00:00"/>
    <x v="7"/>
    <s v="Vitamin B-Complex"/>
    <x v="4"/>
    <x v="0"/>
    <s v="Pfizer"/>
    <n v="1"/>
    <n v="46"/>
    <x v="0"/>
    <n v="46"/>
    <x v="2"/>
    <x v="2"/>
  </r>
  <r>
    <s v="TXN00455"/>
    <d v="2025-03-29T00:00:00"/>
    <x v="8"/>
    <s v="Azithromycin 500mg"/>
    <x v="5"/>
    <x v="1"/>
    <s v="Jan Aushadhi"/>
    <n v="2"/>
    <n v="55"/>
    <x v="0"/>
    <n v="110"/>
    <x v="2"/>
    <x v="2"/>
  </r>
  <r>
    <s v="TXN00456"/>
    <d v="2025-03-29T00:00:00"/>
    <x v="17"/>
    <s v="Rosuvastatin 10mg"/>
    <x v="3"/>
    <x v="1"/>
    <s v="Jan Aushadhi"/>
    <n v="6"/>
    <n v="58"/>
    <x v="3"/>
    <n v="348"/>
    <x v="2"/>
    <x v="2"/>
  </r>
  <r>
    <s v="TXN00457"/>
    <d v="2025-03-29T00:00:00"/>
    <x v="14"/>
    <s v="Pantoprazole 40mg"/>
    <x v="2"/>
    <x v="0"/>
    <s v="Alkem"/>
    <n v="1"/>
    <n v="152"/>
    <x v="0"/>
    <n v="152"/>
    <x v="2"/>
    <x v="2"/>
  </r>
  <r>
    <s v="TXN00458"/>
    <d v="2025-03-29T00:00:00"/>
    <x v="7"/>
    <s v="Vitamin B-Complex"/>
    <x v="4"/>
    <x v="0"/>
    <s v="Pfizer"/>
    <n v="4"/>
    <n v="46"/>
    <x v="0"/>
    <n v="184"/>
    <x v="2"/>
    <x v="2"/>
  </r>
  <r>
    <s v="TXN00459"/>
    <d v="2025-03-29T00:00:00"/>
    <x v="7"/>
    <s v="Vitamin B-Complex"/>
    <x v="4"/>
    <x v="0"/>
    <s v="Pfizer"/>
    <n v="4"/>
    <n v="46"/>
    <x v="0"/>
    <n v="184"/>
    <x v="2"/>
    <x v="2"/>
  </r>
  <r>
    <s v="TXN00460"/>
    <d v="2025-03-30T00:00:00"/>
    <x v="11"/>
    <s v="Amoxicillin+Clavulanate 625mg"/>
    <x v="5"/>
    <x v="0"/>
    <s v="GSK"/>
    <n v="5"/>
    <n v="205"/>
    <x v="2"/>
    <n v="1025"/>
    <x v="2"/>
    <x v="2"/>
  </r>
  <r>
    <s v="TXN00461"/>
    <d v="2025-03-30T00:00:00"/>
    <x v="10"/>
    <s v="Cetirizine 10mg"/>
    <x v="6"/>
    <x v="0"/>
    <s v="Cipla"/>
    <n v="1"/>
    <n v="26"/>
    <x v="1"/>
    <n v="26"/>
    <x v="2"/>
    <x v="2"/>
  </r>
  <r>
    <s v="TXN00462"/>
    <d v="2025-03-30T00:00:00"/>
    <x v="15"/>
    <s v="Cetirizine 10mg"/>
    <x v="6"/>
    <x v="1"/>
    <s v="Jan Aushadhi"/>
    <n v="5"/>
    <n v="8"/>
    <x v="0"/>
    <n v="40"/>
    <x v="2"/>
    <x v="2"/>
  </r>
  <r>
    <s v="TXN00463"/>
    <d v="2025-03-31T00:00:00"/>
    <x v="18"/>
    <s v="Paracetamol 650mg"/>
    <x v="0"/>
    <x v="1"/>
    <s v="Jan Aushadhi"/>
    <n v="1"/>
    <n v="14"/>
    <x v="0"/>
    <n v="14"/>
    <x v="2"/>
    <x v="2"/>
  </r>
  <r>
    <s v="TXN00464"/>
    <d v="2025-03-31T00:00:00"/>
    <x v="12"/>
    <s v="Amoxicillin+Clavulanate 625mg"/>
    <x v="5"/>
    <x v="1"/>
    <s v="Jan Aushadhi"/>
    <n v="3"/>
    <n v="95"/>
    <x v="2"/>
    <n v="285"/>
    <x v="2"/>
    <x v="2"/>
  </r>
  <r>
    <s v="TXN00465"/>
    <d v="2025-03-31T00:00:00"/>
    <x v="1"/>
    <s v="Amlodipine 5mg"/>
    <x v="1"/>
    <x v="1"/>
    <s v="Jan Aushadhi"/>
    <n v="6"/>
    <n v="15"/>
    <x v="3"/>
    <n v="90"/>
    <x v="2"/>
    <x v="2"/>
  </r>
  <r>
    <s v="TXN00466"/>
    <d v="2025-03-31T00:00:00"/>
    <x v="14"/>
    <s v="Pantoprazole 40mg"/>
    <x v="2"/>
    <x v="0"/>
    <s v="Alkem"/>
    <n v="5"/>
    <n v="152"/>
    <x v="0"/>
    <n v="760"/>
    <x v="2"/>
    <x v="2"/>
  </r>
  <r>
    <s v="TXN00467"/>
    <d v="2025-03-31T00:00:00"/>
    <x v="2"/>
    <s v="Omeprazole 20mg"/>
    <x v="2"/>
    <x v="0"/>
    <s v="Dr. Reddy's"/>
    <n v="5"/>
    <n v="58"/>
    <x v="0"/>
    <n v="290"/>
    <x v="2"/>
    <x v="2"/>
  </r>
  <r>
    <s v="TXN00468"/>
    <d v="2025-04-01T00:00:00"/>
    <x v="18"/>
    <s v="Paracetamol 650mg"/>
    <x v="0"/>
    <x v="1"/>
    <s v="Jan Aushadhi"/>
    <n v="1"/>
    <n v="14"/>
    <x v="3"/>
    <n v="14"/>
    <x v="3"/>
    <x v="3"/>
  </r>
  <r>
    <s v="TXN00469"/>
    <d v="2025-04-01T00:00:00"/>
    <x v="19"/>
    <s v="Metformin 500mg"/>
    <x v="7"/>
    <x v="1"/>
    <s v="Jan Aushadhi"/>
    <n v="6"/>
    <n v="12"/>
    <x v="0"/>
    <n v="72"/>
    <x v="3"/>
    <x v="3"/>
  </r>
  <r>
    <s v="TXN00470"/>
    <d v="2025-04-01T00:00:00"/>
    <x v="22"/>
    <s v="Atorvastatin 10mg"/>
    <x v="3"/>
    <x v="0"/>
    <s v="Zydus"/>
    <n v="1"/>
    <n v="92"/>
    <x v="0"/>
    <n v="92"/>
    <x v="3"/>
    <x v="3"/>
  </r>
  <r>
    <s v="TXN00471"/>
    <d v="2025-04-02T00:00:00"/>
    <x v="19"/>
    <s v="Metformin 500mg"/>
    <x v="7"/>
    <x v="1"/>
    <s v="Jan Aushadhi"/>
    <n v="12"/>
    <n v="12"/>
    <x v="1"/>
    <n v="144"/>
    <x v="3"/>
    <x v="3"/>
  </r>
  <r>
    <s v="TXN00472"/>
    <d v="2025-04-02T00:00:00"/>
    <x v="22"/>
    <s v="Atorvastatin 10mg"/>
    <x v="3"/>
    <x v="0"/>
    <s v="Zydus"/>
    <n v="3"/>
    <n v="92"/>
    <x v="1"/>
    <n v="276"/>
    <x v="3"/>
    <x v="3"/>
  </r>
  <r>
    <s v="TXN00473"/>
    <d v="2025-04-02T00:00:00"/>
    <x v="26"/>
    <s v="Atorvastatin 10mg"/>
    <x v="3"/>
    <x v="1"/>
    <s v="Jan Aushadhi"/>
    <n v="6"/>
    <n v="35"/>
    <x v="0"/>
    <n v="210"/>
    <x v="3"/>
    <x v="3"/>
  </r>
  <r>
    <s v="TXN00474"/>
    <d v="2025-04-02T00:00:00"/>
    <x v="5"/>
    <s v="Rosuvastatin 10mg"/>
    <x v="3"/>
    <x v="0"/>
    <s v="Sun Pharma"/>
    <n v="1"/>
    <n v="165"/>
    <x v="0"/>
    <n v="165"/>
    <x v="3"/>
    <x v="3"/>
  </r>
  <r>
    <s v="TXN00475"/>
    <d v="2025-04-02T00:00:00"/>
    <x v="2"/>
    <s v="Omeprazole 20mg"/>
    <x v="2"/>
    <x v="0"/>
    <s v="Dr. Reddy's"/>
    <n v="1"/>
    <n v="58"/>
    <x v="3"/>
    <n v="58"/>
    <x v="3"/>
    <x v="3"/>
  </r>
  <r>
    <s v="TXN00476"/>
    <d v="2025-04-03T00:00:00"/>
    <x v="0"/>
    <s v="Paracetamol 650mg"/>
    <x v="0"/>
    <x v="0"/>
    <s v="Micro Labs"/>
    <n v="3"/>
    <n v="32"/>
    <x v="0"/>
    <n v="96"/>
    <x v="3"/>
    <x v="3"/>
  </r>
  <r>
    <s v="TXN00477"/>
    <d v="2025-04-03T00:00:00"/>
    <x v="0"/>
    <s v="Paracetamol 650mg"/>
    <x v="0"/>
    <x v="0"/>
    <s v="Micro Labs"/>
    <n v="2"/>
    <n v="32"/>
    <x v="0"/>
    <n v="64"/>
    <x v="3"/>
    <x v="3"/>
  </r>
  <r>
    <s v="TXN00478"/>
    <d v="2025-04-03T00:00:00"/>
    <x v="7"/>
    <s v="Vitamin B-Complex"/>
    <x v="4"/>
    <x v="0"/>
    <s v="Pfizer"/>
    <n v="1"/>
    <n v="46"/>
    <x v="0"/>
    <n v="46"/>
    <x v="3"/>
    <x v="3"/>
  </r>
  <r>
    <s v="TXN00479"/>
    <d v="2025-04-04T00:00:00"/>
    <x v="20"/>
    <s v="Pantoprazole 40mg"/>
    <x v="2"/>
    <x v="1"/>
    <s v="Jan Aushadhi"/>
    <n v="1"/>
    <n v="50"/>
    <x v="3"/>
    <n v="50"/>
    <x v="3"/>
    <x v="3"/>
  </r>
  <r>
    <s v="TXN00480"/>
    <d v="2025-04-04T00:00:00"/>
    <x v="15"/>
    <s v="Cetirizine 10mg"/>
    <x v="6"/>
    <x v="1"/>
    <s v="Jan Aushadhi"/>
    <n v="1"/>
    <n v="8"/>
    <x v="0"/>
    <n v="8"/>
    <x v="3"/>
    <x v="3"/>
  </r>
  <r>
    <s v="TXN00481"/>
    <d v="2025-04-04T00:00:00"/>
    <x v="21"/>
    <s v="Montelukast+Levocetirizine"/>
    <x v="8"/>
    <x v="0"/>
    <s v="Sun Pharma"/>
    <n v="5"/>
    <n v="182"/>
    <x v="0"/>
    <n v="910"/>
    <x v="3"/>
    <x v="3"/>
  </r>
  <r>
    <s v="TXN00482"/>
    <d v="2025-04-05T00:00:00"/>
    <x v="18"/>
    <s v="Paracetamol 650mg"/>
    <x v="0"/>
    <x v="1"/>
    <s v="Jan Aushadhi"/>
    <n v="3"/>
    <n v="14"/>
    <x v="0"/>
    <n v="42"/>
    <x v="3"/>
    <x v="3"/>
  </r>
  <r>
    <s v="TXN00483"/>
    <d v="2025-04-05T00:00:00"/>
    <x v="16"/>
    <s v="Azithromycin 500mg"/>
    <x v="5"/>
    <x v="0"/>
    <s v="Alembic"/>
    <n v="1"/>
    <n v="125"/>
    <x v="0"/>
    <n v="125"/>
    <x v="3"/>
    <x v="3"/>
  </r>
  <r>
    <s v="TXN00484"/>
    <d v="2025-04-05T00:00:00"/>
    <x v="11"/>
    <s v="Amoxicillin+Clavulanate 625mg"/>
    <x v="5"/>
    <x v="0"/>
    <s v="GSK"/>
    <n v="1"/>
    <n v="205"/>
    <x v="0"/>
    <n v="205"/>
    <x v="3"/>
    <x v="3"/>
  </r>
  <r>
    <s v="TXN00485"/>
    <d v="2025-04-05T00:00:00"/>
    <x v="28"/>
    <s v="Glimepiride 2mg"/>
    <x v="7"/>
    <x v="1"/>
    <s v="Jan Aushadhi"/>
    <n v="1"/>
    <n v="42"/>
    <x v="0"/>
    <n v="42"/>
    <x v="3"/>
    <x v="3"/>
  </r>
  <r>
    <s v="TXN00486"/>
    <d v="2025-04-05T00:00:00"/>
    <x v="17"/>
    <s v="Rosuvastatin 10mg"/>
    <x v="3"/>
    <x v="1"/>
    <s v="Jan Aushadhi"/>
    <n v="6"/>
    <n v="58"/>
    <x v="0"/>
    <n v="348"/>
    <x v="3"/>
    <x v="3"/>
  </r>
  <r>
    <s v="TXN00487"/>
    <d v="2025-04-05T00:00:00"/>
    <x v="1"/>
    <s v="Amlodipine 5mg"/>
    <x v="1"/>
    <x v="1"/>
    <s v="Jan Aushadhi"/>
    <n v="6"/>
    <n v="15"/>
    <x v="3"/>
    <n v="90"/>
    <x v="3"/>
    <x v="3"/>
  </r>
  <r>
    <s v="TXN00488"/>
    <d v="2025-04-05T00:00:00"/>
    <x v="1"/>
    <s v="Amlodipine 5mg"/>
    <x v="1"/>
    <x v="1"/>
    <s v="Jan Aushadhi"/>
    <n v="3"/>
    <n v="15"/>
    <x v="0"/>
    <n v="45"/>
    <x v="3"/>
    <x v="3"/>
  </r>
  <r>
    <s v="TXN00489"/>
    <d v="2025-04-05T00:00:00"/>
    <x v="9"/>
    <s v="Ibuprofen 400mg"/>
    <x v="0"/>
    <x v="0"/>
    <s v="Abbott"/>
    <n v="5"/>
    <n v="42"/>
    <x v="0"/>
    <n v="210"/>
    <x v="3"/>
    <x v="3"/>
  </r>
  <r>
    <s v="TXN00490"/>
    <d v="2025-04-05T00:00:00"/>
    <x v="4"/>
    <s v="Ibuprofen 400mg"/>
    <x v="0"/>
    <x v="1"/>
    <s v="Jan Aushadhi"/>
    <n v="1"/>
    <n v="15"/>
    <x v="3"/>
    <n v="15"/>
    <x v="3"/>
    <x v="3"/>
  </r>
  <r>
    <s v="TXN00491"/>
    <d v="2025-04-06T00:00:00"/>
    <x v="13"/>
    <s v="Metformin 500mg"/>
    <x v="7"/>
    <x v="0"/>
    <s v="USV"/>
    <n v="1"/>
    <n v="32"/>
    <x v="2"/>
    <n v="32"/>
    <x v="3"/>
    <x v="3"/>
  </r>
  <r>
    <s v="TXN00492"/>
    <d v="2025-04-06T00:00:00"/>
    <x v="13"/>
    <s v="Metformin 500mg"/>
    <x v="7"/>
    <x v="0"/>
    <s v="USV"/>
    <n v="1"/>
    <n v="32"/>
    <x v="0"/>
    <n v="32"/>
    <x v="3"/>
    <x v="3"/>
  </r>
  <r>
    <s v="TXN00493"/>
    <d v="2025-04-06T00:00:00"/>
    <x v="3"/>
    <s v="Omeprazole 20mg"/>
    <x v="2"/>
    <x v="1"/>
    <s v="Jan Aushadhi"/>
    <n v="1"/>
    <n v="20"/>
    <x v="0"/>
    <n v="20"/>
    <x v="3"/>
    <x v="3"/>
  </r>
  <r>
    <s v="TXN00494"/>
    <d v="2025-04-06T00:00:00"/>
    <x v="3"/>
    <s v="Omeprazole 20mg"/>
    <x v="2"/>
    <x v="1"/>
    <s v="Jan Aushadhi"/>
    <n v="2"/>
    <n v="20"/>
    <x v="2"/>
    <n v="40"/>
    <x v="3"/>
    <x v="3"/>
  </r>
  <r>
    <s v="TXN00495"/>
    <d v="2025-04-07T00:00:00"/>
    <x v="13"/>
    <s v="Metformin 500mg"/>
    <x v="7"/>
    <x v="0"/>
    <s v="USV"/>
    <n v="12"/>
    <n v="32"/>
    <x v="0"/>
    <n v="384"/>
    <x v="3"/>
    <x v="3"/>
  </r>
  <r>
    <s v="TXN00496"/>
    <d v="2025-04-07T00:00:00"/>
    <x v="19"/>
    <s v="Metformin 500mg"/>
    <x v="7"/>
    <x v="1"/>
    <s v="Jan Aushadhi"/>
    <n v="3"/>
    <n v="12"/>
    <x v="1"/>
    <n v="36"/>
    <x v="3"/>
    <x v="3"/>
  </r>
  <r>
    <s v="TXN00497"/>
    <d v="2025-04-07T00:00:00"/>
    <x v="1"/>
    <s v="Amlodipine 5mg"/>
    <x v="1"/>
    <x v="1"/>
    <s v="Jan Aushadhi"/>
    <n v="6"/>
    <n v="15"/>
    <x v="0"/>
    <n v="90"/>
    <x v="3"/>
    <x v="3"/>
  </r>
  <r>
    <s v="TXN00498"/>
    <d v="2025-04-07T00:00:00"/>
    <x v="14"/>
    <s v="Pantoprazole 40mg"/>
    <x v="2"/>
    <x v="0"/>
    <s v="Alkem"/>
    <n v="2"/>
    <n v="152"/>
    <x v="0"/>
    <n v="304"/>
    <x v="3"/>
    <x v="3"/>
  </r>
  <r>
    <s v="TXN00499"/>
    <d v="2025-04-07T00:00:00"/>
    <x v="10"/>
    <s v="Cetirizine 10mg"/>
    <x v="6"/>
    <x v="0"/>
    <s v="Cipla"/>
    <n v="1"/>
    <n v="26"/>
    <x v="0"/>
    <n v="26"/>
    <x v="3"/>
    <x v="3"/>
  </r>
  <r>
    <s v="TXN00500"/>
    <d v="2025-04-08T00:00:00"/>
    <x v="8"/>
    <s v="Azithromycin 500mg"/>
    <x v="5"/>
    <x v="1"/>
    <s v="Jan Aushadhi"/>
    <n v="1"/>
    <n v="55"/>
    <x v="0"/>
    <n v="55"/>
    <x v="3"/>
    <x v="3"/>
  </r>
  <r>
    <s v="TXN00501"/>
    <d v="2025-04-08T00:00:00"/>
    <x v="22"/>
    <s v="Atorvastatin 10mg"/>
    <x v="3"/>
    <x v="0"/>
    <s v="Zydus"/>
    <n v="2"/>
    <n v="92"/>
    <x v="2"/>
    <n v="184"/>
    <x v="3"/>
    <x v="3"/>
  </r>
  <r>
    <s v="TXN00502"/>
    <d v="2025-04-08T00:00:00"/>
    <x v="2"/>
    <s v="Omeprazole 20mg"/>
    <x v="2"/>
    <x v="0"/>
    <s v="Dr. Reddy's"/>
    <n v="1"/>
    <n v="58"/>
    <x v="0"/>
    <n v="58"/>
    <x v="3"/>
    <x v="3"/>
  </r>
  <r>
    <s v="TXN00503"/>
    <d v="2025-04-09T00:00:00"/>
    <x v="0"/>
    <s v="Paracetamol 650mg"/>
    <x v="0"/>
    <x v="0"/>
    <s v="Micro Labs"/>
    <n v="1"/>
    <n v="32"/>
    <x v="1"/>
    <n v="32"/>
    <x v="3"/>
    <x v="3"/>
  </r>
  <r>
    <s v="TXN00504"/>
    <d v="2025-04-09T00:00:00"/>
    <x v="30"/>
    <s v="Telmisartan 40mg"/>
    <x v="1"/>
    <x v="0"/>
    <s v="Glenmark"/>
    <n v="3"/>
    <n v="142"/>
    <x v="0"/>
    <n v="426"/>
    <x v="3"/>
    <x v="3"/>
  </r>
  <r>
    <s v="TXN00505"/>
    <d v="2025-04-09T00:00:00"/>
    <x v="30"/>
    <s v="Telmisartan 40mg"/>
    <x v="1"/>
    <x v="0"/>
    <s v="Glenmark"/>
    <n v="3"/>
    <n v="142"/>
    <x v="0"/>
    <n v="426"/>
    <x v="3"/>
    <x v="3"/>
  </r>
  <r>
    <s v="TXN00506"/>
    <d v="2025-04-09T00:00:00"/>
    <x v="6"/>
    <s v="Telmisartan 40mg"/>
    <x v="1"/>
    <x v="1"/>
    <s v="Jan Aushadhi"/>
    <n v="3"/>
    <n v="46"/>
    <x v="1"/>
    <n v="138"/>
    <x v="3"/>
    <x v="3"/>
  </r>
  <r>
    <s v="TXN00507"/>
    <d v="2025-04-10T00:00:00"/>
    <x v="0"/>
    <s v="Paracetamol 650mg"/>
    <x v="0"/>
    <x v="0"/>
    <s v="Micro Labs"/>
    <n v="5"/>
    <n v="32"/>
    <x v="1"/>
    <n v="160"/>
    <x v="3"/>
    <x v="3"/>
  </r>
  <r>
    <s v="TXN00508"/>
    <d v="2025-04-10T00:00:00"/>
    <x v="8"/>
    <s v="Azithromycin 500mg"/>
    <x v="5"/>
    <x v="1"/>
    <s v="Jan Aushadhi"/>
    <n v="1"/>
    <n v="55"/>
    <x v="1"/>
    <n v="55"/>
    <x v="3"/>
    <x v="3"/>
  </r>
  <r>
    <s v="TXN00509"/>
    <d v="2025-04-10T00:00:00"/>
    <x v="25"/>
    <s v="Amlodipine 5mg"/>
    <x v="1"/>
    <x v="0"/>
    <s v="Mankind"/>
    <n v="12"/>
    <n v="45"/>
    <x v="2"/>
    <n v="540"/>
    <x v="3"/>
    <x v="3"/>
  </r>
  <r>
    <s v="TXN00510"/>
    <d v="2025-04-10T00:00:00"/>
    <x v="14"/>
    <s v="Pantoprazole 40mg"/>
    <x v="2"/>
    <x v="0"/>
    <s v="Alkem"/>
    <n v="1"/>
    <n v="152"/>
    <x v="0"/>
    <n v="152"/>
    <x v="3"/>
    <x v="3"/>
  </r>
  <r>
    <s v="TXN00511"/>
    <d v="2025-04-10T00:00:00"/>
    <x v="2"/>
    <s v="Omeprazole 20mg"/>
    <x v="2"/>
    <x v="0"/>
    <s v="Dr. Reddy's"/>
    <n v="3"/>
    <n v="58"/>
    <x v="1"/>
    <n v="174"/>
    <x v="3"/>
    <x v="3"/>
  </r>
  <r>
    <s v="TXN00512"/>
    <d v="2025-04-10T00:00:00"/>
    <x v="3"/>
    <s v="Omeprazole 20mg"/>
    <x v="2"/>
    <x v="1"/>
    <s v="Jan Aushadhi"/>
    <n v="1"/>
    <n v="20"/>
    <x v="0"/>
    <n v="20"/>
    <x v="3"/>
    <x v="3"/>
  </r>
  <r>
    <s v="TXN00513"/>
    <d v="2025-04-10T00:00:00"/>
    <x v="21"/>
    <s v="Montelukast+Levocetirizine"/>
    <x v="8"/>
    <x v="0"/>
    <s v="Sun Pharma"/>
    <n v="1"/>
    <n v="182"/>
    <x v="1"/>
    <n v="182"/>
    <x v="3"/>
    <x v="3"/>
  </r>
  <r>
    <s v="TXN00514"/>
    <d v="2025-04-10T00:00:00"/>
    <x v="7"/>
    <s v="Vitamin B-Complex"/>
    <x v="4"/>
    <x v="0"/>
    <s v="Pfizer"/>
    <n v="4"/>
    <n v="46"/>
    <x v="0"/>
    <n v="184"/>
    <x v="3"/>
    <x v="3"/>
  </r>
  <r>
    <s v="TXN00515"/>
    <d v="2025-04-11T00:00:00"/>
    <x v="24"/>
    <s v="Glimepiride 2mg"/>
    <x v="7"/>
    <x v="0"/>
    <s v="Sanofi"/>
    <n v="3"/>
    <n v="190"/>
    <x v="1"/>
    <n v="570"/>
    <x v="3"/>
    <x v="3"/>
  </r>
  <r>
    <s v="TXN00516"/>
    <d v="2025-04-11T00:00:00"/>
    <x v="24"/>
    <s v="Glimepiride 2mg"/>
    <x v="7"/>
    <x v="0"/>
    <s v="Sanofi"/>
    <n v="6"/>
    <n v="190"/>
    <x v="0"/>
    <n v="1140"/>
    <x v="3"/>
    <x v="3"/>
  </r>
  <r>
    <s v="TXN00517"/>
    <d v="2025-04-11T00:00:00"/>
    <x v="5"/>
    <s v="Rosuvastatin 10mg"/>
    <x v="3"/>
    <x v="0"/>
    <s v="Sun Pharma"/>
    <n v="3"/>
    <n v="165"/>
    <x v="0"/>
    <n v="495"/>
    <x v="3"/>
    <x v="3"/>
  </r>
  <r>
    <s v="TXN00518"/>
    <d v="2025-04-11T00:00:00"/>
    <x v="25"/>
    <s v="Amlodipine 5mg"/>
    <x v="1"/>
    <x v="0"/>
    <s v="Mankind"/>
    <n v="6"/>
    <n v="45"/>
    <x v="3"/>
    <n v="270"/>
    <x v="3"/>
    <x v="3"/>
  </r>
  <r>
    <s v="TXN00519"/>
    <d v="2025-04-11T00:00:00"/>
    <x v="1"/>
    <s v="Amlodipine 5mg"/>
    <x v="1"/>
    <x v="1"/>
    <s v="Jan Aushadhi"/>
    <n v="3"/>
    <n v="15"/>
    <x v="1"/>
    <n v="45"/>
    <x v="3"/>
    <x v="3"/>
  </r>
  <r>
    <s v="TXN00520"/>
    <d v="2025-04-11T00:00:00"/>
    <x v="6"/>
    <s v="Telmisartan 40mg"/>
    <x v="1"/>
    <x v="1"/>
    <s v="Jan Aushadhi"/>
    <n v="3"/>
    <n v="46"/>
    <x v="1"/>
    <n v="138"/>
    <x v="3"/>
    <x v="3"/>
  </r>
  <r>
    <s v="TXN00521"/>
    <d v="2025-04-11T00:00:00"/>
    <x v="10"/>
    <s v="Cetirizine 10mg"/>
    <x v="6"/>
    <x v="0"/>
    <s v="Cipla"/>
    <n v="2"/>
    <n v="26"/>
    <x v="1"/>
    <n v="52"/>
    <x v="3"/>
    <x v="3"/>
  </r>
  <r>
    <s v="TXN00522"/>
    <d v="2025-04-11T00:00:00"/>
    <x v="15"/>
    <s v="Cetirizine 10mg"/>
    <x v="6"/>
    <x v="1"/>
    <s v="Jan Aushadhi"/>
    <n v="1"/>
    <n v="8"/>
    <x v="1"/>
    <n v="8"/>
    <x v="3"/>
    <x v="3"/>
  </r>
  <r>
    <s v="TXN00523"/>
    <d v="2025-04-11T00:00:00"/>
    <x v="15"/>
    <s v="Cetirizine 10mg"/>
    <x v="6"/>
    <x v="1"/>
    <s v="Jan Aushadhi"/>
    <n v="2"/>
    <n v="8"/>
    <x v="0"/>
    <n v="16"/>
    <x v="3"/>
    <x v="3"/>
  </r>
  <r>
    <s v="TXN00524"/>
    <d v="2025-04-12T00:00:00"/>
    <x v="0"/>
    <s v="Paracetamol 650mg"/>
    <x v="0"/>
    <x v="0"/>
    <s v="Micro Labs"/>
    <n v="5"/>
    <n v="32"/>
    <x v="1"/>
    <n v="160"/>
    <x v="3"/>
    <x v="3"/>
  </r>
  <r>
    <s v="TXN00525"/>
    <d v="2025-04-12T00:00:00"/>
    <x v="0"/>
    <s v="Paracetamol 650mg"/>
    <x v="0"/>
    <x v="0"/>
    <s v="Micro Labs"/>
    <n v="4"/>
    <n v="32"/>
    <x v="2"/>
    <n v="128"/>
    <x v="3"/>
    <x v="3"/>
  </r>
  <r>
    <s v="TXN00526"/>
    <d v="2025-04-12T00:00:00"/>
    <x v="18"/>
    <s v="Paracetamol 650mg"/>
    <x v="0"/>
    <x v="1"/>
    <s v="Jan Aushadhi"/>
    <n v="5"/>
    <n v="14"/>
    <x v="3"/>
    <n v="70"/>
    <x v="3"/>
    <x v="3"/>
  </r>
  <r>
    <s v="TXN00527"/>
    <d v="2025-04-12T00:00:00"/>
    <x v="13"/>
    <s v="Metformin 500mg"/>
    <x v="7"/>
    <x v="0"/>
    <s v="USV"/>
    <n v="2"/>
    <n v="32"/>
    <x v="3"/>
    <n v="64"/>
    <x v="3"/>
    <x v="3"/>
  </r>
  <r>
    <s v="TXN00528"/>
    <d v="2025-04-12T00:00:00"/>
    <x v="13"/>
    <s v="Metformin 500mg"/>
    <x v="7"/>
    <x v="0"/>
    <s v="USV"/>
    <n v="3"/>
    <n v="32"/>
    <x v="0"/>
    <n v="96"/>
    <x v="3"/>
    <x v="3"/>
  </r>
  <r>
    <s v="TXN00529"/>
    <d v="2025-04-12T00:00:00"/>
    <x v="21"/>
    <s v="Montelukast+Levocetirizine"/>
    <x v="8"/>
    <x v="0"/>
    <s v="Sun Pharma"/>
    <n v="2"/>
    <n v="182"/>
    <x v="1"/>
    <n v="364"/>
    <x v="3"/>
    <x v="3"/>
  </r>
  <r>
    <s v="TXN00530"/>
    <d v="2025-04-13T00:00:00"/>
    <x v="18"/>
    <s v="Paracetamol 650mg"/>
    <x v="0"/>
    <x v="1"/>
    <s v="Jan Aushadhi"/>
    <n v="1"/>
    <n v="14"/>
    <x v="0"/>
    <n v="14"/>
    <x v="3"/>
    <x v="3"/>
  </r>
  <r>
    <s v="TXN00531"/>
    <d v="2025-04-13T00:00:00"/>
    <x v="11"/>
    <s v="Amoxicillin+Clavulanate 625mg"/>
    <x v="5"/>
    <x v="0"/>
    <s v="GSK"/>
    <n v="5"/>
    <n v="205"/>
    <x v="0"/>
    <n v="1025"/>
    <x v="3"/>
    <x v="3"/>
  </r>
  <r>
    <s v="TXN00532"/>
    <d v="2025-04-13T00:00:00"/>
    <x v="19"/>
    <s v="Metformin 500mg"/>
    <x v="7"/>
    <x v="1"/>
    <s v="Jan Aushadhi"/>
    <n v="3"/>
    <n v="12"/>
    <x v="1"/>
    <n v="36"/>
    <x v="3"/>
    <x v="3"/>
  </r>
  <r>
    <s v="TXN00533"/>
    <d v="2025-04-13T00:00:00"/>
    <x v="15"/>
    <s v="Cetirizine 10mg"/>
    <x v="6"/>
    <x v="1"/>
    <s v="Jan Aushadhi"/>
    <n v="2"/>
    <n v="8"/>
    <x v="0"/>
    <n v="16"/>
    <x v="3"/>
    <x v="3"/>
  </r>
  <r>
    <s v="TXN00534"/>
    <d v="2025-04-13T00:00:00"/>
    <x v="29"/>
    <s v="Diclofenac 50mg"/>
    <x v="0"/>
    <x v="1"/>
    <s v="Jan Aushadhi"/>
    <n v="2"/>
    <n v="20"/>
    <x v="1"/>
    <n v="40"/>
    <x v="3"/>
    <x v="3"/>
  </r>
  <r>
    <s v="TXN00535"/>
    <d v="2025-04-14T00:00:00"/>
    <x v="0"/>
    <s v="Paracetamol 650mg"/>
    <x v="0"/>
    <x v="0"/>
    <s v="Micro Labs"/>
    <n v="1"/>
    <n v="32"/>
    <x v="0"/>
    <n v="32"/>
    <x v="3"/>
    <x v="3"/>
  </r>
  <r>
    <s v="TXN00536"/>
    <d v="2025-04-14T00:00:00"/>
    <x v="22"/>
    <s v="Atorvastatin 10mg"/>
    <x v="3"/>
    <x v="0"/>
    <s v="Zydus"/>
    <n v="1"/>
    <n v="92"/>
    <x v="3"/>
    <n v="92"/>
    <x v="3"/>
    <x v="3"/>
  </r>
  <r>
    <s v="TXN00537"/>
    <d v="2025-04-14T00:00:00"/>
    <x v="26"/>
    <s v="Atorvastatin 10mg"/>
    <x v="3"/>
    <x v="1"/>
    <s v="Jan Aushadhi"/>
    <n v="1"/>
    <n v="35"/>
    <x v="0"/>
    <n v="35"/>
    <x v="3"/>
    <x v="3"/>
  </r>
  <r>
    <s v="TXN00538"/>
    <d v="2025-04-14T00:00:00"/>
    <x v="20"/>
    <s v="Pantoprazole 40mg"/>
    <x v="2"/>
    <x v="1"/>
    <s v="Jan Aushadhi"/>
    <n v="3"/>
    <n v="50"/>
    <x v="0"/>
    <n v="150"/>
    <x v="3"/>
    <x v="3"/>
  </r>
  <r>
    <s v="TXN00539"/>
    <d v="2025-04-15T00:00:00"/>
    <x v="24"/>
    <s v="Glimepiride 2mg"/>
    <x v="7"/>
    <x v="0"/>
    <s v="Sanofi"/>
    <n v="3"/>
    <n v="190"/>
    <x v="0"/>
    <n v="570"/>
    <x v="3"/>
    <x v="3"/>
  </r>
  <r>
    <s v="TXN00540"/>
    <d v="2025-04-15T00:00:00"/>
    <x v="28"/>
    <s v="Glimepiride 2mg"/>
    <x v="7"/>
    <x v="1"/>
    <s v="Jan Aushadhi"/>
    <n v="1"/>
    <n v="42"/>
    <x v="0"/>
    <n v="42"/>
    <x v="3"/>
    <x v="3"/>
  </r>
  <r>
    <s v="TXN00541"/>
    <d v="2025-04-15T00:00:00"/>
    <x v="26"/>
    <s v="Atorvastatin 10mg"/>
    <x v="3"/>
    <x v="1"/>
    <s v="Jan Aushadhi"/>
    <n v="3"/>
    <n v="35"/>
    <x v="1"/>
    <n v="105"/>
    <x v="3"/>
    <x v="3"/>
  </r>
  <r>
    <s v="TXN00542"/>
    <d v="2025-04-15T00:00:00"/>
    <x v="30"/>
    <s v="Telmisartan 40mg"/>
    <x v="1"/>
    <x v="0"/>
    <s v="Glenmark"/>
    <n v="3"/>
    <n v="142"/>
    <x v="0"/>
    <n v="426"/>
    <x v="3"/>
    <x v="3"/>
  </r>
  <r>
    <s v="TXN00543"/>
    <d v="2025-04-15T00:00:00"/>
    <x v="3"/>
    <s v="Omeprazole 20mg"/>
    <x v="2"/>
    <x v="1"/>
    <s v="Jan Aushadhi"/>
    <n v="5"/>
    <n v="20"/>
    <x v="3"/>
    <n v="100"/>
    <x v="3"/>
    <x v="3"/>
  </r>
  <r>
    <s v="TXN00544"/>
    <d v="2025-04-15T00:00:00"/>
    <x v="4"/>
    <s v="Ibuprofen 400mg"/>
    <x v="0"/>
    <x v="1"/>
    <s v="Jan Aushadhi"/>
    <n v="1"/>
    <n v="15"/>
    <x v="0"/>
    <n v="15"/>
    <x v="3"/>
    <x v="3"/>
  </r>
  <r>
    <s v="TXN00545"/>
    <d v="2025-04-15T00:00:00"/>
    <x v="29"/>
    <s v="Diclofenac 50mg"/>
    <x v="0"/>
    <x v="1"/>
    <s v="Jan Aushadhi"/>
    <n v="2"/>
    <n v="20"/>
    <x v="2"/>
    <n v="40"/>
    <x v="3"/>
    <x v="3"/>
  </r>
  <r>
    <s v="TXN00546"/>
    <d v="2025-04-16T00:00:00"/>
    <x v="11"/>
    <s v="Amoxicillin+Clavulanate 625mg"/>
    <x v="5"/>
    <x v="0"/>
    <s v="GSK"/>
    <n v="1"/>
    <n v="205"/>
    <x v="3"/>
    <n v="205"/>
    <x v="3"/>
    <x v="3"/>
  </r>
  <r>
    <s v="TXN00547"/>
    <d v="2025-04-16T00:00:00"/>
    <x v="30"/>
    <s v="Telmisartan 40mg"/>
    <x v="1"/>
    <x v="0"/>
    <s v="Glenmark"/>
    <n v="3"/>
    <n v="142"/>
    <x v="0"/>
    <n v="426"/>
    <x v="3"/>
    <x v="3"/>
  </r>
  <r>
    <s v="TXN00548"/>
    <d v="2025-04-16T00:00:00"/>
    <x v="23"/>
    <s v="Diclofenac 50mg"/>
    <x v="0"/>
    <x v="0"/>
    <s v="Novartis"/>
    <n v="1"/>
    <n v="62"/>
    <x v="0"/>
    <n v="62"/>
    <x v="3"/>
    <x v="3"/>
  </r>
  <r>
    <s v="TXN00549"/>
    <d v="2025-04-17T00:00:00"/>
    <x v="13"/>
    <s v="Metformin 500mg"/>
    <x v="7"/>
    <x v="0"/>
    <s v="USV"/>
    <n v="6"/>
    <n v="32"/>
    <x v="3"/>
    <n v="192"/>
    <x v="3"/>
    <x v="3"/>
  </r>
  <r>
    <s v="TXN00550"/>
    <d v="2025-04-17T00:00:00"/>
    <x v="22"/>
    <s v="Atorvastatin 10mg"/>
    <x v="3"/>
    <x v="0"/>
    <s v="Zydus"/>
    <n v="3"/>
    <n v="92"/>
    <x v="0"/>
    <n v="276"/>
    <x v="3"/>
    <x v="3"/>
  </r>
  <r>
    <s v="TXN00551"/>
    <d v="2025-04-17T00:00:00"/>
    <x v="17"/>
    <s v="Rosuvastatin 10mg"/>
    <x v="3"/>
    <x v="1"/>
    <s v="Jan Aushadhi"/>
    <n v="3"/>
    <n v="58"/>
    <x v="3"/>
    <n v="174"/>
    <x v="3"/>
    <x v="3"/>
  </r>
  <r>
    <s v="TXN00552"/>
    <d v="2025-04-17T00:00:00"/>
    <x v="25"/>
    <s v="Amlodipine 5mg"/>
    <x v="1"/>
    <x v="0"/>
    <s v="Mankind"/>
    <n v="6"/>
    <n v="45"/>
    <x v="1"/>
    <n v="270"/>
    <x v="3"/>
    <x v="3"/>
  </r>
  <r>
    <s v="TXN00553"/>
    <d v="2025-04-17T00:00:00"/>
    <x v="1"/>
    <s v="Amlodipine 5mg"/>
    <x v="1"/>
    <x v="1"/>
    <s v="Jan Aushadhi"/>
    <n v="12"/>
    <n v="15"/>
    <x v="0"/>
    <n v="180"/>
    <x v="3"/>
    <x v="3"/>
  </r>
  <r>
    <s v="TXN00554"/>
    <d v="2025-04-17T00:00:00"/>
    <x v="31"/>
    <s v="Montelukast+Levocetirizine"/>
    <x v="8"/>
    <x v="1"/>
    <s v="Jan Aushadhi"/>
    <n v="2"/>
    <n v="70"/>
    <x v="2"/>
    <n v="140"/>
    <x v="3"/>
    <x v="3"/>
  </r>
  <r>
    <s v="TXN00555"/>
    <d v="2025-04-17T00:00:00"/>
    <x v="9"/>
    <s v="Ibuprofen 400mg"/>
    <x v="0"/>
    <x v="0"/>
    <s v="Abbott"/>
    <n v="3"/>
    <n v="42"/>
    <x v="3"/>
    <n v="126"/>
    <x v="3"/>
    <x v="3"/>
  </r>
  <r>
    <s v="TXN00556"/>
    <d v="2025-04-17T00:00:00"/>
    <x v="23"/>
    <s v="Diclofenac 50mg"/>
    <x v="0"/>
    <x v="0"/>
    <s v="Novartis"/>
    <n v="4"/>
    <n v="62"/>
    <x v="3"/>
    <n v="248"/>
    <x v="3"/>
    <x v="3"/>
  </r>
  <r>
    <s v="TXN00557"/>
    <d v="2025-04-18T00:00:00"/>
    <x v="26"/>
    <s v="Atorvastatin 10mg"/>
    <x v="3"/>
    <x v="1"/>
    <s v="Jan Aushadhi"/>
    <n v="3"/>
    <n v="35"/>
    <x v="3"/>
    <n v="105"/>
    <x v="3"/>
    <x v="3"/>
  </r>
  <r>
    <s v="TXN00558"/>
    <d v="2025-04-18T00:00:00"/>
    <x v="6"/>
    <s v="Telmisartan 40mg"/>
    <x v="1"/>
    <x v="1"/>
    <s v="Jan Aushadhi"/>
    <n v="3"/>
    <n v="46"/>
    <x v="0"/>
    <n v="138"/>
    <x v="3"/>
    <x v="3"/>
  </r>
  <r>
    <s v="TXN00559"/>
    <d v="2025-04-18T00:00:00"/>
    <x v="9"/>
    <s v="Ibuprofen 400mg"/>
    <x v="0"/>
    <x v="0"/>
    <s v="Abbott"/>
    <n v="5"/>
    <n v="42"/>
    <x v="1"/>
    <n v="210"/>
    <x v="3"/>
    <x v="3"/>
  </r>
  <r>
    <s v="TXN00560"/>
    <d v="2025-04-19T00:00:00"/>
    <x v="11"/>
    <s v="Amoxicillin+Clavulanate 625mg"/>
    <x v="5"/>
    <x v="0"/>
    <s v="GSK"/>
    <n v="3"/>
    <n v="205"/>
    <x v="3"/>
    <n v="615"/>
    <x v="3"/>
    <x v="3"/>
  </r>
  <r>
    <s v="TXN00561"/>
    <d v="2025-04-19T00:00:00"/>
    <x v="25"/>
    <s v="Amlodipine 5mg"/>
    <x v="1"/>
    <x v="0"/>
    <s v="Mankind"/>
    <n v="3"/>
    <n v="45"/>
    <x v="0"/>
    <n v="135"/>
    <x v="3"/>
    <x v="3"/>
  </r>
  <r>
    <s v="TXN00562"/>
    <d v="2025-04-20T00:00:00"/>
    <x v="0"/>
    <s v="Paracetamol 650mg"/>
    <x v="0"/>
    <x v="0"/>
    <s v="Micro Labs"/>
    <n v="1"/>
    <n v="32"/>
    <x v="0"/>
    <n v="32"/>
    <x v="3"/>
    <x v="3"/>
  </r>
  <r>
    <s v="TXN00563"/>
    <d v="2025-04-20T00:00:00"/>
    <x v="26"/>
    <s v="Atorvastatin 10mg"/>
    <x v="3"/>
    <x v="1"/>
    <s v="Jan Aushadhi"/>
    <n v="1"/>
    <n v="35"/>
    <x v="0"/>
    <n v="35"/>
    <x v="3"/>
    <x v="3"/>
  </r>
  <r>
    <s v="TXN00564"/>
    <d v="2025-04-20T00:00:00"/>
    <x v="5"/>
    <s v="Rosuvastatin 10mg"/>
    <x v="3"/>
    <x v="0"/>
    <s v="Sun Pharma"/>
    <n v="3"/>
    <n v="165"/>
    <x v="2"/>
    <n v="495"/>
    <x v="3"/>
    <x v="3"/>
  </r>
  <r>
    <s v="TXN00565"/>
    <d v="2025-04-20T00:00:00"/>
    <x v="25"/>
    <s v="Amlodipine 5mg"/>
    <x v="1"/>
    <x v="0"/>
    <s v="Mankind"/>
    <n v="6"/>
    <n v="45"/>
    <x v="0"/>
    <n v="270"/>
    <x v="3"/>
    <x v="3"/>
  </r>
  <r>
    <s v="TXN00566"/>
    <d v="2025-04-20T00:00:00"/>
    <x v="25"/>
    <s v="Amlodipine 5mg"/>
    <x v="1"/>
    <x v="0"/>
    <s v="Mankind"/>
    <n v="3"/>
    <n v="45"/>
    <x v="3"/>
    <n v="135"/>
    <x v="3"/>
    <x v="3"/>
  </r>
  <r>
    <s v="TXN00567"/>
    <d v="2025-04-20T00:00:00"/>
    <x v="14"/>
    <s v="Pantoprazole 40mg"/>
    <x v="2"/>
    <x v="0"/>
    <s v="Alkem"/>
    <n v="2"/>
    <n v="152"/>
    <x v="2"/>
    <n v="304"/>
    <x v="3"/>
    <x v="3"/>
  </r>
  <r>
    <s v="TXN00568"/>
    <d v="2025-04-21T00:00:00"/>
    <x v="0"/>
    <s v="Paracetamol 650mg"/>
    <x v="0"/>
    <x v="0"/>
    <s v="Micro Labs"/>
    <n v="4"/>
    <n v="32"/>
    <x v="3"/>
    <n v="128"/>
    <x v="3"/>
    <x v="3"/>
  </r>
  <r>
    <s v="TXN00569"/>
    <d v="2025-04-21T00:00:00"/>
    <x v="18"/>
    <s v="Paracetamol 650mg"/>
    <x v="0"/>
    <x v="1"/>
    <s v="Jan Aushadhi"/>
    <n v="2"/>
    <n v="14"/>
    <x v="2"/>
    <n v="28"/>
    <x v="3"/>
    <x v="3"/>
  </r>
  <r>
    <s v="TXN00570"/>
    <d v="2025-04-21T00:00:00"/>
    <x v="12"/>
    <s v="Amoxicillin+Clavulanate 625mg"/>
    <x v="5"/>
    <x v="1"/>
    <s v="Jan Aushadhi"/>
    <n v="1"/>
    <n v="95"/>
    <x v="0"/>
    <n v="95"/>
    <x v="3"/>
    <x v="3"/>
  </r>
  <r>
    <s v="TXN00571"/>
    <d v="2025-04-21T00:00:00"/>
    <x v="13"/>
    <s v="Metformin 500mg"/>
    <x v="7"/>
    <x v="0"/>
    <s v="USV"/>
    <n v="6"/>
    <n v="32"/>
    <x v="2"/>
    <n v="192"/>
    <x v="3"/>
    <x v="3"/>
  </r>
  <r>
    <s v="TXN00572"/>
    <d v="2025-04-21T00:00:00"/>
    <x v="19"/>
    <s v="Metformin 500mg"/>
    <x v="7"/>
    <x v="1"/>
    <s v="Jan Aushadhi"/>
    <n v="3"/>
    <n v="12"/>
    <x v="1"/>
    <n v="36"/>
    <x v="3"/>
    <x v="3"/>
  </r>
  <r>
    <s v="TXN00573"/>
    <d v="2025-04-21T00:00:00"/>
    <x v="14"/>
    <s v="Pantoprazole 40mg"/>
    <x v="2"/>
    <x v="0"/>
    <s v="Alkem"/>
    <n v="2"/>
    <n v="152"/>
    <x v="0"/>
    <n v="304"/>
    <x v="3"/>
    <x v="3"/>
  </r>
  <r>
    <s v="TXN00574"/>
    <d v="2025-04-21T00:00:00"/>
    <x v="31"/>
    <s v="Montelukast+Levocetirizine"/>
    <x v="8"/>
    <x v="1"/>
    <s v="Jan Aushadhi"/>
    <n v="2"/>
    <n v="70"/>
    <x v="3"/>
    <n v="140"/>
    <x v="3"/>
    <x v="3"/>
  </r>
  <r>
    <s v="TXN00575"/>
    <d v="2025-04-22T00:00:00"/>
    <x v="19"/>
    <s v="Metformin 500mg"/>
    <x v="7"/>
    <x v="1"/>
    <s v="Jan Aushadhi"/>
    <n v="6"/>
    <n v="12"/>
    <x v="0"/>
    <n v="72"/>
    <x v="3"/>
    <x v="3"/>
  </r>
  <r>
    <s v="TXN00576"/>
    <d v="2025-04-22T00:00:00"/>
    <x v="22"/>
    <s v="Atorvastatin 10mg"/>
    <x v="3"/>
    <x v="0"/>
    <s v="Zydus"/>
    <n v="3"/>
    <n v="92"/>
    <x v="2"/>
    <n v="276"/>
    <x v="3"/>
    <x v="3"/>
  </r>
  <r>
    <s v="TXN00577"/>
    <d v="2025-04-22T00:00:00"/>
    <x v="30"/>
    <s v="Telmisartan 40mg"/>
    <x v="1"/>
    <x v="0"/>
    <s v="Glenmark"/>
    <n v="12"/>
    <n v="142"/>
    <x v="1"/>
    <n v="1704"/>
    <x v="3"/>
    <x v="3"/>
  </r>
  <r>
    <s v="TXN00578"/>
    <d v="2025-04-22T00:00:00"/>
    <x v="14"/>
    <s v="Pantoprazole 40mg"/>
    <x v="2"/>
    <x v="0"/>
    <s v="Alkem"/>
    <n v="2"/>
    <n v="152"/>
    <x v="0"/>
    <n v="304"/>
    <x v="3"/>
    <x v="3"/>
  </r>
  <r>
    <s v="TXN00579"/>
    <d v="2025-04-22T00:00:00"/>
    <x v="27"/>
    <s v="Vitamin B-Complex"/>
    <x v="4"/>
    <x v="1"/>
    <s v="Jan Aushadhi"/>
    <n v="1"/>
    <n v="18"/>
    <x v="0"/>
    <n v="18"/>
    <x v="3"/>
    <x v="3"/>
  </r>
  <r>
    <s v="TXN00580"/>
    <d v="2025-04-23T00:00:00"/>
    <x v="18"/>
    <s v="Paracetamol 650mg"/>
    <x v="0"/>
    <x v="1"/>
    <s v="Jan Aushadhi"/>
    <n v="5"/>
    <n v="14"/>
    <x v="3"/>
    <n v="70"/>
    <x v="3"/>
    <x v="3"/>
  </r>
  <r>
    <s v="TXN00581"/>
    <d v="2025-04-23T00:00:00"/>
    <x v="16"/>
    <s v="Azithromycin 500mg"/>
    <x v="5"/>
    <x v="0"/>
    <s v="Alembic"/>
    <n v="1"/>
    <n v="125"/>
    <x v="3"/>
    <n v="125"/>
    <x v="3"/>
    <x v="3"/>
  </r>
  <r>
    <s v="TXN00582"/>
    <d v="2025-04-23T00:00:00"/>
    <x v="1"/>
    <s v="Amlodipine 5mg"/>
    <x v="1"/>
    <x v="1"/>
    <s v="Jan Aushadhi"/>
    <n v="1"/>
    <n v="15"/>
    <x v="0"/>
    <n v="15"/>
    <x v="3"/>
    <x v="3"/>
  </r>
  <r>
    <s v="TXN00583"/>
    <d v="2025-04-23T00:00:00"/>
    <x v="6"/>
    <s v="Telmisartan 40mg"/>
    <x v="1"/>
    <x v="1"/>
    <s v="Jan Aushadhi"/>
    <n v="2"/>
    <n v="46"/>
    <x v="0"/>
    <n v="92"/>
    <x v="3"/>
    <x v="3"/>
  </r>
  <r>
    <s v="TXN00584"/>
    <d v="2025-04-23T00:00:00"/>
    <x v="10"/>
    <s v="Cetirizine 10mg"/>
    <x v="6"/>
    <x v="0"/>
    <s v="Cipla"/>
    <n v="1"/>
    <n v="26"/>
    <x v="1"/>
    <n v="26"/>
    <x v="3"/>
    <x v="3"/>
  </r>
  <r>
    <s v="TXN00585"/>
    <d v="2025-04-23T00:00:00"/>
    <x v="7"/>
    <s v="Vitamin B-Complex"/>
    <x v="4"/>
    <x v="0"/>
    <s v="Pfizer"/>
    <n v="1"/>
    <n v="46"/>
    <x v="2"/>
    <n v="46"/>
    <x v="3"/>
    <x v="3"/>
  </r>
  <r>
    <s v="TXN00586"/>
    <d v="2025-04-24T00:00:00"/>
    <x v="22"/>
    <s v="Atorvastatin 10mg"/>
    <x v="3"/>
    <x v="0"/>
    <s v="Zydus"/>
    <n v="3"/>
    <n v="92"/>
    <x v="0"/>
    <n v="276"/>
    <x v="3"/>
    <x v="3"/>
  </r>
  <r>
    <s v="TXN00587"/>
    <d v="2025-04-24T00:00:00"/>
    <x v="1"/>
    <s v="Amlodipine 5mg"/>
    <x v="1"/>
    <x v="1"/>
    <s v="Jan Aushadhi"/>
    <n v="2"/>
    <n v="15"/>
    <x v="0"/>
    <n v="30"/>
    <x v="3"/>
    <x v="3"/>
  </r>
  <r>
    <s v="TXN00588"/>
    <d v="2025-04-24T00:00:00"/>
    <x v="10"/>
    <s v="Cetirizine 10mg"/>
    <x v="6"/>
    <x v="0"/>
    <s v="Cipla"/>
    <n v="5"/>
    <n v="26"/>
    <x v="0"/>
    <n v="130"/>
    <x v="3"/>
    <x v="3"/>
  </r>
  <r>
    <s v="TXN00589"/>
    <d v="2025-04-24T00:00:00"/>
    <x v="9"/>
    <s v="Ibuprofen 400mg"/>
    <x v="0"/>
    <x v="0"/>
    <s v="Abbott"/>
    <n v="3"/>
    <n v="42"/>
    <x v="1"/>
    <n v="126"/>
    <x v="3"/>
    <x v="3"/>
  </r>
  <r>
    <s v="TXN00590"/>
    <d v="2025-04-25T00:00:00"/>
    <x v="24"/>
    <s v="Glimepiride 2mg"/>
    <x v="7"/>
    <x v="0"/>
    <s v="Sanofi"/>
    <n v="6"/>
    <n v="190"/>
    <x v="2"/>
    <n v="1140"/>
    <x v="3"/>
    <x v="3"/>
  </r>
  <r>
    <s v="TXN00591"/>
    <d v="2025-04-25T00:00:00"/>
    <x v="26"/>
    <s v="Atorvastatin 10mg"/>
    <x v="3"/>
    <x v="1"/>
    <s v="Jan Aushadhi"/>
    <n v="3"/>
    <n v="35"/>
    <x v="0"/>
    <n v="105"/>
    <x v="3"/>
    <x v="3"/>
  </r>
  <r>
    <s v="TXN00592"/>
    <d v="2025-04-25T00:00:00"/>
    <x v="10"/>
    <s v="Cetirizine 10mg"/>
    <x v="6"/>
    <x v="0"/>
    <s v="Cipla"/>
    <n v="2"/>
    <n v="26"/>
    <x v="3"/>
    <n v="52"/>
    <x v="3"/>
    <x v="3"/>
  </r>
  <r>
    <s v="TXN00593"/>
    <d v="2025-04-25T00:00:00"/>
    <x v="9"/>
    <s v="Ibuprofen 400mg"/>
    <x v="0"/>
    <x v="0"/>
    <s v="Abbott"/>
    <n v="1"/>
    <n v="42"/>
    <x v="0"/>
    <n v="42"/>
    <x v="3"/>
    <x v="3"/>
  </r>
  <r>
    <s v="TXN00594"/>
    <d v="2025-04-25T00:00:00"/>
    <x v="7"/>
    <s v="Vitamin B-Complex"/>
    <x v="4"/>
    <x v="0"/>
    <s v="Pfizer"/>
    <n v="4"/>
    <n v="46"/>
    <x v="0"/>
    <n v="184"/>
    <x v="3"/>
    <x v="3"/>
  </r>
  <r>
    <s v="TXN00595"/>
    <d v="2025-04-26T00:00:00"/>
    <x v="0"/>
    <s v="Paracetamol 650mg"/>
    <x v="0"/>
    <x v="0"/>
    <s v="Micro Labs"/>
    <n v="1"/>
    <n v="32"/>
    <x v="0"/>
    <n v="32"/>
    <x v="3"/>
    <x v="3"/>
  </r>
  <r>
    <s v="TXN00596"/>
    <d v="2025-04-26T00:00:00"/>
    <x v="23"/>
    <s v="Diclofenac 50mg"/>
    <x v="0"/>
    <x v="0"/>
    <s v="Novartis"/>
    <n v="1"/>
    <n v="62"/>
    <x v="0"/>
    <n v="62"/>
    <x v="3"/>
    <x v="3"/>
  </r>
  <r>
    <s v="TXN00597"/>
    <d v="2025-04-27T00:00:00"/>
    <x v="12"/>
    <s v="Amoxicillin+Clavulanate 625mg"/>
    <x v="5"/>
    <x v="1"/>
    <s v="Jan Aushadhi"/>
    <n v="1"/>
    <n v="95"/>
    <x v="0"/>
    <n v="95"/>
    <x v="3"/>
    <x v="3"/>
  </r>
  <r>
    <s v="TXN00598"/>
    <d v="2025-04-27T00:00:00"/>
    <x v="13"/>
    <s v="Metformin 500mg"/>
    <x v="7"/>
    <x v="0"/>
    <s v="USV"/>
    <n v="2"/>
    <n v="32"/>
    <x v="0"/>
    <n v="64"/>
    <x v="3"/>
    <x v="3"/>
  </r>
  <r>
    <s v="TXN00599"/>
    <d v="2025-04-27T00:00:00"/>
    <x v="19"/>
    <s v="Metformin 500mg"/>
    <x v="7"/>
    <x v="1"/>
    <s v="Jan Aushadhi"/>
    <n v="3"/>
    <n v="12"/>
    <x v="2"/>
    <n v="36"/>
    <x v="3"/>
    <x v="3"/>
  </r>
  <r>
    <s v="TXN00600"/>
    <d v="2025-04-27T00:00:00"/>
    <x v="9"/>
    <s v="Ibuprofen 400mg"/>
    <x v="0"/>
    <x v="0"/>
    <s v="Abbott"/>
    <n v="2"/>
    <n v="42"/>
    <x v="1"/>
    <n v="84"/>
    <x v="3"/>
    <x v="3"/>
  </r>
  <r>
    <s v="TXN00601"/>
    <d v="2025-04-27T00:00:00"/>
    <x v="4"/>
    <s v="Ibuprofen 400mg"/>
    <x v="0"/>
    <x v="1"/>
    <s v="Jan Aushadhi"/>
    <n v="2"/>
    <n v="15"/>
    <x v="3"/>
    <n v="30"/>
    <x v="3"/>
    <x v="3"/>
  </r>
  <r>
    <s v="TXN00602"/>
    <d v="2025-04-28T00:00:00"/>
    <x v="0"/>
    <s v="Paracetamol 650mg"/>
    <x v="0"/>
    <x v="0"/>
    <s v="Micro Labs"/>
    <n v="3"/>
    <n v="32"/>
    <x v="0"/>
    <n v="96"/>
    <x v="3"/>
    <x v="3"/>
  </r>
  <r>
    <s v="TXN00603"/>
    <d v="2025-04-28T00:00:00"/>
    <x v="0"/>
    <s v="Paracetamol 650mg"/>
    <x v="0"/>
    <x v="0"/>
    <s v="Micro Labs"/>
    <n v="5"/>
    <n v="32"/>
    <x v="0"/>
    <n v="160"/>
    <x v="3"/>
    <x v="3"/>
  </r>
  <r>
    <s v="TXN00604"/>
    <d v="2025-04-28T00:00:00"/>
    <x v="16"/>
    <s v="Azithromycin 500mg"/>
    <x v="5"/>
    <x v="0"/>
    <s v="Alembic"/>
    <n v="3"/>
    <n v="125"/>
    <x v="0"/>
    <n v="375"/>
    <x v="3"/>
    <x v="3"/>
  </r>
  <r>
    <s v="TXN00605"/>
    <d v="2025-04-28T00:00:00"/>
    <x v="1"/>
    <s v="Amlodipine 5mg"/>
    <x v="1"/>
    <x v="1"/>
    <s v="Jan Aushadhi"/>
    <n v="12"/>
    <n v="15"/>
    <x v="1"/>
    <n v="180"/>
    <x v="3"/>
    <x v="3"/>
  </r>
  <r>
    <s v="TXN00606"/>
    <d v="2025-04-29T00:00:00"/>
    <x v="16"/>
    <s v="Azithromycin 500mg"/>
    <x v="5"/>
    <x v="0"/>
    <s v="Alembic"/>
    <n v="5"/>
    <n v="125"/>
    <x v="1"/>
    <n v="625"/>
    <x v="3"/>
    <x v="3"/>
  </r>
  <r>
    <s v="TXN00607"/>
    <d v="2025-04-29T00:00:00"/>
    <x v="15"/>
    <s v="Cetirizine 10mg"/>
    <x v="6"/>
    <x v="1"/>
    <s v="Jan Aushadhi"/>
    <n v="4"/>
    <n v="8"/>
    <x v="3"/>
    <n v="32"/>
    <x v="3"/>
    <x v="3"/>
  </r>
  <r>
    <s v="TXN00608"/>
    <d v="2025-04-30T00:00:00"/>
    <x v="16"/>
    <s v="Azithromycin 500mg"/>
    <x v="5"/>
    <x v="0"/>
    <s v="Alembic"/>
    <n v="5"/>
    <n v="125"/>
    <x v="2"/>
    <n v="625"/>
    <x v="3"/>
    <x v="3"/>
  </r>
  <r>
    <s v="TXN00609"/>
    <d v="2025-04-30T00:00:00"/>
    <x v="8"/>
    <s v="Azithromycin 500mg"/>
    <x v="5"/>
    <x v="1"/>
    <s v="Jan Aushadhi"/>
    <n v="1"/>
    <n v="55"/>
    <x v="3"/>
    <n v="55"/>
    <x v="3"/>
    <x v="3"/>
  </r>
  <r>
    <s v="TXN00610"/>
    <d v="2025-04-30T00:00:00"/>
    <x v="14"/>
    <s v="Pantoprazole 40mg"/>
    <x v="2"/>
    <x v="0"/>
    <s v="Alkem"/>
    <n v="2"/>
    <n v="152"/>
    <x v="2"/>
    <n v="304"/>
    <x v="3"/>
    <x v="3"/>
  </r>
  <r>
    <s v="TXN00611"/>
    <d v="2025-04-30T00:00:00"/>
    <x v="20"/>
    <s v="Pantoprazole 40mg"/>
    <x v="2"/>
    <x v="1"/>
    <s v="Jan Aushadhi"/>
    <n v="1"/>
    <n v="50"/>
    <x v="1"/>
    <n v="50"/>
    <x v="3"/>
    <x v="3"/>
  </r>
  <r>
    <s v="TXN00612"/>
    <d v="2025-04-30T00:00:00"/>
    <x v="20"/>
    <s v="Pantoprazole 40mg"/>
    <x v="2"/>
    <x v="1"/>
    <s v="Jan Aushadhi"/>
    <n v="5"/>
    <n v="50"/>
    <x v="1"/>
    <n v="250"/>
    <x v="3"/>
    <x v="3"/>
  </r>
  <r>
    <s v="TXN00613"/>
    <d v="2025-04-30T00:00:00"/>
    <x v="7"/>
    <s v="Vitamin B-Complex"/>
    <x v="4"/>
    <x v="0"/>
    <s v="Pfizer"/>
    <n v="1"/>
    <n v="46"/>
    <x v="2"/>
    <n v="46"/>
    <x v="3"/>
    <x v="3"/>
  </r>
  <r>
    <s v="TXN00614"/>
    <d v="2025-04-30T00:00:00"/>
    <x v="27"/>
    <s v="Vitamin B-Complex"/>
    <x v="4"/>
    <x v="1"/>
    <s v="Jan Aushadhi"/>
    <n v="4"/>
    <n v="18"/>
    <x v="2"/>
    <n v="72"/>
    <x v="3"/>
    <x v="3"/>
  </r>
  <r>
    <s v="TXN00615"/>
    <d v="2025-05-01T00:00:00"/>
    <x v="24"/>
    <s v="Glimepiride 2mg"/>
    <x v="7"/>
    <x v="0"/>
    <s v="Sanofi"/>
    <n v="6"/>
    <n v="190"/>
    <x v="0"/>
    <n v="1140"/>
    <x v="4"/>
    <x v="4"/>
  </r>
  <r>
    <s v="TXN00616"/>
    <d v="2025-05-01T00:00:00"/>
    <x v="14"/>
    <s v="Pantoprazole 40mg"/>
    <x v="2"/>
    <x v="0"/>
    <s v="Alkem"/>
    <n v="4"/>
    <n v="152"/>
    <x v="3"/>
    <n v="608"/>
    <x v="4"/>
    <x v="4"/>
  </r>
  <r>
    <s v="TXN00617"/>
    <d v="2025-05-01T00:00:00"/>
    <x v="21"/>
    <s v="Montelukast+Levocetirizine"/>
    <x v="8"/>
    <x v="0"/>
    <s v="Sun Pharma"/>
    <n v="3"/>
    <n v="182"/>
    <x v="2"/>
    <n v="546"/>
    <x v="4"/>
    <x v="4"/>
  </r>
  <r>
    <s v="TXN00618"/>
    <d v="2025-05-02T00:00:00"/>
    <x v="0"/>
    <s v="Paracetamol 650mg"/>
    <x v="0"/>
    <x v="0"/>
    <s v="Micro Labs"/>
    <n v="4"/>
    <n v="32"/>
    <x v="0"/>
    <n v="128"/>
    <x v="4"/>
    <x v="4"/>
  </r>
  <r>
    <s v="TXN00619"/>
    <d v="2025-05-02T00:00:00"/>
    <x v="18"/>
    <s v="Paracetamol 650mg"/>
    <x v="0"/>
    <x v="1"/>
    <s v="Jan Aushadhi"/>
    <n v="1"/>
    <n v="14"/>
    <x v="1"/>
    <n v="14"/>
    <x v="4"/>
    <x v="4"/>
  </r>
  <r>
    <s v="TXN00620"/>
    <d v="2025-05-02T00:00:00"/>
    <x v="26"/>
    <s v="Atorvastatin 10mg"/>
    <x v="3"/>
    <x v="1"/>
    <s v="Jan Aushadhi"/>
    <n v="2"/>
    <n v="35"/>
    <x v="3"/>
    <n v="70"/>
    <x v="4"/>
    <x v="4"/>
  </r>
  <r>
    <s v="TXN00621"/>
    <d v="2025-05-03T00:00:00"/>
    <x v="0"/>
    <s v="Paracetamol 650mg"/>
    <x v="0"/>
    <x v="0"/>
    <s v="Micro Labs"/>
    <n v="1"/>
    <n v="32"/>
    <x v="2"/>
    <n v="32"/>
    <x v="4"/>
    <x v="4"/>
  </r>
  <r>
    <s v="TXN00622"/>
    <d v="2025-05-03T00:00:00"/>
    <x v="8"/>
    <s v="Azithromycin 500mg"/>
    <x v="5"/>
    <x v="1"/>
    <s v="Jan Aushadhi"/>
    <n v="2"/>
    <n v="55"/>
    <x v="0"/>
    <n v="110"/>
    <x v="4"/>
    <x v="4"/>
  </r>
  <r>
    <s v="TXN00623"/>
    <d v="2025-05-03T00:00:00"/>
    <x v="17"/>
    <s v="Rosuvastatin 10mg"/>
    <x v="3"/>
    <x v="1"/>
    <s v="Jan Aushadhi"/>
    <n v="6"/>
    <n v="58"/>
    <x v="2"/>
    <n v="348"/>
    <x v="4"/>
    <x v="4"/>
  </r>
  <r>
    <s v="TXN00624"/>
    <d v="2025-05-03T00:00:00"/>
    <x v="4"/>
    <s v="Ibuprofen 400mg"/>
    <x v="0"/>
    <x v="1"/>
    <s v="Jan Aushadhi"/>
    <n v="1"/>
    <n v="15"/>
    <x v="0"/>
    <n v="15"/>
    <x v="4"/>
    <x v="4"/>
  </r>
  <r>
    <s v="TXN00625"/>
    <d v="2025-05-03T00:00:00"/>
    <x v="29"/>
    <s v="Diclofenac 50mg"/>
    <x v="0"/>
    <x v="1"/>
    <s v="Jan Aushadhi"/>
    <n v="1"/>
    <n v="20"/>
    <x v="2"/>
    <n v="20"/>
    <x v="4"/>
    <x v="4"/>
  </r>
  <r>
    <s v="TXN00626"/>
    <d v="2025-05-04T00:00:00"/>
    <x v="1"/>
    <s v="Amlodipine 5mg"/>
    <x v="1"/>
    <x v="1"/>
    <s v="Jan Aushadhi"/>
    <n v="1"/>
    <n v="15"/>
    <x v="0"/>
    <n v="15"/>
    <x v="4"/>
    <x v="4"/>
  </r>
  <r>
    <s v="TXN00627"/>
    <d v="2025-05-04T00:00:00"/>
    <x v="10"/>
    <s v="Cetirizine 10mg"/>
    <x v="6"/>
    <x v="0"/>
    <s v="Cipla"/>
    <n v="1"/>
    <n v="26"/>
    <x v="0"/>
    <n v="26"/>
    <x v="4"/>
    <x v="4"/>
  </r>
  <r>
    <s v="TXN00628"/>
    <d v="2025-05-04T00:00:00"/>
    <x v="4"/>
    <s v="Ibuprofen 400mg"/>
    <x v="0"/>
    <x v="1"/>
    <s v="Jan Aushadhi"/>
    <n v="2"/>
    <n v="15"/>
    <x v="0"/>
    <n v="30"/>
    <x v="4"/>
    <x v="4"/>
  </r>
  <r>
    <s v="TXN00629"/>
    <d v="2025-05-04T00:00:00"/>
    <x v="7"/>
    <s v="Vitamin B-Complex"/>
    <x v="4"/>
    <x v="0"/>
    <s v="Pfizer"/>
    <n v="1"/>
    <n v="46"/>
    <x v="1"/>
    <n v="46"/>
    <x v="4"/>
    <x v="4"/>
  </r>
  <r>
    <s v="TXN00630"/>
    <d v="2025-05-05T00:00:00"/>
    <x v="13"/>
    <s v="Metformin 500mg"/>
    <x v="7"/>
    <x v="0"/>
    <s v="USV"/>
    <n v="1"/>
    <n v="32"/>
    <x v="3"/>
    <n v="32"/>
    <x v="4"/>
    <x v="4"/>
  </r>
  <r>
    <s v="TXN00631"/>
    <d v="2025-05-05T00:00:00"/>
    <x v="19"/>
    <s v="Metformin 500mg"/>
    <x v="7"/>
    <x v="1"/>
    <s v="Jan Aushadhi"/>
    <n v="6"/>
    <n v="12"/>
    <x v="1"/>
    <n v="72"/>
    <x v="4"/>
    <x v="4"/>
  </r>
  <r>
    <s v="TXN00632"/>
    <d v="2025-05-05T00:00:00"/>
    <x v="19"/>
    <s v="Metformin 500mg"/>
    <x v="7"/>
    <x v="1"/>
    <s v="Jan Aushadhi"/>
    <n v="1"/>
    <n v="12"/>
    <x v="0"/>
    <n v="12"/>
    <x v="4"/>
    <x v="4"/>
  </r>
  <r>
    <s v="TXN00633"/>
    <d v="2025-05-05T00:00:00"/>
    <x v="28"/>
    <s v="Glimepiride 2mg"/>
    <x v="7"/>
    <x v="1"/>
    <s v="Jan Aushadhi"/>
    <n v="1"/>
    <n v="42"/>
    <x v="3"/>
    <n v="42"/>
    <x v="4"/>
    <x v="4"/>
  </r>
  <r>
    <s v="TXN00634"/>
    <d v="2025-05-05T00:00:00"/>
    <x v="1"/>
    <s v="Amlodipine 5mg"/>
    <x v="1"/>
    <x v="1"/>
    <s v="Jan Aushadhi"/>
    <n v="6"/>
    <n v="15"/>
    <x v="0"/>
    <n v="90"/>
    <x v="4"/>
    <x v="4"/>
  </r>
  <r>
    <s v="TXN00635"/>
    <d v="2025-05-05T00:00:00"/>
    <x v="7"/>
    <s v="Vitamin B-Complex"/>
    <x v="4"/>
    <x v="0"/>
    <s v="Pfizer"/>
    <n v="4"/>
    <n v="46"/>
    <x v="3"/>
    <n v="184"/>
    <x v="4"/>
    <x v="4"/>
  </r>
  <r>
    <s v="TXN00636"/>
    <d v="2025-05-05T00:00:00"/>
    <x v="7"/>
    <s v="Vitamin B-Complex"/>
    <x v="4"/>
    <x v="0"/>
    <s v="Pfizer"/>
    <n v="4"/>
    <n v="46"/>
    <x v="0"/>
    <n v="184"/>
    <x v="4"/>
    <x v="4"/>
  </r>
  <r>
    <s v="TXN00637"/>
    <d v="2025-05-06T00:00:00"/>
    <x v="1"/>
    <s v="Amlodipine 5mg"/>
    <x v="1"/>
    <x v="1"/>
    <s v="Jan Aushadhi"/>
    <n v="3"/>
    <n v="15"/>
    <x v="3"/>
    <n v="45"/>
    <x v="4"/>
    <x v="4"/>
  </r>
  <r>
    <s v="TXN00638"/>
    <d v="2025-05-06T00:00:00"/>
    <x v="30"/>
    <s v="Telmisartan 40mg"/>
    <x v="1"/>
    <x v="0"/>
    <s v="Glenmark"/>
    <n v="1"/>
    <n v="142"/>
    <x v="0"/>
    <n v="142"/>
    <x v="4"/>
    <x v="4"/>
  </r>
  <r>
    <s v="TXN00639"/>
    <d v="2025-05-06T00:00:00"/>
    <x v="14"/>
    <s v="Pantoprazole 40mg"/>
    <x v="2"/>
    <x v="0"/>
    <s v="Alkem"/>
    <n v="4"/>
    <n v="152"/>
    <x v="0"/>
    <n v="608"/>
    <x v="4"/>
    <x v="4"/>
  </r>
  <r>
    <s v="TXN00640"/>
    <d v="2025-05-06T00:00:00"/>
    <x v="20"/>
    <s v="Pantoprazole 40mg"/>
    <x v="2"/>
    <x v="1"/>
    <s v="Jan Aushadhi"/>
    <n v="1"/>
    <n v="50"/>
    <x v="0"/>
    <n v="50"/>
    <x v="4"/>
    <x v="4"/>
  </r>
  <r>
    <s v="TXN00641"/>
    <d v="2025-05-06T00:00:00"/>
    <x v="31"/>
    <s v="Montelukast+Levocetirizine"/>
    <x v="8"/>
    <x v="1"/>
    <s v="Jan Aushadhi"/>
    <n v="2"/>
    <n v="70"/>
    <x v="0"/>
    <n v="140"/>
    <x v="4"/>
    <x v="4"/>
  </r>
  <r>
    <s v="TXN00642"/>
    <d v="2025-05-06T00:00:00"/>
    <x v="9"/>
    <s v="Ibuprofen 400mg"/>
    <x v="0"/>
    <x v="0"/>
    <s v="Abbott"/>
    <n v="1"/>
    <n v="42"/>
    <x v="1"/>
    <n v="42"/>
    <x v="4"/>
    <x v="4"/>
  </r>
  <r>
    <s v="TXN00643"/>
    <d v="2025-05-07T00:00:00"/>
    <x v="13"/>
    <s v="Metformin 500mg"/>
    <x v="7"/>
    <x v="0"/>
    <s v="USV"/>
    <n v="3"/>
    <n v="32"/>
    <x v="3"/>
    <n v="96"/>
    <x v="4"/>
    <x v="4"/>
  </r>
  <r>
    <s v="TXN00644"/>
    <d v="2025-05-07T00:00:00"/>
    <x v="5"/>
    <s v="Rosuvastatin 10mg"/>
    <x v="3"/>
    <x v="0"/>
    <s v="Sun Pharma"/>
    <n v="3"/>
    <n v="165"/>
    <x v="0"/>
    <n v="495"/>
    <x v="4"/>
    <x v="4"/>
  </r>
  <r>
    <s v="TXN00645"/>
    <d v="2025-05-07T00:00:00"/>
    <x v="9"/>
    <s v="Ibuprofen 400mg"/>
    <x v="0"/>
    <x v="0"/>
    <s v="Abbott"/>
    <n v="2"/>
    <n v="42"/>
    <x v="1"/>
    <n v="84"/>
    <x v="4"/>
    <x v="4"/>
  </r>
  <r>
    <s v="TXN00646"/>
    <d v="2025-05-08T00:00:00"/>
    <x v="18"/>
    <s v="Paracetamol 650mg"/>
    <x v="0"/>
    <x v="1"/>
    <s v="Jan Aushadhi"/>
    <n v="4"/>
    <n v="14"/>
    <x v="0"/>
    <n v="56"/>
    <x v="4"/>
    <x v="4"/>
  </r>
  <r>
    <s v="TXN00647"/>
    <d v="2025-05-08T00:00:00"/>
    <x v="5"/>
    <s v="Rosuvastatin 10mg"/>
    <x v="3"/>
    <x v="0"/>
    <s v="Sun Pharma"/>
    <n v="3"/>
    <n v="165"/>
    <x v="3"/>
    <n v="495"/>
    <x v="4"/>
    <x v="4"/>
  </r>
  <r>
    <s v="TXN00648"/>
    <d v="2025-05-08T00:00:00"/>
    <x v="25"/>
    <s v="Amlodipine 5mg"/>
    <x v="1"/>
    <x v="0"/>
    <s v="Mankind"/>
    <n v="1"/>
    <n v="45"/>
    <x v="3"/>
    <n v="45"/>
    <x v="4"/>
    <x v="4"/>
  </r>
  <r>
    <s v="TXN00649"/>
    <d v="2025-05-08T00:00:00"/>
    <x v="10"/>
    <s v="Cetirizine 10mg"/>
    <x v="6"/>
    <x v="0"/>
    <s v="Cipla"/>
    <n v="2"/>
    <n v="26"/>
    <x v="0"/>
    <n v="52"/>
    <x v="4"/>
    <x v="4"/>
  </r>
  <r>
    <s v="TXN00650"/>
    <d v="2025-05-09T00:00:00"/>
    <x v="1"/>
    <s v="Amlodipine 5mg"/>
    <x v="1"/>
    <x v="1"/>
    <s v="Jan Aushadhi"/>
    <n v="1"/>
    <n v="15"/>
    <x v="1"/>
    <n v="15"/>
    <x v="4"/>
    <x v="4"/>
  </r>
  <r>
    <s v="TXN00651"/>
    <d v="2025-05-09T00:00:00"/>
    <x v="20"/>
    <s v="Pantoprazole 40mg"/>
    <x v="2"/>
    <x v="1"/>
    <s v="Jan Aushadhi"/>
    <n v="4"/>
    <n v="50"/>
    <x v="2"/>
    <n v="200"/>
    <x v="4"/>
    <x v="4"/>
  </r>
  <r>
    <s v="TXN00652"/>
    <d v="2025-05-10T00:00:00"/>
    <x v="0"/>
    <s v="Paracetamol 650mg"/>
    <x v="0"/>
    <x v="0"/>
    <s v="Micro Labs"/>
    <n v="5"/>
    <n v="32"/>
    <x v="1"/>
    <n v="160"/>
    <x v="4"/>
    <x v="4"/>
  </r>
  <r>
    <s v="TXN00653"/>
    <d v="2025-05-10T00:00:00"/>
    <x v="18"/>
    <s v="Paracetamol 650mg"/>
    <x v="0"/>
    <x v="1"/>
    <s v="Jan Aushadhi"/>
    <n v="2"/>
    <n v="14"/>
    <x v="3"/>
    <n v="28"/>
    <x v="4"/>
    <x v="4"/>
  </r>
  <r>
    <s v="TXN00654"/>
    <d v="2025-05-10T00:00:00"/>
    <x v="16"/>
    <s v="Azithromycin 500mg"/>
    <x v="5"/>
    <x v="0"/>
    <s v="Alembic"/>
    <n v="4"/>
    <n v="125"/>
    <x v="3"/>
    <n v="500"/>
    <x v="4"/>
    <x v="4"/>
  </r>
  <r>
    <s v="TXN00655"/>
    <d v="2025-05-10T00:00:00"/>
    <x v="1"/>
    <s v="Amlodipine 5mg"/>
    <x v="1"/>
    <x v="1"/>
    <s v="Jan Aushadhi"/>
    <n v="2"/>
    <n v="15"/>
    <x v="2"/>
    <n v="30"/>
    <x v="4"/>
    <x v="4"/>
  </r>
  <r>
    <s v="TXN00656"/>
    <d v="2025-05-10T00:00:00"/>
    <x v="6"/>
    <s v="Telmisartan 40mg"/>
    <x v="1"/>
    <x v="1"/>
    <s v="Jan Aushadhi"/>
    <n v="3"/>
    <n v="46"/>
    <x v="0"/>
    <n v="138"/>
    <x v="4"/>
    <x v="4"/>
  </r>
  <r>
    <s v="TXN00657"/>
    <d v="2025-05-10T00:00:00"/>
    <x v="15"/>
    <s v="Cetirizine 10mg"/>
    <x v="6"/>
    <x v="1"/>
    <s v="Jan Aushadhi"/>
    <n v="4"/>
    <n v="8"/>
    <x v="2"/>
    <n v="32"/>
    <x v="4"/>
    <x v="4"/>
  </r>
  <r>
    <s v="TXN00658"/>
    <d v="2025-05-10T00:00:00"/>
    <x v="21"/>
    <s v="Montelukast+Levocetirizine"/>
    <x v="8"/>
    <x v="0"/>
    <s v="Sun Pharma"/>
    <n v="1"/>
    <n v="182"/>
    <x v="2"/>
    <n v="182"/>
    <x v="4"/>
    <x v="4"/>
  </r>
  <r>
    <s v="TXN00659"/>
    <d v="2025-05-11T00:00:00"/>
    <x v="18"/>
    <s v="Paracetamol 650mg"/>
    <x v="0"/>
    <x v="1"/>
    <s v="Jan Aushadhi"/>
    <n v="3"/>
    <n v="14"/>
    <x v="0"/>
    <n v="42"/>
    <x v="4"/>
    <x v="4"/>
  </r>
  <r>
    <s v="TXN00660"/>
    <d v="2025-05-11T00:00:00"/>
    <x v="8"/>
    <s v="Azithromycin 500mg"/>
    <x v="5"/>
    <x v="1"/>
    <s v="Jan Aushadhi"/>
    <n v="1"/>
    <n v="55"/>
    <x v="0"/>
    <n v="55"/>
    <x v="4"/>
    <x v="4"/>
  </r>
  <r>
    <s v="TXN00661"/>
    <d v="2025-05-11T00:00:00"/>
    <x v="11"/>
    <s v="Amoxicillin+Clavulanate 625mg"/>
    <x v="5"/>
    <x v="0"/>
    <s v="GSK"/>
    <n v="2"/>
    <n v="205"/>
    <x v="0"/>
    <n v="410"/>
    <x v="4"/>
    <x v="4"/>
  </r>
  <r>
    <s v="TXN00662"/>
    <d v="2025-05-11T00:00:00"/>
    <x v="15"/>
    <s v="Cetirizine 10mg"/>
    <x v="6"/>
    <x v="1"/>
    <s v="Jan Aushadhi"/>
    <n v="5"/>
    <n v="8"/>
    <x v="3"/>
    <n v="40"/>
    <x v="4"/>
    <x v="4"/>
  </r>
  <r>
    <s v="TXN00663"/>
    <d v="2025-05-12T00:00:00"/>
    <x v="0"/>
    <s v="Paracetamol 650mg"/>
    <x v="0"/>
    <x v="0"/>
    <s v="Micro Labs"/>
    <n v="1"/>
    <n v="32"/>
    <x v="0"/>
    <n v="32"/>
    <x v="4"/>
    <x v="4"/>
  </r>
  <r>
    <s v="TXN00664"/>
    <d v="2025-05-12T00:00:00"/>
    <x v="19"/>
    <s v="Metformin 500mg"/>
    <x v="7"/>
    <x v="1"/>
    <s v="Jan Aushadhi"/>
    <n v="2"/>
    <n v="12"/>
    <x v="1"/>
    <n v="24"/>
    <x v="4"/>
    <x v="4"/>
  </r>
  <r>
    <s v="TXN00665"/>
    <d v="2025-05-12T00:00:00"/>
    <x v="22"/>
    <s v="Atorvastatin 10mg"/>
    <x v="3"/>
    <x v="0"/>
    <s v="Zydus"/>
    <n v="3"/>
    <n v="92"/>
    <x v="0"/>
    <n v="276"/>
    <x v="4"/>
    <x v="4"/>
  </r>
  <r>
    <s v="TXN00666"/>
    <d v="2025-05-12T00:00:00"/>
    <x v="25"/>
    <s v="Amlodipine 5mg"/>
    <x v="1"/>
    <x v="0"/>
    <s v="Mankind"/>
    <n v="3"/>
    <n v="45"/>
    <x v="0"/>
    <n v="135"/>
    <x v="4"/>
    <x v="4"/>
  </r>
  <r>
    <s v="TXN00667"/>
    <d v="2025-05-12T00:00:00"/>
    <x v="1"/>
    <s v="Amlodipine 5mg"/>
    <x v="1"/>
    <x v="1"/>
    <s v="Jan Aushadhi"/>
    <n v="3"/>
    <n v="15"/>
    <x v="2"/>
    <n v="45"/>
    <x v="4"/>
    <x v="4"/>
  </r>
  <r>
    <s v="TXN00668"/>
    <d v="2025-05-12T00:00:00"/>
    <x v="1"/>
    <s v="Amlodipine 5mg"/>
    <x v="1"/>
    <x v="1"/>
    <s v="Jan Aushadhi"/>
    <n v="3"/>
    <n v="15"/>
    <x v="3"/>
    <n v="45"/>
    <x v="4"/>
    <x v="4"/>
  </r>
  <r>
    <s v="TXN00669"/>
    <d v="2025-05-12T00:00:00"/>
    <x v="4"/>
    <s v="Ibuprofen 400mg"/>
    <x v="0"/>
    <x v="1"/>
    <s v="Jan Aushadhi"/>
    <n v="3"/>
    <n v="15"/>
    <x v="0"/>
    <n v="45"/>
    <x v="4"/>
    <x v="4"/>
  </r>
  <r>
    <s v="TXN00670"/>
    <d v="2025-05-12T00:00:00"/>
    <x v="23"/>
    <s v="Diclofenac 50mg"/>
    <x v="0"/>
    <x v="0"/>
    <s v="Novartis"/>
    <n v="3"/>
    <n v="62"/>
    <x v="3"/>
    <n v="186"/>
    <x v="4"/>
    <x v="4"/>
  </r>
  <r>
    <s v="TXN00671"/>
    <d v="2025-05-13T00:00:00"/>
    <x v="8"/>
    <s v="Azithromycin 500mg"/>
    <x v="5"/>
    <x v="1"/>
    <s v="Jan Aushadhi"/>
    <n v="1"/>
    <n v="55"/>
    <x v="0"/>
    <n v="55"/>
    <x v="4"/>
    <x v="4"/>
  </r>
  <r>
    <s v="TXN00672"/>
    <d v="2025-05-13T00:00:00"/>
    <x v="22"/>
    <s v="Atorvastatin 10mg"/>
    <x v="3"/>
    <x v="0"/>
    <s v="Zydus"/>
    <n v="6"/>
    <n v="92"/>
    <x v="2"/>
    <n v="552"/>
    <x v="4"/>
    <x v="4"/>
  </r>
  <r>
    <s v="TXN00673"/>
    <d v="2025-05-13T00:00:00"/>
    <x v="30"/>
    <s v="Telmisartan 40mg"/>
    <x v="1"/>
    <x v="0"/>
    <s v="Glenmark"/>
    <n v="2"/>
    <n v="142"/>
    <x v="0"/>
    <n v="284"/>
    <x v="4"/>
    <x v="4"/>
  </r>
  <r>
    <s v="TXN00674"/>
    <d v="2025-05-13T00:00:00"/>
    <x v="14"/>
    <s v="Pantoprazole 40mg"/>
    <x v="2"/>
    <x v="0"/>
    <s v="Alkem"/>
    <n v="3"/>
    <n v="152"/>
    <x v="0"/>
    <n v="456"/>
    <x v="4"/>
    <x v="4"/>
  </r>
  <r>
    <s v="TXN00675"/>
    <d v="2025-05-13T00:00:00"/>
    <x v="10"/>
    <s v="Cetirizine 10mg"/>
    <x v="6"/>
    <x v="0"/>
    <s v="Cipla"/>
    <n v="5"/>
    <n v="26"/>
    <x v="3"/>
    <n v="130"/>
    <x v="4"/>
    <x v="4"/>
  </r>
  <r>
    <s v="TXN00676"/>
    <d v="2025-05-14T00:00:00"/>
    <x v="0"/>
    <s v="Paracetamol 650mg"/>
    <x v="0"/>
    <x v="0"/>
    <s v="Micro Labs"/>
    <n v="1"/>
    <n v="32"/>
    <x v="0"/>
    <n v="32"/>
    <x v="4"/>
    <x v="4"/>
  </r>
  <r>
    <s v="TXN00677"/>
    <d v="2025-05-14T00:00:00"/>
    <x v="18"/>
    <s v="Paracetamol 650mg"/>
    <x v="0"/>
    <x v="1"/>
    <s v="Jan Aushadhi"/>
    <n v="5"/>
    <n v="14"/>
    <x v="0"/>
    <n v="70"/>
    <x v="4"/>
    <x v="4"/>
  </r>
  <r>
    <s v="TXN00678"/>
    <d v="2025-05-14T00:00:00"/>
    <x v="13"/>
    <s v="Metformin 500mg"/>
    <x v="7"/>
    <x v="0"/>
    <s v="USV"/>
    <n v="2"/>
    <n v="32"/>
    <x v="1"/>
    <n v="64"/>
    <x v="4"/>
    <x v="4"/>
  </r>
  <r>
    <s v="TXN00679"/>
    <d v="2025-05-14T00:00:00"/>
    <x v="26"/>
    <s v="Atorvastatin 10mg"/>
    <x v="3"/>
    <x v="1"/>
    <s v="Jan Aushadhi"/>
    <n v="6"/>
    <n v="35"/>
    <x v="2"/>
    <n v="210"/>
    <x v="4"/>
    <x v="4"/>
  </r>
  <r>
    <s v="TXN00680"/>
    <d v="2025-05-14T00:00:00"/>
    <x v="14"/>
    <s v="Pantoprazole 40mg"/>
    <x v="2"/>
    <x v="0"/>
    <s v="Alkem"/>
    <n v="1"/>
    <n v="152"/>
    <x v="0"/>
    <n v="152"/>
    <x v="4"/>
    <x v="4"/>
  </r>
  <r>
    <s v="TXN00681"/>
    <d v="2025-05-14T00:00:00"/>
    <x v="9"/>
    <s v="Ibuprofen 400mg"/>
    <x v="0"/>
    <x v="0"/>
    <s v="Abbott"/>
    <n v="4"/>
    <n v="42"/>
    <x v="1"/>
    <n v="168"/>
    <x v="4"/>
    <x v="4"/>
  </r>
  <r>
    <s v="TXN00682"/>
    <d v="2025-05-14T00:00:00"/>
    <x v="9"/>
    <s v="Ibuprofen 400mg"/>
    <x v="0"/>
    <x v="0"/>
    <s v="Abbott"/>
    <n v="4"/>
    <n v="42"/>
    <x v="1"/>
    <n v="168"/>
    <x v="4"/>
    <x v="4"/>
  </r>
  <r>
    <s v="TXN00683"/>
    <d v="2025-05-15T00:00:00"/>
    <x v="0"/>
    <s v="Paracetamol 650mg"/>
    <x v="0"/>
    <x v="0"/>
    <s v="Micro Labs"/>
    <n v="1"/>
    <n v="32"/>
    <x v="1"/>
    <n v="32"/>
    <x v="4"/>
    <x v="4"/>
  </r>
  <r>
    <s v="TXN00684"/>
    <d v="2025-05-15T00:00:00"/>
    <x v="11"/>
    <s v="Amoxicillin+Clavulanate 625mg"/>
    <x v="5"/>
    <x v="0"/>
    <s v="GSK"/>
    <n v="3"/>
    <n v="205"/>
    <x v="0"/>
    <n v="615"/>
    <x v="4"/>
    <x v="4"/>
  </r>
  <r>
    <s v="TXN00685"/>
    <d v="2025-05-15T00:00:00"/>
    <x v="9"/>
    <s v="Ibuprofen 400mg"/>
    <x v="0"/>
    <x v="0"/>
    <s v="Abbott"/>
    <n v="2"/>
    <n v="42"/>
    <x v="1"/>
    <n v="84"/>
    <x v="4"/>
    <x v="4"/>
  </r>
  <r>
    <s v="TXN00686"/>
    <d v="2025-05-15T00:00:00"/>
    <x v="27"/>
    <s v="Vitamin B-Complex"/>
    <x v="4"/>
    <x v="1"/>
    <s v="Jan Aushadhi"/>
    <n v="1"/>
    <n v="18"/>
    <x v="2"/>
    <n v="18"/>
    <x v="4"/>
    <x v="4"/>
  </r>
  <r>
    <s v="TXN00687"/>
    <d v="2025-05-16T00:00:00"/>
    <x v="16"/>
    <s v="Azithromycin 500mg"/>
    <x v="5"/>
    <x v="0"/>
    <s v="Alembic"/>
    <n v="2"/>
    <n v="125"/>
    <x v="0"/>
    <n v="250"/>
    <x v="4"/>
    <x v="4"/>
  </r>
  <r>
    <s v="TXN00688"/>
    <d v="2025-05-16T00:00:00"/>
    <x v="30"/>
    <s v="Telmisartan 40mg"/>
    <x v="1"/>
    <x v="0"/>
    <s v="Glenmark"/>
    <n v="1"/>
    <n v="142"/>
    <x v="0"/>
    <n v="142"/>
    <x v="4"/>
    <x v="4"/>
  </r>
  <r>
    <s v="TXN00689"/>
    <d v="2025-05-16T00:00:00"/>
    <x v="15"/>
    <s v="Cetirizine 10mg"/>
    <x v="6"/>
    <x v="1"/>
    <s v="Jan Aushadhi"/>
    <n v="3"/>
    <n v="8"/>
    <x v="2"/>
    <n v="24"/>
    <x v="4"/>
    <x v="4"/>
  </r>
  <r>
    <s v="TXN00690"/>
    <d v="2025-05-16T00:00:00"/>
    <x v="7"/>
    <s v="Vitamin B-Complex"/>
    <x v="4"/>
    <x v="0"/>
    <s v="Pfizer"/>
    <n v="1"/>
    <n v="46"/>
    <x v="0"/>
    <n v="46"/>
    <x v="4"/>
    <x v="4"/>
  </r>
  <r>
    <s v="TXN00691"/>
    <d v="2025-05-16T00:00:00"/>
    <x v="7"/>
    <s v="Vitamin B-Complex"/>
    <x v="4"/>
    <x v="0"/>
    <s v="Pfizer"/>
    <n v="2"/>
    <n v="46"/>
    <x v="0"/>
    <n v="92"/>
    <x v="4"/>
    <x v="4"/>
  </r>
  <r>
    <s v="TXN00692"/>
    <d v="2025-05-16T00:00:00"/>
    <x v="27"/>
    <s v="Vitamin B-Complex"/>
    <x v="4"/>
    <x v="1"/>
    <s v="Jan Aushadhi"/>
    <n v="1"/>
    <n v="18"/>
    <x v="0"/>
    <n v="18"/>
    <x v="4"/>
    <x v="4"/>
  </r>
  <r>
    <s v="TXN00693"/>
    <d v="2025-05-17T00:00:00"/>
    <x v="16"/>
    <s v="Azithromycin 500mg"/>
    <x v="5"/>
    <x v="0"/>
    <s v="Alembic"/>
    <n v="1"/>
    <n v="125"/>
    <x v="0"/>
    <n v="125"/>
    <x v="4"/>
    <x v="4"/>
  </r>
  <r>
    <s v="TXN00694"/>
    <d v="2025-05-17T00:00:00"/>
    <x v="24"/>
    <s v="Glimepiride 2mg"/>
    <x v="7"/>
    <x v="0"/>
    <s v="Sanofi"/>
    <n v="6"/>
    <n v="190"/>
    <x v="0"/>
    <n v="1140"/>
    <x v="4"/>
    <x v="4"/>
  </r>
  <r>
    <s v="TXN00695"/>
    <d v="2025-05-17T00:00:00"/>
    <x v="1"/>
    <s v="Amlodipine 5mg"/>
    <x v="1"/>
    <x v="1"/>
    <s v="Jan Aushadhi"/>
    <n v="3"/>
    <n v="15"/>
    <x v="2"/>
    <n v="45"/>
    <x v="4"/>
    <x v="4"/>
  </r>
  <r>
    <s v="TXN00696"/>
    <d v="2025-05-18T00:00:00"/>
    <x v="0"/>
    <s v="Paracetamol 650mg"/>
    <x v="0"/>
    <x v="0"/>
    <s v="Micro Labs"/>
    <n v="4"/>
    <n v="32"/>
    <x v="0"/>
    <n v="128"/>
    <x v="4"/>
    <x v="4"/>
  </r>
  <r>
    <s v="TXN00697"/>
    <d v="2025-05-18T00:00:00"/>
    <x v="0"/>
    <s v="Paracetamol 650mg"/>
    <x v="0"/>
    <x v="0"/>
    <s v="Micro Labs"/>
    <n v="4"/>
    <n v="32"/>
    <x v="0"/>
    <n v="128"/>
    <x v="4"/>
    <x v="4"/>
  </r>
  <r>
    <s v="TXN00698"/>
    <d v="2025-05-18T00:00:00"/>
    <x v="0"/>
    <s v="Paracetamol 650mg"/>
    <x v="0"/>
    <x v="0"/>
    <s v="Micro Labs"/>
    <n v="2"/>
    <n v="32"/>
    <x v="0"/>
    <n v="64"/>
    <x v="4"/>
    <x v="4"/>
  </r>
  <r>
    <s v="TXN00699"/>
    <d v="2025-05-18T00:00:00"/>
    <x v="16"/>
    <s v="Azithromycin 500mg"/>
    <x v="5"/>
    <x v="0"/>
    <s v="Alembic"/>
    <n v="4"/>
    <n v="125"/>
    <x v="3"/>
    <n v="500"/>
    <x v="4"/>
    <x v="4"/>
  </r>
  <r>
    <s v="TXN00700"/>
    <d v="2025-05-18T00:00:00"/>
    <x v="11"/>
    <s v="Amoxicillin+Clavulanate 625mg"/>
    <x v="5"/>
    <x v="0"/>
    <s v="GSK"/>
    <n v="3"/>
    <n v="205"/>
    <x v="0"/>
    <n v="615"/>
    <x v="4"/>
    <x v="4"/>
  </r>
  <r>
    <s v="TXN00701"/>
    <d v="2025-05-18T00:00:00"/>
    <x v="19"/>
    <s v="Metformin 500mg"/>
    <x v="7"/>
    <x v="1"/>
    <s v="Jan Aushadhi"/>
    <n v="3"/>
    <n v="12"/>
    <x v="1"/>
    <n v="36"/>
    <x v="4"/>
    <x v="4"/>
  </r>
  <r>
    <s v="TXN00702"/>
    <d v="2025-05-18T00:00:00"/>
    <x v="24"/>
    <s v="Glimepiride 2mg"/>
    <x v="7"/>
    <x v="0"/>
    <s v="Sanofi"/>
    <n v="3"/>
    <n v="190"/>
    <x v="2"/>
    <n v="570"/>
    <x v="4"/>
    <x v="4"/>
  </r>
  <r>
    <s v="TXN00703"/>
    <d v="2025-05-18T00:00:00"/>
    <x v="31"/>
    <s v="Montelukast+Levocetirizine"/>
    <x v="8"/>
    <x v="1"/>
    <s v="Jan Aushadhi"/>
    <n v="1"/>
    <n v="70"/>
    <x v="3"/>
    <n v="70"/>
    <x v="4"/>
    <x v="4"/>
  </r>
  <r>
    <s v="TXN00704"/>
    <d v="2025-05-19T00:00:00"/>
    <x v="13"/>
    <s v="Metformin 500mg"/>
    <x v="7"/>
    <x v="0"/>
    <s v="USV"/>
    <n v="6"/>
    <n v="32"/>
    <x v="0"/>
    <n v="192"/>
    <x v="4"/>
    <x v="4"/>
  </r>
  <r>
    <s v="TXN00705"/>
    <d v="2025-05-19T00:00:00"/>
    <x v="26"/>
    <s v="Atorvastatin 10mg"/>
    <x v="3"/>
    <x v="1"/>
    <s v="Jan Aushadhi"/>
    <n v="6"/>
    <n v="35"/>
    <x v="0"/>
    <n v="210"/>
    <x v="4"/>
    <x v="4"/>
  </r>
  <r>
    <s v="TXN00706"/>
    <d v="2025-05-19T00:00:00"/>
    <x v="30"/>
    <s v="Telmisartan 40mg"/>
    <x v="1"/>
    <x v="0"/>
    <s v="Glenmark"/>
    <n v="3"/>
    <n v="142"/>
    <x v="0"/>
    <n v="426"/>
    <x v="4"/>
    <x v="4"/>
  </r>
  <r>
    <s v="TXN00707"/>
    <d v="2025-05-19T00:00:00"/>
    <x v="10"/>
    <s v="Cetirizine 10mg"/>
    <x v="6"/>
    <x v="0"/>
    <s v="Cipla"/>
    <n v="4"/>
    <n v="26"/>
    <x v="0"/>
    <n v="104"/>
    <x v="4"/>
    <x v="4"/>
  </r>
  <r>
    <s v="TXN00708"/>
    <d v="2025-05-20T00:00:00"/>
    <x v="11"/>
    <s v="Amoxicillin+Clavulanate 625mg"/>
    <x v="5"/>
    <x v="0"/>
    <s v="GSK"/>
    <n v="2"/>
    <n v="205"/>
    <x v="0"/>
    <n v="410"/>
    <x v="4"/>
    <x v="4"/>
  </r>
  <r>
    <s v="TXN00709"/>
    <d v="2025-05-20T00:00:00"/>
    <x v="6"/>
    <s v="Telmisartan 40mg"/>
    <x v="1"/>
    <x v="1"/>
    <s v="Jan Aushadhi"/>
    <n v="3"/>
    <n v="46"/>
    <x v="2"/>
    <n v="138"/>
    <x v="4"/>
    <x v="4"/>
  </r>
  <r>
    <s v="TXN00710"/>
    <d v="2025-05-20T00:00:00"/>
    <x v="14"/>
    <s v="Pantoprazole 40mg"/>
    <x v="2"/>
    <x v="0"/>
    <s v="Alkem"/>
    <n v="2"/>
    <n v="152"/>
    <x v="0"/>
    <n v="304"/>
    <x v="4"/>
    <x v="4"/>
  </r>
  <r>
    <s v="TXN00711"/>
    <d v="2025-05-20T00:00:00"/>
    <x v="2"/>
    <s v="Omeprazole 20mg"/>
    <x v="2"/>
    <x v="0"/>
    <s v="Dr. Reddy's"/>
    <n v="5"/>
    <n v="58"/>
    <x v="0"/>
    <n v="290"/>
    <x v="4"/>
    <x v="4"/>
  </r>
  <r>
    <s v="TXN00712"/>
    <d v="2025-05-20T00:00:00"/>
    <x v="3"/>
    <s v="Omeprazole 20mg"/>
    <x v="2"/>
    <x v="1"/>
    <s v="Jan Aushadhi"/>
    <n v="1"/>
    <n v="20"/>
    <x v="0"/>
    <n v="20"/>
    <x v="4"/>
    <x v="4"/>
  </r>
  <r>
    <s v="TXN00713"/>
    <d v="2025-05-20T00:00:00"/>
    <x v="9"/>
    <s v="Ibuprofen 400mg"/>
    <x v="0"/>
    <x v="0"/>
    <s v="Abbott"/>
    <n v="2"/>
    <n v="42"/>
    <x v="3"/>
    <n v="84"/>
    <x v="4"/>
    <x v="4"/>
  </r>
  <r>
    <s v="TXN00714"/>
    <d v="2025-05-20T00:00:00"/>
    <x v="23"/>
    <s v="Diclofenac 50mg"/>
    <x v="0"/>
    <x v="0"/>
    <s v="Novartis"/>
    <n v="4"/>
    <n v="62"/>
    <x v="2"/>
    <n v="248"/>
    <x v="4"/>
    <x v="4"/>
  </r>
  <r>
    <s v="TXN00715"/>
    <d v="2025-05-21T00:00:00"/>
    <x v="22"/>
    <s v="Atorvastatin 10mg"/>
    <x v="3"/>
    <x v="0"/>
    <s v="Zydus"/>
    <n v="6"/>
    <n v="92"/>
    <x v="0"/>
    <n v="552"/>
    <x v="4"/>
    <x v="4"/>
  </r>
  <r>
    <s v="TXN00716"/>
    <d v="2025-05-21T00:00:00"/>
    <x v="22"/>
    <s v="Atorvastatin 10mg"/>
    <x v="3"/>
    <x v="0"/>
    <s v="Zydus"/>
    <n v="2"/>
    <n v="92"/>
    <x v="2"/>
    <n v="184"/>
    <x v="4"/>
    <x v="4"/>
  </r>
  <r>
    <s v="TXN00717"/>
    <d v="2025-05-21T00:00:00"/>
    <x v="25"/>
    <s v="Amlodipine 5mg"/>
    <x v="1"/>
    <x v="0"/>
    <s v="Mankind"/>
    <n v="3"/>
    <n v="45"/>
    <x v="0"/>
    <n v="135"/>
    <x v="4"/>
    <x v="4"/>
  </r>
  <r>
    <s v="TXN00718"/>
    <d v="2025-05-21T00:00:00"/>
    <x v="2"/>
    <s v="Omeprazole 20mg"/>
    <x v="2"/>
    <x v="0"/>
    <s v="Dr. Reddy's"/>
    <n v="2"/>
    <n v="58"/>
    <x v="0"/>
    <n v="116"/>
    <x v="4"/>
    <x v="4"/>
  </r>
  <r>
    <s v="TXN00719"/>
    <d v="2025-05-21T00:00:00"/>
    <x v="23"/>
    <s v="Diclofenac 50mg"/>
    <x v="0"/>
    <x v="0"/>
    <s v="Novartis"/>
    <n v="3"/>
    <n v="62"/>
    <x v="0"/>
    <n v="186"/>
    <x v="4"/>
    <x v="4"/>
  </r>
  <r>
    <s v="TXN00720"/>
    <d v="2025-05-22T00:00:00"/>
    <x v="16"/>
    <s v="Azithromycin 500mg"/>
    <x v="5"/>
    <x v="0"/>
    <s v="Alembic"/>
    <n v="4"/>
    <n v="125"/>
    <x v="0"/>
    <n v="500"/>
    <x v="4"/>
    <x v="4"/>
  </r>
  <r>
    <s v="TXN00721"/>
    <d v="2025-05-22T00:00:00"/>
    <x v="25"/>
    <s v="Amlodipine 5mg"/>
    <x v="1"/>
    <x v="0"/>
    <s v="Mankind"/>
    <n v="6"/>
    <n v="45"/>
    <x v="2"/>
    <n v="270"/>
    <x v="4"/>
    <x v="4"/>
  </r>
  <r>
    <s v="TXN00722"/>
    <d v="2025-05-22T00:00:00"/>
    <x v="2"/>
    <s v="Omeprazole 20mg"/>
    <x v="2"/>
    <x v="0"/>
    <s v="Dr. Reddy's"/>
    <n v="1"/>
    <n v="58"/>
    <x v="0"/>
    <n v="58"/>
    <x v="4"/>
    <x v="4"/>
  </r>
  <r>
    <s v="TXN00723"/>
    <d v="2025-05-22T00:00:00"/>
    <x v="3"/>
    <s v="Omeprazole 20mg"/>
    <x v="2"/>
    <x v="1"/>
    <s v="Jan Aushadhi"/>
    <n v="3"/>
    <n v="20"/>
    <x v="1"/>
    <n v="60"/>
    <x v="4"/>
    <x v="4"/>
  </r>
  <r>
    <s v="TXN00724"/>
    <d v="2025-05-22T00:00:00"/>
    <x v="29"/>
    <s v="Diclofenac 50mg"/>
    <x v="0"/>
    <x v="1"/>
    <s v="Jan Aushadhi"/>
    <n v="2"/>
    <n v="20"/>
    <x v="3"/>
    <n v="40"/>
    <x v="4"/>
    <x v="4"/>
  </r>
  <r>
    <s v="TXN00725"/>
    <d v="2025-05-23T00:00:00"/>
    <x v="16"/>
    <s v="Azithromycin 500mg"/>
    <x v="5"/>
    <x v="0"/>
    <s v="Alembic"/>
    <n v="4"/>
    <n v="125"/>
    <x v="0"/>
    <n v="500"/>
    <x v="4"/>
    <x v="4"/>
  </r>
  <r>
    <s v="TXN00726"/>
    <d v="2025-05-23T00:00:00"/>
    <x v="22"/>
    <s v="Atorvastatin 10mg"/>
    <x v="3"/>
    <x v="0"/>
    <s v="Zydus"/>
    <n v="1"/>
    <n v="92"/>
    <x v="2"/>
    <n v="92"/>
    <x v="4"/>
    <x v="4"/>
  </r>
  <r>
    <s v="TXN00727"/>
    <d v="2025-05-23T00:00:00"/>
    <x v="10"/>
    <s v="Cetirizine 10mg"/>
    <x v="6"/>
    <x v="0"/>
    <s v="Cipla"/>
    <n v="1"/>
    <n v="26"/>
    <x v="2"/>
    <n v="26"/>
    <x v="4"/>
    <x v="4"/>
  </r>
  <r>
    <s v="TXN00728"/>
    <d v="2025-05-23T00:00:00"/>
    <x v="21"/>
    <s v="Montelukast+Levocetirizine"/>
    <x v="8"/>
    <x v="0"/>
    <s v="Sun Pharma"/>
    <n v="5"/>
    <n v="182"/>
    <x v="2"/>
    <n v="910"/>
    <x v="4"/>
    <x v="4"/>
  </r>
  <r>
    <s v="TXN00729"/>
    <d v="2025-05-24T00:00:00"/>
    <x v="0"/>
    <s v="Paracetamol 650mg"/>
    <x v="0"/>
    <x v="0"/>
    <s v="Micro Labs"/>
    <n v="2"/>
    <n v="32"/>
    <x v="2"/>
    <n v="64"/>
    <x v="4"/>
    <x v="4"/>
  </r>
  <r>
    <s v="TXN00730"/>
    <d v="2025-05-24T00:00:00"/>
    <x v="11"/>
    <s v="Amoxicillin+Clavulanate 625mg"/>
    <x v="5"/>
    <x v="0"/>
    <s v="GSK"/>
    <n v="5"/>
    <n v="205"/>
    <x v="1"/>
    <n v="1025"/>
    <x v="4"/>
    <x v="4"/>
  </r>
  <r>
    <s v="TXN00731"/>
    <d v="2025-05-24T00:00:00"/>
    <x v="19"/>
    <s v="Metformin 500mg"/>
    <x v="7"/>
    <x v="1"/>
    <s v="Jan Aushadhi"/>
    <n v="3"/>
    <n v="12"/>
    <x v="1"/>
    <n v="36"/>
    <x v="4"/>
    <x v="4"/>
  </r>
  <r>
    <s v="TXN00732"/>
    <d v="2025-05-24T00:00:00"/>
    <x v="14"/>
    <s v="Pantoprazole 40mg"/>
    <x v="2"/>
    <x v="0"/>
    <s v="Alkem"/>
    <n v="5"/>
    <n v="152"/>
    <x v="0"/>
    <n v="760"/>
    <x v="4"/>
    <x v="4"/>
  </r>
  <r>
    <s v="TXN00733"/>
    <d v="2025-05-25T00:00:00"/>
    <x v="17"/>
    <s v="Rosuvastatin 10mg"/>
    <x v="3"/>
    <x v="1"/>
    <s v="Jan Aushadhi"/>
    <n v="6"/>
    <n v="58"/>
    <x v="1"/>
    <n v="348"/>
    <x v="4"/>
    <x v="4"/>
  </r>
  <r>
    <s v="TXN00734"/>
    <d v="2025-05-26T00:00:00"/>
    <x v="8"/>
    <s v="Azithromycin 500mg"/>
    <x v="5"/>
    <x v="1"/>
    <s v="Jan Aushadhi"/>
    <n v="2"/>
    <n v="55"/>
    <x v="0"/>
    <n v="110"/>
    <x v="4"/>
    <x v="4"/>
  </r>
  <r>
    <s v="TXN00735"/>
    <d v="2025-05-26T00:00:00"/>
    <x v="12"/>
    <s v="Amoxicillin+Clavulanate 625mg"/>
    <x v="5"/>
    <x v="1"/>
    <s v="Jan Aushadhi"/>
    <n v="5"/>
    <n v="95"/>
    <x v="0"/>
    <n v="475"/>
    <x v="4"/>
    <x v="4"/>
  </r>
  <r>
    <s v="TXN00736"/>
    <d v="2025-05-26T00:00:00"/>
    <x v="2"/>
    <s v="Omeprazole 20mg"/>
    <x v="2"/>
    <x v="0"/>
    <s v="Dr. Reddy's"/>
    <n v="4"/>
    <n v="58"/>
    <x v="0"/>
    <n v="232"/>
    <x v="4"/>
    <x v="4"/>
  </r>
  <r>
    <s v="TXN00737"/>
    <d v="2025-05-26T00:00:00"/>
    <x v="3"/>
    <s v="Omeprazole 20mg"/>
    <x v="2"/>
    <x v="1"/>
    <s v="Jan Aushadhi"/>
    <n v="3"/>
    <n v="20"/>
    <x v="3"/>
    <n v="60"/>
    <x v="4"/>
    <x v="4"/>
  </r>
  <r>
    <s v="TXN00738"/>
    <d v="2025-05-27T00:00:00"/>
    <x v="0"/>
    <s v="Paracetamol 650mg"/>
    <x v="0"/>
    <x v="0"/>
    <s v="Micro Labs"/>
    <n v="2"/>
    <n v="32"/>
    <x v="0"/>
    <n v="64"/>
    <x v="4"/>
    <x v="4"/>
  </r>
  <r>
    <s v="TXN00739"/>
    <d v="2025-05-27T00:00:00"/>
    <x v="13"/>
    <s v="Metformin 500mg"/>
    <x v="7"/>
    <x v="0"/>
    <s v="USV"/>
    <n v="1"/>
    <n v="32"/>
    <x v="1"/>
    <n v="32"/>
    <x v="4"/>
    <x v="4"/>
  </r>
  <r>
    <s v="TXN00740"/>
    <d v="2025-05-27T00:00:00"/>
    <x v="20"/>
    <s v="Pantoprazole 40mg"/>
    <x v="2"/>
    <x v="1"/>
    <s v="Jan Aushadhi"/>
    <n v="1"/>
    <n v="50"/>
    <x v="1"/>
    <n v="50"/>
    <x v="4"/>
    <x v="4"/>
  </r>
  <r>
    <s v="TXN00741"/>
    <d v="2025-05-27T00:00:00"/>
    <x v="15"/>
    <s v="Cetirizine 10mg"/>
    <x v="6"/>
    <x v="1"/>
    <s v="Jan Aushadhi"/>
    <n v="1"/>
    <n v="8"/>
    <x v="0"/>
    <n v="8"/>
    <x v="4"/>
    <x v="4"/>
  </r>
  <r>
    <s v="TXN00742"/>
    <d v="2025-05-28T00:00:00"/>
    <x v="16"/>
    <s v="Azithromycin 500mg"/>
    <x v="5"/>
    <x v="0"/>
    <s v="Alembic"/>
    <n v="1"/>
    <n v="125"/>
    <x v="2"/>
    <n v="125"/>
    <x v="4"/>
    <x v="4"/>
  </r>
  <r>
    <s v="TXN00743"/>
    <d v="2025-05-28T00:00:00"/>
    <x v="30"/>
    <s v="Telmisartan 40mg"/>
    <x v="1"/>
    <x v="0"/>
    <s v="Glenmark"/>
    <n v="3"/>
    <n v="142"/>
    <x v="0"/>
    <n v="426"/>
    <x v="4"/>
    <x v="4"/>
  </r>
  <r>
    <s v="TXN00744"/>
    <d v="2025-05-29T00:00:00"/>
    <x v="18"/>
    <s v="Paracetamol 650mg"/>
    <x v="0"/>
    <x v="1"/>
    <s v="Jan Aushadhi"/>
    <n v="1"/>
    <n v="14"/>
    <x v="3"/>
    <n v="14"/>
    <x v="4"/>
    <x v="4"/>
  </r>
  <r>
    <s v="TXN00745"/>
    <d v="2025-05-29T00:00:00"/>
    <x v="12"/>
    <s v="Amoxicillin+Clavulanate 625mg"/>
    <x v="5"/>
    <x v="1"/>
    <s v="Jan Aushadhi"/>
    <n v="5"/>
    <n v="95"/>
    <x v="2"/>
    <n v="475"/>
    <x v="4"/>
    <x v="4"/>
  </r>
  <r>
    <s v="TXN00746"/>
    <d v="2025-05-29T00:00:00"/>
    <x v="26"/>
    <s v="Atorvastatin 10mg"/>
    <x v="3"/>
    <x v="1"/>
    <s v="Jan Aushadhi"/>
    <n v="3"/>
    <n v="35"/>
    <x v="0"/>
    <n v="105"/>
    <x v="4"/>
    <x v="4"/>
  </r>
  <r>
    <s v="TXN00747"/>
    <d v="2025-05-29T00:00:00"/>
    <x v="26"/>
    <s v="Atorvastatin 10mg"/>
    <x v="3"/>
    <x v="1"/>
    <s v="Jan Aushadhi"/>
    <n v="12"/>
    <n v="35"/>
    <x v="0"/>
    <n v="420"/>
    <x v="4"/>
    <x v="4"/>
  </r>
  <r>
    <s v="TXN00748"/>
    <d v="2025-05-30T00:00:00"/>
    <x v="0"/>
    <s v="Paracetamol 650mg"/>
    <x v="0"/>
    <x v="0"/>
    <s v="Micro Labs"/>
    <n v="1"/>
    <n v="32"/>
    <x v="1"/>
    <n v="32"/>
    <x v="4"/>
    <x v="4"/>
  </r>
  <r>
    <s v="TXN00749"/>
    <d v="2025-05-30T00:00:00"/>
    <x v="11"/>
    <s v="Amoxicillin+Clavulanate 625mg"/>
    <x v="5"/>
    <x v="0"/>
    <s v="GSK"/>
    <n v="2"/>
    <n v="205"/>
    <x v="2"/>
    <n v="410"/>
    <x v="4"/>
    <x v="4"/>
  </r>
  <r>
    <s v="TXN00750"/>
    <d v="2025-05-30T00:00:00"/>
    <x v="19"/>
    <s v="Metformin 500mg"/>
    <x v="7"/>
    <x v="1"/>
    <s v="Jan Aushadhi"/>
    <n v="3"/>
    <n v="12"/>
    <x v="0"/>
    <n v="36"/>
    <x v="4"/>
    <x v="4"/>
  </r>
  <r>
    <s v="TXN00751"/>
    <d v="2025-05-30T00:00:00"/>
    <x v="28"/>
    <s v="Glimepiride 2mg"/>
    <x v="7"/>
    <x v="1"/>
    <s v="Jan Aushadhi"/>
    <n v="1"/>
    <n v="42"/>
    <x v="3"/>
    <n v="42"/>
    <x v="4"/>
    <x v="4"/>
  </r>
  <r>
    <s v="TXN00752"/>
    <d v="2025-05-30T00:00:00"/>
    <x v="5"/>
    <s v="Rosuvastatin 10mg"/>
    <x v="3"/>
    <x v="0"/>
    <s v="Sun Pharma"/>
    <n v="1"/>
    <n v="165"/>
    <x v="3"/>
    <n v="165"/>
    <x v="4"/>
    <x v="4"/>
  </r>
  <r>
    <s v="TXN00753"/>
    <d v="2025-05-30T00:00:00"/>
    <x v="20"/>
    <s v="Pantoprazole 40mg"/>
    <x v="2"/>
    <x v="1"/>
    <s v="Jan Aushadhi"/>
    <n v="2"/>
    <n v="50"/>
    <x v="3"/>
    <n v="100"/>
    <x v="4"/>
    <x v="4"/>
  </r>
  <r>
    <s v="TXN00754"/>
    <d v="2025-05-30T00:00:00"/>
    <x v="3"/>
    <s v="Omeprazole 20mg"/>
    <x v="2"/>
    <x v="1"/>
    <s v="Jan Aushadhi"/>
    <n v="4"/>
    <n v="20"/>
    <x v="2"/>
    <n v="80"/>
    <x v="4"/>
    <x v="4"/>
  </r>
  <r>
    <s v="TXN00755"/>
    <d v="2025-05-31T00:00:00"/>
    <x v="13"/>
    <s v="Metformin 500mg"/>
    <x v="7"/>
    <x v="0"/>
    <s v="USV"/>
    <n v="6"/>
    <n v="32"/>
    <x v="0"/>
    <n v="192"/>
    <x v="4"/>
    <x v="4"/>
  </r>
  <r>
    <s v="TXN00756"/>
    <d v="2025-05-31T00:00:00"/>
    <x v="13"/>
    <s v="Metformin 500mg"/>
    <x v="7"/>
    <x v="0"/>
    <s v="USV"/>
    <n v="12"/>
    <n v="32"/>
    <x v="0"/>
    <n v="384"/>
    <x v="4"/>
    <x v="4"/>
  </r>
  <r>
    <s v="TXN00757"/>
    <d v="2025-05-31T00:00:00"/>
    <x v="19"/>
    <s v="Metformin 500mg"/>
    <x v="7"/>
    <x v="1"/>
    <s v="Jan Aushadhi"/>
    <n v="2"/>
    <n v="12"/>
    <x v="2"/>
    <n v="24"/>
    <x v="4"/>
    <x v="4"/>
  </r>
  <r>
    <s v="TXN00758"/>
    <d v="2025-05-31T00:00:00"/>
    <x v="19"/>
    <s v="Metformin 500mg"/>
    <x v="7"/>
    <x v="1"/>
    <s v="Jan Aushadhi"/>
    <n v="6"/>
    <n v="12"/>
    <x v="0"/>
    <n v="72"/>
    <x v="4"/>
    <x v="4"/>
  </r>
  <r>
    <s v="TXN00759"/>
    <d v="2025-05-31T00:00:00"/>
    <x v="22"/>
    <s v="Atorvastatin 10mg"/>
    <x v="3"/>
    <x v="0"/>
    <s v="Zydus"/>
    <n v="3"/>
    <n v="92"/>
    <x v="0"/>
    <n v="276"/>
    <x v="4"/>
    <x v="4"/>
  </r>
  <r>
    <s v="TXN00760"/>
    <d v="2025-05-31T00:00:00"/>
    <x v="25"/>
    <s v="Amlodipine 5mg"/>
    <x v="1"/>
    <x v="0"/>
    <s v="Mankind"/>
    <n v="3"/>
    <n v="45"/>
    <x v="2"/>
    <n v="135"/>
    <x v="4"/>
    <x v="4"/>
  </r>
  <r>
    <s v="TXN00761"/>
    <d v="2025-05-31T00:00:00"/>
    <x v="6"/>
    <s v="Telmisartan 40mg"/>
    <x v="1"/>
    <x v="1"/>
    <s v="Jan Aushadhi"/>
    <n v="2"/>
    <n v="46"/>
    <x v="0"/>
    <n v="92"/>
    <x v="4"/>
    <x v="4"/>
  </r>
  <r>
    <s v="TXN00762"/>
    <d v="2025-05-31T00:00:00"/>
    <x v="20"/>
    <s v="Pantoprazole 40mg"/>
    <x v="2"/>
    <x v="1"/>
    <s v="Jan Aushadhi"/>
    <n v="2"/>
    <n v="50"/>
    <x v="0"/>
    <n v="100"/>
    <x v="4"/>
    <x v="4"/>
  </r>
  <r>
    <s v="TXN00763"/>
    <d v="2025-06-01T00:00:00"/>
    <x v="0"/>
    <s v="Paracetamol 650mg"/>
    <x v="0"/>
    <x v="0"/>
    <s v="Micro Labs"/>
    <n v="2"/>
    <n v="32"/>
    <x v="2"/>
    <n v="64"/>
    <x v="5"/>
    <x v="5"/>
  </r>
  <r>
    <s v="TXN00764"/>
    <d v="2025-06-01T00:00:00"/>
    <x v="16"/>
    <s v="Azithromycin 500mg"/>
    <x v="5"/>
    <x v="0"/>
    <s v="Alembic"/>
    <n v="1"/>
    <n v="125"/>
    <x v="0"/>
    <n v="125"/>
    <x v="5"/>
    <x v="5"/>
  </r>
  <r>
    <s v="TXN00765"/>
    <d v="2025-06-01T00:00:00"/>
    <x v="8"/>
    <s v="Azithromycin 500mg"/>
    <x v="5"/>
    <x v="1"/>
    <s v="Jan Aushadhi"/>
    <n v="1"/>
    <n v="55"/>
    <x v="0"/>
    <n v="55"/>
    <x v="5"/>
    <x v="5"/>
  </r>
  <r>
    <s v="TXN00766"/>
    <d v="2025-06-01T00:00:00"/>
    <x v="28"/>
    <s v="Glimepiride 2mg"/>
    <x v="7"/>
    <x v="1"/>
    <s v="Jan Aushadhi"/>
    <n v="3"/>
    <n v="42"/>
    <x v="2"/>
    <n v="126"/>
    <x v="5"/>
    <x v="5"/>
  </r>
  <r>
    <s v="TXN00767"/>
    <d v="2025-06-01T00:00:00"/>
    <x v="30"/>
    <s v="Telmisartan 40mg"/>
    <x v="1"/>
    <x v="0"/>
    <s v="Glenmark"/>
    <n v="2"/>
    <n v="142"/>
    <x v="1"/>
    <n v="284"/>
    <x v="5"/>
    <x v="5"/>
  </r>
  <r>
    <s v="TXN00768"/>
    <d v="2025-06-01T00:00:00"/>
    <x v="23"/>
    <s v="Diclofenac 50mg"/>
    <x v="0"/>
    <x v="0"/>
    <s v="Novartis"/>
    <n v="5"/>
    <n v="62"/>
    <x v="0"/>
    <n v="310"/>
    <x v="5"/>
    <x v="5"/>
  </r>
  <r>
    <s v="TXN00769"/>
    <d v="2025-06-01T00:00:00"/>
    <x v="27"/>
    <s v="Vitamin B-Complex"/>
    <x v="4"/>
    <x v="1"/>
    <s v="Jan Aushadhi"/>
    <n v="4"/>
    <n v="18"/>
    <x v="2"/>
    <n v="72"/>
    <x v="5"/>
    <x v="5"/>
  </r>
  <r>
    <s v="TXN00770"/>
    <d v="2025-06-02T00:00:00"/>
    <x v="8"/>
    <s v="Azithromycin 500mg"/>
    <x v="5"/>
    <x v="1"/>
    <s v="Jan Aushadhi"/>
    <n v="1"/>
    <n v="55"/>
    <x v="0"/>
    <n v="55"/>
    <x v="5"/>
    <x v="5"/>
  </r>
  <r>
    <s v="TXN00771"/>
    <d v="2025-06-02T00:00:00"/>
    <x v="1"/>
    <s v="Amlodipine 5mg"/>
    <x v="1"/>
    <x v="1"/>
    <s v="Jan Aushadhi"/>
    <n v="3"/>
    <n v="15"/>
    <x v="0"/>
    <n v="45"/>
    <x v="5"/>
    <x v="5"/>
  </r>
  <r>
    <s v="TXN00772"/>
    <d v="2025-06-02T00:00:00"/>
    <x v="6"/>
    <s v="Telmisartan 40mg"/>
    <x v="1"/>
    <x v="1"/>
    <s v="Jan Aushadhi"/>
    <n v="2"/>
    <n v="46"/>
    <x v="1"/>
    <n v="92"/>
    <x v="5"/>
    <x v="5"/>
  </r>
  <r>
    <s v="TXN00773"/>
    <d v="2025-06-02T00:00:00"/>
    <x v="9"/>
    <s v="Ibuprofen 400mg"/>
    <x v="0"/>
    <x v="0"/>
    <s v="Abbott"/>
    <n v="5"/>
    <n v="42"/>
    <x v="0"/>
    <n v="210"/>
    <x v="5"/>
    <x v="5"/>
  </r>
  <r>
    <s v="TXN00774"/>
    <d v="2025-06-02T00:00:00"/>
    <x v="23"/>
    <s v="Diclofenac 50mg"/>
    <x v="0"/>
    <x v="0"/>
    <s v="Novartis"/>
    <n v="2"/>
    <n v="62"/>
    <x v="0"/>
    <n v="124"/>
    <x v="5"/>
    <x v="5"/>
  </r>
  <r>
    <s v="TXN00775"/>
    <d v="2025-06-03T00:00:00"/>
    <x v="16"/>
    <s v="Azithromycin 500mg"/>
    <x v="5"/>
    <x v="0"/>
    <s v="Alembic"/>
    <n v="1"/>
    <n v="125"/>
    <x v="3"/>
    <n v="125"/>
    <x v="5"/>
    <x v="5"/>
  </r>
  <r>
    <s v="TXN00776"/>
    <d v="2025-06-03T00:00:00"/>
    <x v="11"/>
    <s v="Amoxicillin+Clavulanate 625mg"/>
    <x v="5"/>
    <x v="0"/>
    <s v="GSK"/>
    <n v="3"/>
    <n v="205"/>
    <x v="2"/>
    <n v="615"/>
    <x v="5"/>
    <x v="5"/>
  </r>
  <r>
    <s v="TXN00777"/>
    <d v="2025-06-03T00:00:00"/>
    <x v="12"/>
    <s v="Amoxicillin+Clavulanate 625mg"/>
    <x v="5"/>
    <x v="1"/>
    <s v="Jan Aushadhi"/>
    <n v="1"/>
    <n v="95"/>
    <x v="0"/>
    <n v="95"/>
    <x v="5"/>
    <x v="5"/>
  </r>
  <r>
    <s v="TXN00778"/>
    <d v="2025-06-03T00:00:00"/>
    <x v="19"/>
    <s v="Metformin 500mg"/>
    <x v="7"/>
    <x v="1"/>
    <s v="Jan Aushadhi"/>
    <n v="2"/>
    <n v="12"/>
    <x v="3"/>
    <n v="24"/>
    <x v="5"/>
    <x v="5"/>
  </r>
  <r>
    <s v="TXN00779"/>
    <d v="2025-06-03T00:00:00"/>
    <x v="22"/>
    <s v="Atorvastatin 10mg"/>
    <x v="3"/>
    <x v="0"/>
    <s v="Zydus"/>
    <n v="12"/>
    <n v="92"/>
    <x v="3"/>
    <n v="1104"/>
    <x v="5"/>
    <x v="5"/>
  </r>
  <r>
    <s v="TXN00780"/>
    <d v="2025-06-03T00:00:00"/>
    <x v="14"/>
    <s v="Pantoprazole 40mg"/>
    <x v="2"/>
    <x v="0"/>
    <s v="Alkem"/>
    <n v="1"/>
    <n v="152"/>
    <x v="1"/>
    <n v="152"/>
    <x v="5"/>
    <x v="5"/>
  </r>
  <r>
    <s v="TXN00781"/>
    <d v="2025-06-03T00:00:00"/>
    <x v="7"/>
    <s v="Vitamin B-Complex"/>
    <x v="4"/>
    <x v="0"/>
    <s v="Pfizer"/>
    <n v="3"/>
    <n v="46"/>
    <x v="1"/>
    <n v="138"/>
    <x v="5"/>
    <x v="5"/>
  </r>
  <r>
    <s v="TXN00782"/>
    <d v="2025-06-04T00:00:00"/>
    <x v="0"/>
    <s v="Paracetamol 650mg"/>
    <x v="0"/>
    <x v="0"/>
    <s v="Micro Labs"/>
    <n v="1"/>
    <n v="32"/>
    <x v="3"/>
    <n v="32"/>
    <x v="5"/>
    <x v="5"/>
  </r>
  <r>
    <s v="TXN00783"/>
    <d v="2025-06-04T00:00:00"/>
    <x v="12"/>
    <s v="Amoxicillin+Clavulanate 625mg"/>
    <x v="5"/>
    <x v="1"/>
    <s v="Jan Aushadhi"/>
    <n v="1"/>
    <n v="95"/>
    <x v="0"/>
    <n v="95"/>
    <x v="5"/>
    <x v="5"/>
  </r>
  <r>
    <s v="TXN00784"/>
    <d v="2025-06-04T00:00:00"/>
    <x v="26"/>
    <s v="Atorvastatin 10mg"/>
    <x v="3"/>
    <x v="1"/>
    <s v="Jan Aushadhi"/>
    <n v="6"/>
    <n v="35"/>
    <x v="2"/>
    <n v="210"/>
    <x v="5"/>
    <x v="5"/>
  </r>
  <r>
    <s v="TXN00785"/>
    <d v="2025-06-04T00:00:00"/>
    <x v="17"/>
    <s v="Rosuvastatin 10mg"/>
    <x v="3"/>
    <x v="1"/>
    <s v="Jan Aushadhi"/>
    <n v="2"/>
    <n v="58"/>
    <x v="2"/>
    <n v="116"/>
    <x v="5"/>
    <x v="5"/>
  </r>
  <r>
    <s v="TXN00786"/>
    <d v="2025-06-04T00:00:00"/>
    <x v="2"/>
    <s v="Omeprazole 20mg"/>
    <x v="2"/>
    <x v="0"/>
    <s v="Dr. Reddy's"/>
    <n v="1"/>
    <n v="58"/>
    <x v="2"/>
    <n v="58"/>
    <x v="5"/>
    <x v="5"/>
  </r>
  <r>
    <s v="TXN00787"/>
    <d v="2025-06-05T00:00:00"/>
    <x v="0"/>
    <s v="Paracetamol 650mg"/>
    <x v="0"/>
    <x v="0"/>
    <s v="Micro Labs"/>
    <n v="2"/>
    <n v="32"/>
    <x v="2"/>
    <n v="64"/>
    <x v="5"/>
    <x v="5"/>
  </r>
  <r>
    <s v="TXN00788"/>
    <d v="2025-06-05T00:00:00"/>
    <x v="18"/>
    <s v="Paracetamol 650mg"/>
    <x v="0"/>
    <x v="1"/>
    <s v="Jan Aushadhi"/>
    <n v="1"/>
    <n v="14"/>
    <x v="0"/>
    <n v="14"/>
    <x v="5"/>
    <x v="5"/>
  </r>
  <r>
    <s v="TXN00789"/>
    <d v="2025-06-05T00:00:00"/>
    <x v="22"/>
    <s v="Atorvastatin 10mg"/>
    <x v="3"/>
    <x v="0"/>
    <s v="Zydus"/>
    <n v="3"/>
    <n v="92"/>
    <x v="2"/>
    <n v="276"/>
    <x v="5"/>
    <x v="5"/>
  </r>
  <r>
    <s v="TXN00790"/>
    <d v="2025-06-05T00:00:00"/>
    <x v="14"/>
    <s v="Pantoprazole 40mg"/>
    <x v="2"/>
    <x v="0"/>
    <s v="Alkem"/>
    <n v="2"/>
    <n v="152"/>
    <x v="0"/>
    <n v="304"/>
    <x v="5"/>
    <x v="5"/>
  </r>
  <r>
    <s v="TXN00791"/>
    <d v="2025-06-05T00:00:00"/>
    <x v="14"/>
    <s v="Pantoprazole 40mg"/>
    <x v="2"/>
    <x v="0"/>
    <s v="Alkem"/>
    <n v="1"/>
    <n v="152"/>
    <x v="2"/>
    <n v="152"/>
    <x v="5"/>
    <x v="5"/>
  </r>
  <r>
    <s v="TXN00792"/>
    <d v="2025-06-05T00:00:00"/>
    <x v="20"/>
    <s v="Pantoprazole 40mg"/>
    <x v="2"/>
    <x v="1"/>
    <s v="Jan Aushadhi"/>
    <n v="1"/>
    <n v="50"/>
    <x v="0"/>
    <n v="50"/>
    <x v="5"/>
    <x v="5"/>
  </r>
  <r>
    <s v="TXN00793"/>
    <d v="2025-06-05T00:00:00"/>
    <x v="29"/>
    <s v="Diclofenac 50mg"/>
    <x v="0"/>
    <x v="1"/>
    <s v="Jan Aushadhi"/>
    <n v="1"/>
    <n v="20"/>
    <x v="3"/>
    <n v="20"/>
    <x v="5"/>
    <x v="5"/>
  </r>
  <r>
    <s v="TXN00794"/>
    <d v="2025-06-06T00:00:00"/>
    <x v="0"/>
    <s v="Paracetamol 650mg"/>
    <x v="0"/>
    <x v="0"/>
    <s v="Micro Labs"/>
    <n v="5"/>
    <n v="32"/>
    <x v="1"/>
    <n v="160"/>
    <x v="5"/>
    <x v="5"/>
  </r>
  <r>
    <s v="TXN00795"/>
    <d v="2025-06-06T00:00:00"/>
    <x v="26"/>
    <s v="Atorvastatin 10mg"/>
    <x v="3"/>
    <x v="1"/>
    <s v="Jan Aushadhi"/>
    <n v="1"/>
    <n v="35"/>
    <x v="0"/>
    <n v="35"/>
    <x v="5"/>
    <x v="5"/>
  </r>
  <r>
    <s v="TXN00796"/>
    <d v="2025-06-06T00:00:00"/>
    <x v="14"/>
    <s v="Pantoprazole 40mg"/>
    <x v="2"/>
    <x v="0"/>
    <s v="Alkem"/>
    <n v="5"/>
    <n v="152"/>
    <x v="0"/>
    <n v="760"/>
    <x v="5"/>
    <x v="5"/>
  </r>
  <r>
    <s v="TXN00797"/>
    <d v="2025-06-06T00:00:00"/>
    <x v="15"/>
    <s v="Cetirizine 10mg"/>
    <x v="6"/>
    <x v="1"/>
    <s v="Jan Aushadhi"/>
    <n v="2"/>
    <n v="8"/>
    <x v="0"/>
    <n v="16"/>
    <x v="5"/>
    <x v="5"/>
  </r>
  <r>
    <s v="TXN00798"/>
    <d v="2025-06-06T00:00:00"/>
    <x v="23"/>
    <s v="Diclofenac 50mg"/>
    <x v="0"/>
    <x v="0"/>
    <s v="Novartis"/>
    <n v="5"/>
    <n v="62"/>
    <x v="2"/>
    <n v="310"/>
    <x v="5"/>
    <x v="5"/>
  </r>
  <r>
    <s v="TXN00799"/>
    <d v="2025-06-06T00:00:00"/>
    <x v="29"/>
    <s v="Diclofenac 50mg"/>
    <x v="0"/>
    <x v="1"/>
    <s v="Jan Aushadhi"/>
    <n v="3"/>
    <n v="20"/>
    <x v="2"/>
    <n v="60"/>
    <x v="5"/>
    <x v="5"/>
  </r>
  <r>
    <s v="TXN00800"/>
    <d v="2025-06-06T00:00:00"/>
    <x v="7"/>
    <s v="Vitamin B-Complex"/>
    <x v="4"/>
    <x v="0"/>
    <s v="Pfizer"/>
    <n v="3"/>
    <n v="46"/>
    <x v="1"/>
    <n v="138"/>
    <x v="5"/>
    <x v="5"/>
  </r>
  <r>
    <s v="TXN00801"/>
    <d v="2025-06-06T00:00:00"/>
    <x v="27"/>
    <s v="Vitamin B-Complex"/>
    <x v="4"/>
    <x v="1"/>
    <s v="Jan Aushadhi"/>
    <n v="3"/>
    <n v="18"/>
    <x v="0"/>
    <n v="54"/>
    <x v="5"/>
    <x v="5"/>
  </r>
  <r>
    <s v="TXN00802"/>
    <d v="2025-06-07T00:00:00"/>
    <x v="19"/>
    <s v="Metformin 500mg"/>
    <x v="7"/>
    <x v="1"/>
    <s v="Jan Aushadhi"/>
    <n v="1"/>
    <n v="12"/>
    <x v="2"/>
    <n v="12"/>
    <x v="5"/>
    <x v="5"/>
  </r>
  <r>
    <s v="TXN00803"/>
    <d v="2025-06-07T00:00:00"/>
    <x v="20"/>
    <s v="Pantoprazole 40mg"/>
    <x v="2"/>
    <x v="1"/>
    <s v="Jan Aushadhi"/>
    <n v="5"/>
    <n v="50"/>
    <x v="0"/>
    <n v="250"/>
    <x v="5"/>
    <x v="5"/>
  </r>
  <r>
    <s v="TXN00804"/>
    <d v="2025-06-07T00:00:00"/>
    <x v="21"/>
    <s v="Montelukast+Levocetirizine"/>
    <x v="8"/>
    <x v="0"/>
    <s v="Sun Pharma"/>
    <n v="2"/>
    <n v="182"/>
    <x v="3"/>
    <n v="364"/>
    <x v="5"/>
    <x v="5"/>
  </r>
  <r>
    <s v="TXN00805"/>
    <d v="2025-06-07T00:00:00"/>
    <x v="29"/>
    <s v="Diclofenac 50mg"/>
    <x v="0"/>
    <x v="1"/>
    <s v="Jan Aushadhi"/>
    <n v="1"/>
    <n v="20"/>
    <x v="1"/>
    <n v="20"/>
    <x v="5"/>
    <x v="5"/>
  </r>
  <r>
    <s v="TXN00806"/>
    <d v="2025-06-08T00:00:00"/>
    <x v="24"/>
    <s v="Glimepiride 2mg"/>
    <x v="7"/>
    <x v="0"/>
    <s v="Sanofi"/>
    <n v="6"/>
    <n v="190"/>
    <x v="2"/>
    <n v="1140"/>
    <x v="5"/>
    <x v="5"/>
  </r>
  <r>
    <s v="TXN00807"/>
    <d v="2025-06-08T00:00:00"/>
    <x v="25"/>
    <s v="Amlodipine 5mg"/>
    <x v="1"/>
    <x v="0"/>
    <s v="Mankind"/>
    <n v="3"/>
    <n v="45"/>
    <x v="1"/>
    <n v="135"/>
    <x v="5"/>
    <x v="5"/>
  </r>
  <r>
    <s v="TXN00808"/>
    <d v="2025-06-08T00:00:00"/>
    <x v="9"/>
    <s v="Ibuprofen 400mg"/>
    <x v="0"/>
    <x v="0"/>
    <s v="Abbott"/>
    <n v="2"/>
    <n v="42"/>
    <x v="3"/>
    <n v="84"/>
    <x v="5"/>
    <x v="5"/>
  </r>
  <r>
    <s v="TXN00809"/>
    <d v="2025-06-09T00:00:00"/>
    <x v="0"/>
    <s v="Paracetamol 650mg"/>
    <x v="0"/>
    <x v="0"/>
    <s v="Micro Labs"/>
    <n v="2"/>
    <n v="32"/>
    <x v="0"/>
    <n v="64"/>
    <x v="5"/>
    <x v="5"/>
  </r>
  <r>
    <s v="TXN00810"/>
    <d v="2025-06-09T00:00:00"/>
    <x v="17"/>
    <s v="Rosuvastatin 10mg"/>
    <x v="3"/>
    <x v="1"/>
    <s v="Jan Aushadhi"/>
    <n v="2"/>
    <n v="58"/>
    <x v="1"/>
    <n v="116"/>
    <x v="5"/>
    <x v="5"/>
  </r>
  <r>
    <s v="TXN00811"/>
    <d v="2025-06-09T00:00:00"/>
    <x v="14"/>
    <s v="Pantoprazole 40mg"/>
    <x v="2"/>
    <x v="0"/>
    <s v="Alkem"/>
    <n v="2"/>
    <n v="152"/>
    <x v="0"/>
    <n v="304"/>
    <x v="5"/>
    <x v="5"/>
  </r>
  <r>
    <s v="TXN00812"/>
    <d v="2025-06-09T00:00:00"/>
    <x v="20"/>
    <s v="Pantoprazole 40mg"/>
    <x v="2"/>
    <x v="1"/>
    <s v="Jan Aushadhi"/>
    <n v="1"/>
    <n v="50"/>
    <x v="0"/>
    <n v="50"/>
    <x v="5"/>
    <x v="5"/>
  </r>
  <r>
    <s v="TXN00813"/>
    <d v="2025-06-09T00:00:00"/>
    <x v="2"/>
    <s v="Omeprazole 20mg"/>
    <x v="2"/>
    <x v="0"/>
    <s v="Dr. Reddy's"/>
    <n v="1"/>
    <n v="58"/>
    <x v="0"/>
    <n v="58"/>
    <x v="5"/>
    <x v="5"/>
  </r>
  <r>
    <s v="TXN00814"/>
    <d v="2025-06-09T00:00:00"/>
    <x v="3"/>
    <s v="Omeprazole 20mg"/>
    <x v="2"/>
    <x v="1"/>
    <s v="Jan Aushadhi"/>
    <n v="1"/>
    <n v="20"/>
    <x v="2"/>
    <n v="20"/>
    <x v="5"/>
    <x v="5"/>
  </r>
  <r>
    <s v="TXN00815"/>
    <d v="2025-06-09T00:00:00"/>
    <x v="21"/>
    <s v="Montelukast+Levocetirizine"/>
    <x v="8"/>
    <x v="0"/>
    <s v="Sun Pharma"/>
    <n v="4"/>
    <n v="182"/>
    <x v="0"/>
    <n v="728"/>
    <x v="5"/>
    <x v="5"/>
  </r>
  <r>
    <s v="TXN00816"/>
    <d v="2025-06-10T00:00:00"/>
    <x v="19"/>
    <s v="Metformin 500mg"/>
    <x v="7"/>
    <x v="1"/>
    <s v="Jan Aushadhi"/>
    <n v="6"/>
    <n v="12"/>
    <x v="0"/>
    <n v="72"/>
    <x v="5"/>
    <x v="5"/>
  </r>
  <r>
    <s v="TXN00817"/>
    <d v="2025-06-10T00:00:00"/>
    <x v="26"/>
    <s v="Atorvastatin 10mg"/>
    <x v="3"/>
    <x v="1"/>
    <s v="Jan Aushadhi"/>
    <n v="12"/>
    <n v="35"/>
    <x v="1"/>
    <n v="420"/>
    <x v="5"/>
    <x v="5"/>
  </r>
  <r>
    <s v="TXN00818"/>
    <d v="2025-06-10T00:00:00"/>
    <x v="30"/>
    <s v="Telmisartan 40mg"/>
    <x v="1"/>
    <x v="0"/>
    <s v="Glenmark"/>
    <n v="1"/>
    <n v="142"/>
    <x v="0"/>
    <n v="142"/>
    <x v="5"/>
    <x v="5"/>
  </r>
  <r>
    <s v="TXN00819"/>
    <d v="2025-06-10T00:00:00"/>
    <x v="27"/>
    <s v="Vitamin B-Complex"/>
    <x v="4"/>
    <x v="1"/>
    <s v="Jan Aushadhi"/>
    <n v="1"/>
    <n v="18"/>
    <x v="1"/>
    <n v="18"/>
    <x v="5"/>
    <x v="5"/>
  </r>
  <r>
    <s v="TXN00820"/>
    <d v="2025-06-11T00:00:00"/>
    <x v="8"/>
    <s v="Azithromycin 500mg"/>
    <x v="5"/>
    <x v="1"/>
    <s v="Jan Aushadhi"/>
    <n v="2"/>
    <n v="55"/>
    <x v="3"/>
    <n v="110"/>
    <x v="5"/>
    <x v="5"/>
  </r>
  <r>
    <s v="TXN00821"/>
    <d v="2025-06-11T00:00:00"/>
    <x v="19"/>
    <s v="Metformin 500mg"/>
    <x v="7"/>
    <x v="1"/>
    <s v="Jan Aushadhi"/>
    <n v="1"/>
    <n v="12"/>
    <x v="1"/>
    <n v="12"/>
    <x v="5"/>
    <x v="5"/>
  </r>
  <r>
    <s v="TXN00822"/>
    <d v="2025-06-11T00:00:00"/>
    <x v="25"/>
    <s v="Amlodipine 5mg"/>
    <x v="1"/>
    <x v="0"/>
    <s v="Mankind"/>
    <n v="3"/>
    <n v="45"/>
    <x v="0"/>
    <n v="135"/>
    <x v="5"/>
    <x v="5"/>
  </r>
  <r>
    <s v="TXN00823"/>
    <d v="2025-06-11T00:00:00"/>
    <x v="9"/>
    <s v="Ibuprofen 400mg"/>
    <x v="0"/>
    <x v="0"/>
    <s v="Abbott"/>
    <n v="2"/>
    <n v="42"/>
    <x v="0"/>
    <n v="84"/>
    <x v="5"/>
    <x v="5"/>
  </r>
  <r>
    <s v="TXN00824"/>
    <d v="2025-06-11T00:00:00"/>
    <x v="7"/>
    <s v="Vitamin B-Complex"/>
    <x v="4"/>
    <x v="0"/>
    <s v="Pfizer"/>
    <n v="1"/>
    <n v="46"/>
    <x v="1"/>
    <n v="46"/>
    <x v="5"/>
    <x v="5"/>
  </r>
  <r>
    <s v="TXN00825"/>
    <d v="2025-06-12T00:00:00"/>
    <x v="11"/>
    <s v="Amoxicillin+Clavulanate 625mg"/>
    <x v="5"/>
    <x v="0"/>
    <s v="GSK"/>
    <n v="1"/>
    <n v="205"/>
    <x v="0"/>
    <n v="205"/>
    <x v="5"/>
    <x v="5"/>
  </r>
  <r>
    <s v="TXN00826"/>
    <d v="2025-06-12T00:00:00"/>
    <x v="26"/>
    <s v="Atorvastatin 10mg"/>
    <x v="3"/>
    <x v="1"/>
    <s v="Jan Aushadhi"/>
    <n v="2"/>
    <n v="35"/>
    <x v="1"/>
    <n v="70"/>
    <x v="5"/>
    <x v="5"/>
  </r>
  <r>
    <s v="TXN00827"/>
    <d v="2025-06-12T00:00:00"/>
    <x v="5"/>
    <s v="Rosuvastatin 10mg"/>
    <x v="3"/>
    <x v="0"/>
    <s v="Sun Pharma"/>
    <n v="1"/>
    <n v="165"/>
    <x v="0"/>
    <n v="165"/>
    <x v="5"/>
    <x v="5"/>
  </r>
  <r>
    <s v="TXN00828"/>
    <d v="2025-06-12T00:00:00"/>
    <x v="25"/>
    <s v="Amlodipine 5mg"/>
    <x v="1"/>
    <x v="0"/>
    <s v="Mankind"/>
    <n v="3"/>
    <n v="45"/>
    <x v="2"/>
    <n v="135"/>
    <x v="5"/>
    <x v="5"/>
  </r>
  <r>
    <s v="TXN00829"/>
    <d v="2025-06-12T00:00:00"/>
    <x v="20"/>
    <s v="Pantoprazole 40mg"/>
    <x v="2"/>
    <x v="1"/>
    <s v="Jan Aushadhi"/>
    <n v="4"/>
    <n v="50"/>
    <x v="2"/>
    <n v="200"/>
    <x v="5"/>
    <x v="5"/>
  </r>
  <r>
    <s v="TXN00830"/>
    <d v="2025-06-12T00:00:00"/>
    <x v="4"/>
    <s v="Ibuprofen 400mg"/>
    <x v="0"/>
    <x v="1"/>
    <s v="Jan Aushadhi"/>
    <n v="1"/>
    <n v="15"/>
    <x v="1"/>
    <n v="15"/>
    <x v="5"/>
    <x v="5"/>
  </r>
  <r>
    <s v="TXN00831"/>
    <d v="2025-06-12T00:00:00"/>
    <x v="4"/>
    <s v="Ibuprofen 400mg"/>
    <x v="0"/>
    <x v="1"/>
    <s v="Jan Aushadhi"/>
    <n v="1"/>
    <n v="15"/>
    <x v="0"/>
    <n v="15"/>
    <x v="5"/>
    <x v="5"/>
  </r>
  <r>
    <s v="TXN00832"/>
    <d v="2025-06-13T00:00:00"/>
    <x v="18"/>
    <s v="Paracetamol 650mg"/>
    <x v="0"/>
    <x v="1"/>
    <s v="Jan Aushadhi"/>
    <n v="5"/>
    <n v="14"/>
    <x v="3"/>
    <n v="70"/>
    <x v="5"/>
    <x v="5"/>
  </r>
  <r>
    <s v="TXN00833"/>
    <d v="2025-06-13T00:00:00"/>
    <x v="16"/>
    <s v="Azithromycin 500mg"/>
    <x v="5"/>
    <x v="0"/>
    <s v="Alembic"/>
    <n v="2"/>
    <n v="125"/>
    <x v="0"/>
    <n v="250"/>
    <x v="5"/>
    <x v="5"/>
  </r>
  <r>
    <s v="TXN00834"/>
    <d v="2025-06-13T00:00:00"/>
    <x v="24"/>
    <s v="Glimepiride 2mg"/>
    <x v="7"/>
    <x v="0"/>
    <s v="Sanofi"/>
    <n v="3"/>
    <n v="190"/>
    <x v="3"/>
    <n v="570"/>
    <x v="5"/>
    <x v="5"/>
  </r>
  <r>
    <s v="TXN00835"/>
    <d v="2025-06-13T00:00:00"/>
    <x v="22"/>
    <s v="Atorvastatin 10mg"/>
    <x v="3"/>
    <x v="0"/>
    <s v="Zydus"/>
    <n v="6"/>
    <n v="92"/>
    <x v="1"/>
    <n v="552"/>
    <x v="5"/>
    <x v="5"/>
  </r>
  <r>
    <s v="TXN00836"/>
    <d v="2025-06-13T00:00:00"/>
    <x v="10"/>
    <s v="Cetirizine 10mg"/>
    <x v="6"/>
    <x v="0"/>
    <s v="Cipla"/>
    <n v="4"/>
    <n v="26"/>
    <x v="0"/>
    <n v="104"/>
    <x v="5"/>
    <x v="5"/>
  </r>
  <r>
    <s v="TXN00837"/>
    <d v="2025-06-13T00:00:00"/>
    <x v="7"/>
    <s v="Vitamin B-Complex"/>
    <x v="4"/>
    <x v="0"/>
    <s v="Pfizer"/>
    <n v="1"/>
    <n v="46"/>
    <x v="0"/>
    <n v="46"/>
    <x v="5"/>
    <x v="5"/>
  </r>
  <r>
    <s v="TXN00838"/>
    <d v="2025-06-14T00:00:00"/>
    <x v="0"/>
    <s v="Paracetamol 650mg"/>
    <x v="0"/>
    <x v="0"/>
    <s v="Micro Labs"/>
    <n v="1"/>
    <n v="32"/>
    <x v="1"/>
    <n v="32"/>
    <x v="5"/>
    <x v="5"/>
  </r>
  <r>
    <s v="TXN00839"/>
    <d v="2025-06-14T00:00:00"/>
    <x v="11"/>
    <s v="Amoxicillin+Clavulanate 625mg"/>
    <x v="5"/>
    <x v="0"/>
    <s v="GSK"/>
    <n v="2"/>
    <n v="205"/>
    <x v="0"/>
    <n v="410"/>
    <x v="5"/>
    <x v="5"/>
  </r>
  <r>
    <s v="TXN00840"/>
    <d v="2025-06-14T00:00:00"/>
    <x v="30"/>
    <s v="Telmisartan 40mg"/>
    <x v="1"/>
    <x v="0"/>
    <s v="Glenmark"/>
    <n v="3"/>
    <n v="142"/>
    <x v="1"/>
    <n v="426"/>
    <x v="5"/>
    <x v="5"/>
  </r>
  <r>
    <s v="TXN00841"/>
    <d v="2025-06-14T00:00:00"/>
    <x v="14"/>
    <s v="Pantoprazole 40mg"/>
    <x v="2"/>
    <x v="0"/>
    <s v="Alkem"/>
    <n v="1"/>
    <n v="152"/>
    <x v="0"/>
    <n v="152"/>
    <x v="5"/>
    <x v="5"/>
  </r>
  <r>
    <s v="TXN00842"/>
    <d v="2025-06-14T00:00:00"/>
    <x v="10"/>
    <s v="Cetirizine 10mg"/>
    <x v="6"/>
    <x v="0"/>
    <s v="Cipla"/>
    <n v="4"/>
    <n v="26"/>
    <x v="2"/>
    <n v="104"/>
    <x v="5"/>
    <x v="5"/>
  </r>
  <r>
    <s v="TXN00843"/>
    <d v="2025-06-14T00:00:00"/>
    <x v="7"/>
    <s v="Vitamin B-Complex"/>
    <x v="4"/>
    <x v="0"/>
    <s v="Pfizer"/>
    <n v="5"/>
    <n v="46"/>
    <x v="0"/>
    <n v="230"/>
    <x v="5"/>
    <x v="5"/>
  </r>
  <r>
    <s v="TXN00844"/>
    <d v="2025-06-15T00:00:00"/>
    <x v="0"/>
    <s v="Paracetamol 650mg"/>
    <x v="0"/>
    <x v="0"/>
    <s v="Micro Labs"/>
    <n v="2"/>
    <n v="32"/>
    <x v="2"/>
    <n v="64"/>
    <x v="5"/>
    <x v="5"/>
  </r>
  <r>
    <s v="TXN00845"/>
    <d v="2025-06-15T00:00:00"/>
    <x v="0"/>
    <s v="Paracetamol 650mg"/>
    <x v="0"/>
    <x v="0"/>
    <s v="Micro Labs"/>
    <n v="1"/>
    <n v="32"/>
    <x v="0"/>
    <n v="32"/>
    <x v="5"/>
    <x v="5"/>
  </r>
  <r>
    <s v="TXN00846"/>
    <d v="2025-06-15T00:00:00"/>
    <x v="16"/>
    <s v="Azithromycin 500mg"/>
    <x v="5"/>
    <x v="0"/>
    <s v="Alembic"/>
    <n v="5"/>
    <n v="125"/>
    <x v="3"/>
    <n v="625"/>
    <x v="5"/>
    <x v="5"/>
  </r>
  <r>
    <s v="TXN00847"/>
    <d v="2025-06-15T00:00:00"/>
    <x v="13"/>
    <s v="Metformin 500mg"/>
    <x v="7"/>
    <x v="0"/>
    <s v="USV"/>
    <n v="6"/>
    <n v="32"/>
    <x v="1"/>
    <n v="192"/>
    <x v="5"/>
    <x v="5"/>
  </r>
  <r>
    <s v="TXN00848"/>
    <d v="2025-06-15T00:00:00"/>
    <x v="1"/>
    <s v="Amlodipine 5mg"/>
    <x v="1"/>
    <x v="1"/>
    <s v="Jan Aushadhi"/>
    <n v="1"/>
    <n v="15"/>
    <x v="0"/>
    <n v="15"/>
    <x v="5"/>
    <x v="5"/>
  </r>
  <r>
    <s v="TXN00849"/>
    <d v="2025-06-15T00:00:00"/>
    <x v="1"/>
    <s v="Amlodipine 5mg"/>
    <x v="1"/>
    <x v="1"/>
    <s v="Jan Aushadhi"/>
    <n v="6"/>
    <n v="15"/>
    <x v="0"/>
    <n v="90"/>
    <x v="5"/>
    <x v="5"/>
  </r>
  <r>
    <s v="TXN00850"/>
    <d v="2025-06-15T00:00:00"/>
    <x v="10"/>
    <s v="Cetirizine 10mg"/>
    <x v="6"/>
    <x v="0"/>
    <s v="Cipla"/>
    <n v="1"/>
    <n v="26"/>
    <x v="3"/>
    <n v="26"/>
    <x v="5"/>
    <x v="5"/>
  </r>
  <r>
    <s v="TXN00851"/>
    <d v="2025-06-16T00:00:00"/>
    <x v="0"/>
    <s v="Paracetamol 650mg"/>
    <x v="0"/>
    <x v="0"/>
    <s v="Micro Labs"/>
    <n v="4"/>
    <n v="32"/>
    <x v="0"/>
    <n v="128"/>
    <x v="5"/>
    <x v="5"/>
  </r>
  <r>
    <s v="TXN00852"/>
    <d v="2025-06-16T00:00:00"/>
    <x v="0"/>
    <s v="Paracetamol 650mg"/>
    <x v="0"/>
    <x v="0"/>
    <s v="Micro Labs"/>
    <n v="1"/>
    <n v="32"/>
    <x v="3"/>
    <n v="32"/>
    <x v="5"/>
    <x v="5"/>
  </r>
  <r>
    <s v="TXN00853"/>
    <d v="2025-06-16T00:00:00"/>
    <x v="13"/>
    <s v="Metformin 500mg"/>
    <x v="7"/>
    <x v="0"/>
    <s v="USV"/>
    <n v="1"/>
    <n v="32"/>
    <x v="2"/>
    <n v="32"/>
    <x v="5"/>
    <x v="5"/>
  </r>
  <r>
    <s v="TXN00854"/>
    <d v="2025-06-16T00:00:00"/>
    <x v="15"/>
    <s v="Cetirizine 10mg"/>
    <x v="6"/>
    <x v="1"/>
    <s v="Jan Aushadhi"/>
    <n v="4"/>
    <n v="8"/>
    <x v="0"/>
    <n v="32"/>
    <x v="5"/>
    <x v="5"/>
  </r>
  <r>
    <s v="TXN00855"/>
    <d v="2025-06-17T00:00:00"/>
    <x v="0"/>
    <s v="Paracetamol 650mg"/>
    <x v="0"/>
    <x v="0"/>
    <s v="Micro Labs"/>
    <n v="5"/>
    <n v="32"/>
    <x v="1"/>
    <n v="160"/>
    <x v="5"/>
    <x v="5"/>
  </r>
  <r>
    <s v="TXN00856"/>
    <d v="2025-06-17T00:00:00"/>
    <x v="12"/>
    <s v="Amoxicillin+Clavulanate 625mg"/>
    <x v="5"/>
    <x v="1"/>
    <s v="Jan Aushadhi"/>
    <n v="5"/>
    <n v="95"/>
    <x v="2"/>
    <n v="475"/>
    <x v="5"/>
    <x v="5"/>
  </r>
  <r>
    <s v="TXN00857"/>
    <d v="2025-06-17T00:00:00"/>
    <x v="24"/>
    <s v="Glimepiride 2mg"/>
    <x v="7"/>
    <x v="0"/>
    <s v="Sanofi"/>
    <n v="1"/>
    <n v="190"/>
    <x v="0"/>
    <n v="190"/>
    <x v="5"/>
    <x v="5"/>
  </r>
  <r>
    <s v="TXN00858"/>
    <d v="2025-06-17T00:00:00"/>
    <x v="22"/>
    <s v="Atorvastatin 10mg"/>
    <x v="3"/>
    <x v="0"/>
    <s v="Zydus"/>
    <n v="1"/>
    <n v="92"/>
    <x v="0"/>
    <n v="92"/>
    <x v="5"/>
    <x v="5"/>
  </r>
  <r>
    <s v="TXN00859"/>
    <d v="2025-06-17T00:00:00"/>
    <x v="26"/>
    <s v="Atorvastatin 10mg"/>
    <x v="3"/>
    <x v="1"/>
    <s v="Jan Aushadhi"/>
    <n v="6"/>
    <n v="35"/>
    <x v="0"/>
    <n v="210"/>
    <x v="5"/>
    <x v="5"/>
  </r>
  <r>
    <s v="TXN00860"/>
    <d v="2025-06-17T00:00:00"/>
    <x v="5"/>
    <s v="Rosuvastatin 10mg"/>
    <x v="3"/>
    <x v="0"/>
    <s v="Sun Pharma"/>
    <n v="1"/>
    <n v="165"/>
    <x v="3"/>
    <n v="165"/>
    <x v="5"/>
    <x v="5"/>
  </r>
  <r>
    <s v="TXN00861"/>
    <d v="2025-06-17T00:00:00"/>
    <x v="31"/>
    <s v="Montelukast+Levocetirizine"/>
    <x v="8"/>
    <x v="1"/>
    <s v="Jan Aushadhi"/>
    <n v="3"/>
    <n v="70"/>
    <x v="0"/>
    <n v="210"/>
    <x v="5"/>
    <x v="5"/>
  </r>
  <r>
    <s v="TXN00862"/>
    <d v="2025-06-18T00:00:00"/>
    <x v="25"/>
    <s v="Amlodipine 5mg"/>
    <x v="1"/>
    <x v="0"/>
    <s v="Mankind"/>
    <n v="12"/>
    <n v="45"/>
    <x v="0"/>
    <n v="540"/>
    <x v="5"/>
    <x v="5"/>
  </r>
  <r>
    <s v="TXN00863"/>
    <d v="2025-06-18T00:00:00"/>
    <x v="2"/>
    <s v="Omeprazole 20mg"/>
    <x v="2"/>
    <x v="0"/>
    <s v="Dr. Reddy's"/>
    <n v="2"/>
    <n v="58"/>
    <x v="0"/>
    <n v="116"/>
    <x v="5"/>
    <x v="5"/>
  </r>
  <r>
    <s v="TXN00864"/>
    <d v="2025-06-18T00:00:00"/>
    <x v="31"/>
    <s v="Montelukast+Levocetirizine"/>
    <x v="8"/>
    <x v="1"/>
    <s v="Jan Aushadhi"/>
    <n v="5"/>
    <n v="70"/>
    <x v="3"/>
    <n v="350"/>
    <x v="5"/>
    <x v="5"/>
  </r>
  <r>
    <s v="TXN00865"/>
    <d v="2025-06-19T00:00:00"/>
    <x v="0"/>
    <s v="Paracetamol 650mg"/>
    <x v="0"/>
    <x v="0"/>
    <s v="Micro Labs"/>
    <n v="3"/>
    <n v="32"/>
    <x v="0"/>
    <n v="96"/>
    <x v="5"/>
    <x v="5"/>
  </r>
  <r>
    <s v="TXN00866"/>
    <d v="2025-06-19T00:00:00"/>
    <x v="18"/>
    <s v="Paracetamol 650mg"/>
    <x v="0"/>
    <x v="1"/>
    <s v="Jan Aushadhi"/>
    <n v="2"/>
    <n v="14"/>
    <x v="1"/>
    <n v="28"/>
    <x v="5"/>
    <x v="5"/>
  </r>
  <r>
    <s v="TXN00867"/>
    <d v="2025-06-19T00:00:00"/>
    <x v="8"/>
    <s v="Azithromycin 500mg"/>
    <x v="5"/>
    <x v="1"/>
    <s v="Jan Aushadhi"/>
    <n v="1"/>
    <n v="55"/>
    <x v="0"/>
    <n v="55"/>
    <x v="5"/>
    <x v="5"/>
  </r>
  <r>
    <s v="TXN00868"/>
    <d v="2025-06-19T00:00:00"/>
    <x v="13"/>
    <s v="Metformin 500mg"/>
    <x v="7"/>
    <x v="0"/>
    <s v="USV"/>
    <n v="2"/>
    <n v="32"/>
    <x v="0"/>
    <n v="64"/>
    <x v="5"/>
    <x v="5"/>
  </r>
  <r>
    <s v="TXN00869"/>
    <d v="2025-06-19T00:00:00"/>
    <x v="19"/>
    <s v="Metformin 500mg"/>
    <x v="7"/>
    <x v="1"/>
    <s v="Jan Aushadhi"/>
    <n v="6"/>
    <n v="12"/>
    <x v="0"/>
    <n v="72"/>
    <x v="5"/>
    <x v="5"/>
  </r>
  <r>
    <s v="TXN00870"/>
    <d v="2025-06-19T00:00:00"/>
    <x v="1"/>
    <s v="Amlodipine 5mg"/>
    <x v="1"/>
    <x v="1"/>
    <s v="Jan Aushadhi"/>
    <n v="6"/>
    <n v="15"/>
    <x v="0"/>
    <n v="90"/>
    <x v="5"/>
    <x v="5"/>
  </r>
  <r>
    <s v="TXN00871"/>
    <d v="2025-06-19T00:00:00"/>
    <x v="6"/>
    <s v="Telmisartan 40mg"/>
    <x v="1"/>
    <x v="1"/>
    <s v="Jan Aushadhi"/>
    <n v="2"/>
    <n v="46"/>
    <x v="1"/>
    <n v="92"/>
    <x v="5"/>
    <x v="5"/>
  </r>
  <r>
    <s v="TXN00872"/>
    <d v="2025-06-19T00:00:00"/>
    <x v="4"/>
    <s v="Ibuprofen 400mg"/>
    <x v="0"/>
    <x v="1"/>
    <s v="Jan Aushadhi"/>
    <n v="3"/>
    <n v="15"/>
    <x v="1"/>
    <n v="45"/>
    <x v="5"/>
    <x v="5"/>
  </r>
  <r>
    <s v="TXN00873"/>
    <d v="2025-06-19T00:00:00"/>
    <x v="7"/>
    <s v="Vitamin B-Complex"/>
    <x v="4"/>
    <x v="0"/>
    <s v="Pfizer"/>
    <n v="1"/>
    <n v="46"/>
    <x v="0"/>
    <n v="46"/>
    <x v="5"/>
    <x v="5"/>
  </r>
  <r>
    <s v="TXN00874"/>
    <d v="2025-06-20T00:00:00"/>
    <x v="0"/>
    <s v="Paracetamol 650mg"/>
    <x v="0"/>
    <x v="0"/>
    <s v="Micro Labs"/>
    <n v="1"/>
    <n v="32"/>
    <x v="1"/>
    <n v="32"/>
    <x v="5"/>
    <x v="5"/>
  </r>
  <r>
    <s v="TXN00875"/>
    <d v="2025-06-20T00:00:00"/>
    <x v="19"/>
    <s v="Metformin 500mg"/>
    <x v="7"/>
    <x v="1"/>
    <s v="Jan Aushadhi"/>
    <n v="3"/>
    <n v="12"/>
    <x v="0"/>
    <n v="36"/>
    <x v="5"/>
    <x v="5"/>
  </r>
  <r>
    <s v="TXN00876"/>
    <d v="2025-06-20T00:00:00"/>
    <x v="20"/>
    <s v="Pantoprazole 40mg"/>
    <x v="2"/>
    <x v="1"/>
    <s v="Jan Aushadhi"/>
    <n v="1"/>
    <n v="50"/>
    <x v="0"/>
    <n v="50"/>
    <x v="5"/>
    <x v="5"/>
  </r>
  <r>
    <s v="TXN00877"/>
    <d v="2025-06-20T00:00:00"/>
    <x v="15"/>
    <s v="Cetirizine 10mg"/>
    <x v="6"/>
    <x v="1"/>
    <s v="Jan Aushadhi"/>
    <n v="2"/>
    <n v="8"/>
    <x v="0"/>
    <n v="16"/>
    <x v="5"/>
    <x v="5"/>
  </r>
  <r>
    <s v="TXN00878"/>
    <d v="2025-06-21T00:00:00"/>
    <x v="0"/>
    <s v="Paracetamol 650mg"/>
    <x v="0"/>
    <x v="0"/>
    <s v="Micro Labs"/>
    <n v="4"/>
    <n v="32"/>
    <x v="3"/>
    <n v="128"/>
    <x v="5"/>
    <x v="5"/>
  </r>
  <r>
    <s v="TXN00879"/>
    <d v="2025-06-21T00:00:00"/>
    <x v="16"/>
    <s v="Azithromycin 500mg"/>
    <x v="5"/>
    <x v="0"/>
    <s v="Alembic"/>
    <n v="4"/>
    <n v="125"/>
    <x v="0"/>
    <n v="500"/>
    <x v="5"/>
    <x v="5"/>
  </r>
  <r>
    <s v="TXN00880"/>
    <d v="2025-06-21T00:00:00"/>
    <x v="16"/>
    <s v="Azithromycin 500mg"/>
    <x v="5"/>
    <x v="0"/>
    <s v="Alembic"/>
    <n v="3"/>
    <n v="125"/>
    <x v="3"/>
    <n v="375"/>
    <x v="5"/>
    <x v="5"/>
  </r>
  <r>
    <s v="TXN00881"/>
    <d v="2025-06-21T00:00:00"/>
    <x v="11"/>
    <s v="Amoxicillin+Clavulanate 625mg"/>
    <x v="5"/>
    <x v="0"/>
    <s v="GSK"/>
    <n v="2"/>
    <n v="205"/>
    <x v="1"/>
    <n v="410"/>
    <x v="5"/>
    <x v="5"/>
  </r>
  <r>
    <s v="TXN00882"/>
    <d v="2025-06-21T00:00:00"/>
    <x v="13"/>
    <s v="Metformin 500mg"/>
    <x v="7"/>
    <x v="0"/>
    <s v="USV"/>
    <n v="6"/>
    <n v="32"/>
    <x v="3"/>
    <n v="192"/>
    <x v="5"/>
    <x v="5"/>
  </r>
  <r>
    <s v="TXN00883"/>
    <d v="2025-06-21T00:00:00"/>
    <x v="22"/>
    <s v="Atorvastatin 10mg"/>
    <x v="3"/>
    <x v="0"/>
    <s v="Zydus"/>
    <n v="1"/>
    <n v="92"/>
    <x v="0"/>
    <n v="92"/>
    <x v="5"/>
    <x v="5"/>
  </r>
  <r>
    <s v="TXN00884"/>
    <d v="2025-06-21T00:00:00"/>
    <x v="5"/>
    <s v="Rosuvastatin 10mg"/>
    <x v="3"/>
    <x v="0"/>
    <s v="Sun Pharma"/>
    <n v="1"/>
    <n v="165"/>
    <x v="3"/>
    <n v="165"/>
    <x v="5"/>
    <x v="5"/>
  </r>
  <r>
    <s v="TXN00885"/>
    <d v="2025-06-21T00:00:00"/>
    <x v="3"/>
    <s v="Omeprazole 20mg"/>
    <x v="2"/>
    <x v="1"/>
    <s v="Jan Aushadhi"/>
    <n v="1"/>
    <n v="20"/>
    <x v="3"/>
    <n v="20"/>
    <x v="5"/>
    <x v="5"/>
  </r>
  <r>
    <s v="TXN00886"/>
    <d v="2025-06-21T00:00:00"/>
    <x v="10"/>
    <s v="Cetirizine 10mg"/>
    <x v="6"/>
    <x v="0"/>
    <s v="Cipla"/>
    <n v="5"/>
    <n v="26"/>
    <x v="2"/>
    <n v="130"/>
    <x v="5"/>
    <x v="5"/>
  </r>
  <r>
    <s v="TXN00887"/>
    <d v="2025-06-22T00:00:00"/>
    <x v="24"/>
    <s v="Glimepiride 2mg"/>
    <x v="7"/>
    <x v="0"/>
    <s v="Sanofi"/>
    <n v="1"/>
    <n v="190"/>
    <x v="2"/>
    <n v="190"/>
    <x v="5"/>
    <x v="5"/>
  </r>
  <r>
    <s v="TXN00888"/>
    <d v="2025-06-22T00:00:00"/>
    <x v="1"/>
    <s v="Amlodipine 5mg"/>
    <x v="1"/>
    <x v="1"/>
    <s v="Jan Aushadhi"/>
    <n v="1"/>
    <n v="15"/>
    <x v="3"/>
    <n v="15"/>
    <x v="5"/>
    <x v="5"/>
  </r>
  <r>
    <s v="TXN00889"/>
    <d v="2025-06-23T00:00:00"/>
    <x v="18"/>
    <s v="Paracetamol 650mg"/>
    <x v="0"/>
    <x v="1"/>
    <s v="Jan Aushadhi"/>
    <n v="3"/>
    <n v="14"/>
    <x v="1"/>
    <n v="42"/>
    <x v="5"/>
    <x v="5"/>
  </r>
  <r>
    <s v="TXN00890"/>
    <d v="2025-06-23T00:00:00"/>
    <x v="26"/>
    <s v="Atorvastatin 10mg"/>
    <x v="3"/>
    <x v="1"/>
    <s v="Jan Aushadhi"/>
    <n v="1"/>
    <n v="35"/>
    <x v="0"/>
    <n v="35"/>
    <x v="5"/>
    <x v="5"/>
  </r>
  <r>
    <s v="TXN00891"/>
    <d v="2025-06-24T00:00:00"/>
    <x v="16"/>
    <s v="Azithromycin 500mg"/>
    <x v="5"/>
    <x v="0"/>
    <s v="Alembic"/>
    <n v="2"/>
    <n v="125"/>
    <x v="0"/>
    <n v="250"/>
    <x v="5"/>
    <x v="5"/>
  </r>
  <r>
    <s v="TXN00892"/>
    <d v="2025-06-24T00:00:00"/>
    <x v="13"/>
    <s v="Metformin 500mg"/>
    <x v="7"/>
    <x v="0"/>
    <s v="USV"/>
    <n v="1"/>
    <n v="32"/>
    <x v="0"/>
    <n v="32"/>
    <x v="5"/>
    <x v="5"/>
  </r>
  <r>
    <s v="TXN00893"/>
    <d v="2025-06-24T00:00:00"/>
    <x v="13"/>
    <s v="Metformin 500mg"/>
    <x v="7"/>
    <x v="0"/>
    <s v="USV"/>
    <n v="1"/>
    <n v="32"/>
    <x v="1"/>
    <n v="32"/>
    <x v="5"/>
    <x v="5"/>
  </r>
  <r>
    <s v="TXN00894"/>
    <d v="2025-06-24T00:00:00"/>
    <x v="19"/>
    <s v="Metformin 500mg"/>
    <x v="7"/>
    <x v="1"/>
    <s v="Jan Aushadhi"/>
    <n v="3"/>
    <n v="12"/>
    <x v="2"/>
    <n v="36"/>
    <x v="5"/>
    <x v="5"/>
  </r>
  <r>
    <s v="TXN00895"/>
    <d v="2025-06-24T00:00:00"/>
    <x v="22"/>
    <s v="Atorvastatin 10mg"/>
    <x v="3"/>
    <x v="0"/>
    <s v="Zydus"/>
    <n v="1"/>
    <n v="92"/>
    <x v="2"/>
    <n v="92"/>
    <x v="5"/>
    <x v="5"/>
  </r>
  <r>
    <s v="TXN00896"/>
    <d v="2025-06-24T00:00:00"/>
    <x v="1"/>
    <s v="Amlodipine 5mg"/>
    <x v="1"/>
    <x v="1"/>
    <s v="Jan Aushadhi"/>
    <n v="3"/>
    <n v="15"/>
    <x v="2"/>
    <n v="45"/>
    <x v="5"/>
    <x v="5"/>
  </r>
  <r>
    <s v="TXN00897"/>
    <d v="2025-06-25T00:00:00"/>
    <x v="0"/>
    <s v="Paracetamol 650mg"/>
    <x v="0"/>
    <x v="0"/>
    <s v="Micro Labs"/>
    <n v="5"/>
    <n v="32"/>
    <x v="3"/>
    <n v="160"/>
    <x v="5"/>
    <x v="5"/>
  </r>
  <r>
    <s v="TXN00898"/>
    <d v="2025-06-25T00:00:00"/>
    <x v="0"/>
    <s v="Paracetamol 650mg"/>
    <x v="0"/>
    <x v="0"/>
    <s v="Micro Labs"/>
    <n v="5"/>
    <n v="32"/>
    <x v="0"/>
    <n v="160"/>
    <x v="5"/>
    <x v="5"/>
  </r>
  <r>
    <s v="TXN00899"/>
    <d v="2025-06-25T00:00:00"/>
    <x v="0"/>
    <s v="Paracetamol 650mg"/>
    <x v="0"/>
    <x v="0"/>
    <s v="Micro Labs"/>
    <n v="2"/>
    <n v="32"/>
    <x v="2"/>
    <n v="64"/>
    <x v="5"/>
    <x v="5"/>
  </r>
  <r>
    <s v="TXN00900"/>
    <d v="2025-06-25T00:00:00"/>
    <x v="11"/>
    <s v="Amoxicillin+Clavulanate 625mg"/>
    <x v="5"/>
    <x v="0"/>
    <s v="GSK"/>
    <n v="2"/>
    <n v="205"/>
    <x v="1"/>
    <n v="410"/>
    <x v="5"/>
    <x v="5"/>
  </r>
  <r>
    <s v="TXN00901"/>
    <d v="2025-06-25T00:00:00"/>
    <x v="22"/>
    <s v="Atorvastatin 10mg"/>
    <x v="3"/>
    <x v="0"/>
    <s v="Zydus"/>
    <n v="3"/>
    <n v="92"/>
    <x v="0"/>
    <n v="276"/>
    <x v="5"/>
    <x v="5"/>
  </r>
  <r>
    <s v="TXN00902"/>
    <d v="2025-06-25T00:00:00"/>
    <x v="5"/>
    <s v="Rosuvastatin 10mg"/>
    <x v="3"/>
    <x v="0"/>
    <s v="Sun Pharma"/>
    <n v="1"/>
    <n v="165"/>
    <x v="0"/>
    <n v="165"/>
    <x v="5"/>
    <x v="5"/>
  </r>
  <r>
    <s v="TXN00903"/>
    <d v="2025-06-25T00:00:00"/>
    <x v="1"/>
    <s v="Amlodipine 5mg"/>
    <x v="1"/>
    <x v="1"/>
    <s v="Jan Aushadhi"/>
    <n v="3"/>
    <n v="15"/>
    <x v="3"/>
    <n v="45"/>
    <x v="5"/>
    <x v="5"/>
  </r>
  <r>
    <s v="TXN00904"/>
    <d v="2025-06-25T00:00:00"/>
    <x v="30"/>
    <s v="Telmisartan 40mg"/>
    <x v="1"/>
    <x v="0"/>
    <s v="Glenmark"/>
    <n v="6"/>
    <n v="142"/>
    <x v="1"/>
    <n v="852"/>
    <x v="5"/>
    <x v="5"/>
  </r>
  <r>
    <s v="TXN00905"/>
    <d v="2025-06-25T00:00:00"/>
    <x v="3"/>
    <s v="Omeprazole 20mg"/>
    <x v="2"/>
    <x v="1"/>
    <s v="Jan Aushadhi"/>
    <n v="2"/>
    <n v="20"/>
    <x v="0"/>
    <n v="40"/>
    <x v="5"/>
    <x v="5"/>
  </r>
  <r>
    <s v="TXN00906"/>
    <d v="2025-06-25T00:00:00"/>
    <x v="9"/>
    <s v="Ibuprofen 400mg"/>
    <x v="0"/>
    <x v="0"/>
    <s v="Abbott"/>
    <n v="2"/>
    <n v="42"/>
    <x v="2"/>
    <n v="84"/>
    <x v="5"/>
    <x v="5"/>
  </r>
  <r>
    <s v="TXN00907"/>
    <d v="2025-06-26T00:00:00"/>
    <x v="0"/>
    <s v="Paracetamol 650mg"/>
    <x v="0"/>
    <x v="0"/>
    <s v="Micro Labs"/>
    <n v="3"/>
    <n v="32"/>
    <x v="3"/>
    <n v="96"/>
    <x v="5"/>
    <x v="5"/>
  </r>
  <r>
    <s v="TXN00908"/>
    <d v="2025-06-26T00:00:00"/>
    <x v="8"/>
    <s v="Azithromycin 500mg"/>
    <x v="5"/>
    <x v="1"/>
    <s v="Jan Aushadhi"/>
    <n v="3"/>
    <n v="55"/>
    <x v="2"/>
    <n v="165"/>
    <x v="5"/>
    <x v="5"/>
  </r>
  <r>
    <s v="TXN00909"/>
    <d v="2025-06-26T00:00:00"/>
    <x v="28"/>
    <s v="Glimepiride 2mg"/>
    <x v="7"/>
    <x v="1"/>
    <s v="Jan Aushadhi"/>
    <n v="6"/>
    <n v="42"/>
    <x v="1"/>
    <n v="252"/>
    <x v="5"/>
    <x v="5"/>
  </r>
  <r>
    <s v="TXN00910"/>
    <d v="2025-06-26T00:00:00"/>
    <x v="20"/>
    <s v="Pantoprazole 40mg"/>
    <x v="2"/>
    <x v="1"/>
    <s v="Jan Aushadhi"/>
    <n v="2"/>
    <n v="50"/>
    <x v="1"/>
    <n v="100"/>
    <x v="5"/>
    <x v="5"/>
  </r>
  <r>
    <s v="TXN00911"/>
    <d v="2025-06-26T00:00:00"/>
    <x v="21"/>
    <s v="Montelukast+Levocetirizine"/>
    <x v="8"/>
    <x v="0"/>
    <s v="Sun Pharma"/>
    <n v="1"/>
    <n v="182"/>
    <x v="1"/>
    <n v="182"/>
    <x v="5"/>
    <x v="5"/>
  </r>
  <r>
    <s v="TXN00912"/>
    <d v="2025-06-26T00:00:00"/>
    <x v="23"/>
    <s v="Diclofenac 50mg"/>
    <x v="0"/>
    <x v="0"/>
    <s v="Novartis"/>
    <n v="5"/>
    <n v="62"/>
    <x v="0"/>
    <n v="310"/>
    <x v="5"/>
    <x v="5"/>
  </r>
  <r>
    <s v="TXN00913"/>
    <d v="2025-06-27T00:00:00"/>
    <x v="0"/>
    <s v="Paracetamol 650mg"/>
    <x v="0"/>
    <x v="0"/>
    <s v="Micro Labs"/>
    <n v="3"/>
    <n v="32"/>
    <x v="2"/>
    <n v="96"/>
    <x v="5"/>
    <x v="5"/>
  </r>
  <r>
    <s v="TXN00914"/>
    <d v="2025-06-27T00:00:00"/>
    <x v="18"/>
    <s v="Paracetamol 650mg"/>
    <x v="0"/>
    <x v="1"/>
    <s v="Jan Aushadhi"/>
    <n v="1"/>
    <n v="14"/>
    <x v="0"/>
    <n v="14"/>
    <x v="5"/>
    <x v="5"/>
  </r>
  <r>
    <s v="TXN00915"/>
    <d v="2025-06-27T00:00:00"/>
    <x v="13"/>
    <s v="Metformin 500mg"/>
    <x v="7"/>
    <x v="0"/>
    <s v="USV"/>
    <n v="1"/>
    <n v="32"/>
    <x v="0"/>
    <n v="32"/>
    <x v="5"/>
    <x v="5"/>
  </r>
  <r>
    <s v="TXN00916"/>
    <d v="2025-06-27T00:00:00"/>
    <x v="30"/>
    <s v="Telmisartan 40mg"/>
    <x v="1"/>
    <x v="0"/>
    <s v="Glenmark"/>
    <n v="6"/>
    <n v="142"/>
    <x v="2"/>
    <n v="852"/>
    <x v="5"/>
    <x v="5"/>
  </r>
  <r>
    <s v="TXN00917"/>
    <d v="2025-06-27T00:00:00"/>
    <x v="14"/>
    <s v="Pantoprazole 40mg"/>
    <x v="2"/>
    <x v="0"/>
    <s v="Alkem"/>
    <n v="3"/>
    <n v="152"/>
    <x v="0"/>
    <n v="456"/>
    <x v="5"/>
    <x v="5"/>
  </r>
  <r>
    <s v="TXN00918"/>
    <d v="2025-06-27T00:00:00"/>
    <x v="3"/>
    <s v="Omeprazole 20mg"/>
    <x v="2"/>
    <x v="1"/>
    <s v="Jan Aushadhi"/>
    <n v="4"/>
    <n v="20"/>
    <x v="1"/>
    <n v="80"/>
    <x v="5"/>
    <x v="5"/>
  </r>
  <r>
    <s v="TXN00919"/>
    <d v="2025-06-27T00:00:00"/>
    <x v="9"/>
    <s v="Ibuprofen 400mg"/>
    <x v="0"/>
    <x v="0"/>
    <s v="Abbott"/>
    <n v="1"/>
    <n v="42"/>
    <x v="3"/>
    <n v="42"/>
    <x v="5"/>
    <x v="5"/>
  </r>
  <r>
    <s v="TXN00920"/>
    <d v="2025-06-28T00:00:00"/>
    <x v="19"/>
    <s v="Metformin 500mg"/>
    <x v="7"/>
    <x v="1"/>
    <s v="Jan Aushadhi"/>
    <n v="6"/>
    <n v="12"/>
    <x v="3"/>
    <n v="72"/>
    <x v="5"/>
    <x v="5"/>
  </r>
  <r>
    <s v="TXN00921"/>
    <d v="2025-06-28T00:00:00"/>
    <x v="25"/>
    <s v="Amlodipine 5mg"/>
    <x v="1"/>
    <x v="0"/>
    <s v="Mankind"/>
    <n v="1"/>
    <n v="45"/>
    <x v="0"/>
    <n v="45"/>
    <x v="5"/>
    <x v="5"/>
  </r>
  <r>
    <s v="TXN00922"/>
    <d v="2025-06-28T00:00:00"/>
    <x v="14"/>
    <s v="Pantoprazole 40mg"/>
    <x v="2"/>
    <x v="0"/>
    <s v="Alkem"/>
    <n v="3"/>
    <n v="152"/>
    <x v="1"/>
    <n v="456"/>
    <x v="5"/>
    <x v="5"/>
  </r>
  <r>
    <s v="TXN00923"/>
    <d v="2025-06-28T00:00:00"/>
    <x v="2"/>
    <s v="Omeprazole 20mg"/>
    <x v="2"/>
    <x v="0"/>
    <s v="Dr. Reddy's"/>
    <n v="5"/>
    <n v="58"/>
    <x v="1"/>
    <n v="290"/>
    <x v="5"/>
    <x v="5"/>
  </r>
  <r>
    <s v="TXN00924"/>
    <d v="2025-06-28T00:00:00"/>
    <x v="9"/>
    <s v="Ibuprofen 400mg"/>
    <x v="0"/>
    <x v="0"/>
    <s v="Abbott"/>
    <n v="4"/>
    <n v="42"/>
    <x v="0"/>
    <n v="168"/>
    <x v="5"/>
    <x v="5"/>
  </r>
  <r>
    <s v="TXN00925"/>
    <d v="2025-06-29T00:00:00"/>
    <x v="11"/>
    <s v="Amoxicillin+Clavulanate 625mg"/>
    <x v="5"/>
    <x v="0"/>
    <s v="GSK"/>
    <n v="2"/>
    <n v="205"/>
    <x v="0"/>
    <n v="410"/>
    <x v="5"/>
    <x v="5"/>
  </r>
  <r>
    <s v="TXN00926"/>
    <d v="2025-06-29T00:00:00"/>
    <x v="13"/>
    <s v="Metformin 500mg"/>
    <x v="7"/>
    <x v="0"/>
    <s v="USV"/>
    <n v="3"/>
    <n v="32"/>
    <x v="0"/>
    <n v="96"/>
    <x v="5"/>
    <x v="5"/>
  </r>
  <r>
    <s v="TXN00927"/>
    <d v="2025-06-29T00:00:00"/>
    <x v="6"/>
    <s v="Telmisartan 40mg"/>
    <x v="1"/>
    <x v="1"/>
    <s v="Jan Aushadhi"/>
    <n v="3"/>
    <n v="46"/>
    <x v="2"/>
    <n v="138"/>
    <x v="5"/>
    <x v="5"/>
  </r>
  <r>
    <s v="TXN00928"/>
    <d v="2025-06-29T00:00:00"/>
    <x v="10"/>
    <s v="Cetirizine 10mg"/>
    <x v="6"/>
    <x v="0"/>
    <s v="Cipla"/>
    <n v="3"/>
    <n v="26"/>
    <x v="2"/>
    <n v="78"/>
    <x v="5"/>
    <x v="5"/>
  </r>
  <r>
    <s v="TXN00929"/>
    <d v="2025-06-29T00:00:00"/>
    <x v="15"/>
    <s v="Cetirizine 10mg"/>
    <x v="6"/>
    <x v="1"/>
    <s v="Jan Aushadhi"/>
    <n v="1"/>
    <n v="8"/>
    <x v="3"/>
    <n v="8"/>
    <x v="5"/>
    <x v="5"/>
  </r>
  <r>
    <s v="TXN00930"/>
    <d v="2025-06-30T00:00:00"/>
    <x v="18"/>
    <s v="Paracetamol 650mg"/>
    <x v="0"/>
    <x v="1"/>
    <s v="Jan Aushadhi"/>
    <n v="1"/>
    <n v="14"/>
    <x v="1"/>
    <n v="14"/>
    <x v="5"/>
    <x v="5"/>
  </r>
  <r>
    <s v="TXN00931"/>
    <d v="2025-07-01T00:00:00"/>
    <x v="18"/>
    <s v="Paracetamol 650mg"/>
    <x v="0"/>
    <x v="1"/>
    <s v="Jan Aushadhi"/>
    <n v="2"/>
    <n v="14"/>
    <x v="1"/>
    <n v="28"/>
    <x v="6"/>
    <x v="6"/>
  </r>
  <r>
    <s v="TXN00932"/>
    <d v="2025-07-01T00:00:00"/>
    <x v="24"/>
    <s v="Glimepiride 2mg"/>
    <x v="7"/>
    <x v="0"/>
    <s v="Sanofi"/>
    <n v="3"/>
    <n v="190"/>
    <x v="3"/>
    <n v="570"/>
    <x v="6"/>
    <x v="6"/>
  </r>
  <r>
    <s v="TXN00933"/>
    <d v="2025-07-01T00:00:00"/>
    <x v="22"/>
    <s v="Atorvastatin 10mg"/>
    <x v="3"/>
    <x v="0"/>
    <s v="Zydus"/>
    <n v="6"/>
    <n v="92.92"/>
    <x v="3"/>
    <n v="557.52"/>
    <x v="6"/>
    <x v="6"/>
  </r>
  <r>
    <s v="TXN00934"/>
    <d v="2025-07-01T00:00:00"/>
    <x v="26"/>
    <s v="Atorvastatin 10mg"/>
    <x v="3"/>
    <x v="1"/>
    <s v="Jan Aushadhi"/>
    <n v="6"/>
    <n v="35.35"/>
    <x v="0"/>
    <n v="212.10000000000002"/>
    <x v="6"/>
    <x v="6"/>
  </r>
  <r>
    <s v="TXN00935"/>
    <d v="2025-07-01T00:00:00"/>
    <x v="30"/>
    <s v="Telmisartan 40mg"/>
    <x v="1"/>
    <x v="0"/>
    <s v="Glenmark"/>
    <n v="6"/>
    <n v="143.41999999999999"/>
    <x v="1"/>
    <n v="860.52"/>
    <x v="6"/>
    <x v="6"/>
  </r>
  <r>
    <s v="TXN00936"/>
    <d v="2025-07-01T00:00:00"/>
    <x v="14"/>
    <s v="Pantoprazole 40mg"/>
    <x v="2"/>
    <x v="0"/>
    <s v="Alkem"/>
    <n v="2"/>
    <n v="152"/>
    <x v="1"/>
    <n v="304"/>
    <x v="6"/>
    <x v="6"/>
  </r>
  <r>
    <s v="TXN00937"/>
    <d v="2025-07-02T00:00:00"/>
    <x v="8"/>
    <s v="Azithromycin 500mg"/>
    <x v="5"/>
    <x v="1"/>
    <s v="Jan Aushadhi"/>
    <n v="4"/>
    <n v="55"/>
    <x v="1"/>
    <n v="220"/>
    <x v="6"/>
    <x v="6"/>
  </r>
  <r>
    <s v="TXN00938"/>
    <d v="2025-07-02T00:00:00"/>
    <x v="12"/>
    <s v="Amoxicillin+Clavulanate 625mg"/>
    <x v="5"/>
    <x v="1"/>
    <s v="Jan Aushadhi"/>
    <n v="5"/>
    <n v="95.95"/>
    <x v="0"/>
    <n v="479.75"/>
    <x v="6"/>
    <x v="6"/>
  </r>
  <r>
    <s v="TXN00939"/>
    <d v="2025-07-02T00:00:00"/>
    <x v="26"/>
    <s v="Atorvastatin 10mg"/>
    <x v="3"/>
    <x v="1"/>
    <s v="Jan Aushadhi"/>
    <n v="6"/>
    <n v="35.35"/>
    <x v="0"/>
    <n v="212.10000000000002"/>
    <x v="6"/>
    <x v="6"/>
  </r>
  <r>
    <s v="TXN00940"/>
    <d v="2025-07-02T00:00:00"/>
    <x v="1"/>
    <s v="Amlodipine 5mg"/>
    <x v="1"/>
    <x v="1"/>
    <s v="Jan Aushadhi"/>
    <n v="1"/>
    <n v="15.15"/>
    <x v="0"/>
    <n v="15.15"/>
    <x v="6"/>
    <x v="6"/>
  </r>
  <r>
    <s v="TXN00941"/>
    <d v="2025-07-02T00:00:00"/>
    <x v="30"/>
    <s v="Telmisartan 40mg"/>
    <x v="1"/>
    <x v="0"/>
    <s v="Glenmark"/>
    <n v="3"/>
    <n v="143.41999999999999"/>
    <x v="0"/>
    <n v="430.26"/>
    <x v="6"/>
    <x v="6"/>
  </r>
  <r>
    <s v="TXN00942"/>
    <d v="2025-07-02T00:00:00"/>
    <x v="3"/>
    <s v="Omeprazole 20mg"/>
    <x v="2"/>
    <x v="1"/>
    <s v="Jan Aushadhi"/>
    <n v="5"/>
    <n v="20"/>
    <x v="1"/>
    <n v="100"/>
    <x v="6"/>
    <x v="6"/>
  </r>
  <r>
    <s v="TXN00943"/>
    <d v="2025-07-02T00:00:00"/>
    <x v="29"/>
    <s v="Diclofenac 50mg"/>
    <x v="0"/>
    <x v="1"/>
    <s v="Jan Aushadhi"/>
    <n v="2"/>
    <n v="20.2"/>
    <x v="1"/>
    <n v="40.4"/>
    <x v="6"/>
    <x v="6"/>
  </r>
  <r>
    <s v="TXN00944"/>
    <d v="2025-07-03T00:00:00"/>
    <x v="0"/>
    <s v="Paracetamol 650mg"/>
    <x v="0"/>
    <x v="0"/>
    <s v="Micro Labs"/>
    <n v="3"/>
    <n v="32.32"/>
    <x v="2"/>
    <n v="96.960000000000008"/>
    <x v="6"/>
    <x v="6"/>
  </r>
  <r>
    <s v="TXN00945"/>
    <d v="2025-07-03T00:00:00"/>
    <x v="0"/>
    <s v="Paracetamol 650mg"/>
    <x v="0"/>
    <x v="0"/>
    <s v="Micro Labs"/>
    <n v="1"/>
    <n v="32.32"/>
    <x v="2"/>
    <n v="32.32"/>
    <x v="6"/>
    <x v="6"/>
  </r>
  <r>
    <s v="TXN00946"/>
    <d v="2025-07-03T00:00:00"/>
    <x v="13"/>
    <s v="Metformin 500mg"/>
    <x v="7"/>
    <x v="0"/>
    <s v="USV"/>
    <n v="1"/>
    <n v="32"/>
    <x v="0"/>
    <n v="32"/>
    <x v="6"/>
    <x v="6"/>
  </r>
  <r>
    <s v="TXN00947"/>
    <d v="2025-07-03T00:00:00"/>
    <x v="25"/>
    <s v="Amlodipine 5mg"/>
    <x v="1"/>
    <x v="0"/>
    <s v="Mankind"/>
    <n v="3"/>
    <n v="45.45"/>
    <x v="2"/>
    <n v="136.35000000000002"/>
    <x v="6"/>
    <x v="6"/>
  </r>
  <r>
    <s v="TXN00948"/>
    <d v="2025-07-03T00:00:00"/>
    <x v="6"/>
    <s v="Telmisartan 40mg"/>
    <x v="1"/>
    <x v="1"/>
    <s v="Jan Aushadhi"/>
    <n v="1"/>
    <n v="46.46"/>
    <x v="0"/>
    <n v="46.46"/>
    <x v="6"/>
    <x v="6"/>
  </r>
  <r>
    <s v="TXN00949"/>
    <d v="2025-07-03T00:00:00"/>
    <x v="9"/>
    <s v="Ibuprofen 400mg"/>
    <x v="0"/>
    <x v="0"/>
    <s v="Abbott"/>
    <n v="2"/>
    <n v="42.42"/>
    <x v="0"/>
    <n v="84.84"/>
    <x v="6"/>
    <x v="6"/>
  </r>
  <r>
    <s v="TXN00950"/>
    <d v="2025-07-03T00:00:00"/>
    <x v="27"/>
    <s v="Vitamin B-Complex"/>
    <x v="4"/>
    <x v="1"/>
    <s v="Jan Aushadhi"/>
    <n v="2"/>
    <n v="18.18"/>
    <x v="3"/>
    <n v="36.36"/>
    <x v="6"/>
    <x v="6"/>
  </r>
  <r>
    <s v="TXN00951"/>
    <d v="2025-07-04T00:00:00"/>
    <x v="0"/>
    <s v="Paracetamol 650mg"/>
    <x v="0"/>
    <x v="0"/>
    <s v="Micro Labs"/>
    <n v="5"/>
    <n v="32"/>
    <x v="0"/>
    <n v="160"/>
    <x v="6"/>
    <x v="6"/>
  </r>
  <r>
    <s v="TXN00952"/>
    <d v="2025-07-04T00:00:00"/>
    <x v="20"/>
    <s v="Pantoprazole 40mg"/>
    <x v="2"/>
    <x v="1"/>
    <s v="Jan Aushadhi"/>
    <n v="4"/>
    <n v="50.5"/>
    <x v="0"/>
    <n v="202"/>
    <x v="6"/>
    <x v="6"/>
  </r>
  <r>
    <s v="TXN00953"/>
    <d v="2025-07-04T00:00:00"/>
    <x v="20"/>
    <s v="Pantoprazole 40mg"/>
    <x v="2"/>
    <x v="1"/>
    <s v="Jan Aushadhi"/>
    <n v="2"/>
    <n v="50.5"/>
    <x v="1"/>
    <n v="101"/>
    <x v="6"/>
    <x v="6"/>
  </r>
  <r>
    <s v="TXN00954"/>
    <d v="2025-07-04T00:00:00"/>
    <x v="10"/>
    <s v="Cetirizine 10mg"/>
    <x v="6"/>
    <x v="0"/>
    <s v="Cipla"/>
    <n v="2"/>
    <n v="26.26"/>
    <x v="0"/>
    <n v="52.52"/>
    <x v="6"/>
    <x v="6"/>
  </r>
  <r>
    <s v="TXN00955"/>
    <d v="2025-07-04T00:00:00"/>
    <x v="15"/>
    <s v="Cetirizine 10mg"/>
    <x v="6"/>
    <x v="1"/>
    <s v="Jan Aushadhi"/>
    <n v="1"/>
    <n v="8"/>
    <x v="2"/>
    <n v="8"/>
    <x v="6"/>
    <x v="6"/>
  </r>
  <r>
    <s v="TXN00956"/>
    <d v="2025-07-04T00:00:00"/>
    <x v="9"/>
    <s v="Ibuprofen 400mg"/>
    <x v="0"/>
    <x v="0"/>
    <s v="Abbott"/>
    <n v="4"/>
    <n v="42.42"/>
    <x v="2"/>
    <n v="169.68"/>
    <x v="6"/>
    <x v="6"/>
  </r>
  <r>
    <s v="TXN00957"/>
    <d v="2025-07-05T00:00:00"/>
    <x v="16"/>
    <s v="Azithromycin 500mg"/>
    <x v="5"/>
    <x v="0"/>
    <s v="Alembic"/>
    <n v="1"/>
    <n v="125"/>
    <x v="1"/>
    <n v="125"/>
    <x v="6"/>
    <x v="6"/>
  </r>
  <r>
    <s v="TXN00958"/>
    <d v="2025-07-05T00:00:00"/>
    <x v="11"/>
    <s v="Amoxicillin+Clavulanate 625mg"/>
    <x v="5"/>
    <x v="0"/>
    <s v="GSK"/>
    <n v="1"/>
    <n v="207.05"/>
    <x v="3"/>
    <n v="207.05"/>
    <x v="6"/>
    <x v="6"/>
  </r>
  <r>
    <s v="TXN00959"/>
    <d v="2025-07-05T00:00:00"/>
    <x v="13"/>
    <s v="Metformin 500mg"/>
    <x v="7"/>
    <x v="0"/>
    <s v="USV"/>
    <n v="6"/>
    <n v="32.32"/>
    <x v="0"/>
    <n v="193.92000000000002"/>
    <x v="6"/>
    <x v="6"/>
  </r>
  <r>
    <s v="TXN00960"/>
    <d v="2025-07-05T00:00:00"/>
    <x v="19"/>
    <s v="Metformin 500mg"/>
    <x v="7"/>
    <x v="1"/>
    <s v="Jan Aushadhi"/>
    <n v="6"/>
    <n v="12"/>
    <x v="0"/>
    <n v="72"/>
    <x v="6"/>
    <x v="6"/>
  </r>
  <r>
    <s v="TXN00961"/>
    <d v="2025-07-05T00:00:00"/>
    <x v="14"/>
    <s v="Pantoprazole 40mg"/>
    <x v="2"/>
    <x v="0"/>
    <s v="Alkem"/>
    <n v="2"/>
    <n v="153.52000000000001"/>
    <x v="2"/>
    <n v="307.04000000000002"/>
    <x v="6"/>
    <x v="6"/>
  </r>
  <r>
    <s v="TXN00962"/>
    <d v="2025-07-05T00:00:00"/>
    <x v="20"/>
    <s v="Pantoprazole 40mg"/>
    <x v="2"/>
    <x v="1"/>
    <s v="Jan Aushadhi"/>
    <n v="2"/>
    <n v="50.5"/>
    <x v="1"/>
    <n v="101"/>
    <x v="6"/>
    <x v="6"/>
  </r>
  <r>
    <s v="TXN00963"/>
    <d v="2025-07-06T00:00:00"/>
    <x v="0"/>
    <s v="Paracetamol 650mg"/>
    <x v="0"/>
    <x v="0"/>
    <s v="Micro Labs"/>
    <n v="1"/>
    <n v="32"/>
    <x v="0"/>
    <n v="32"/>
    <x v="6"/>
    <x v="6"/>
  </r>
  <r>
    <s v="TXN00964"/>
    <d v="2025-07-06T00:00:00"/>
    <x v="8"/>
    <s v="Azithromycin 500mg"/>
    <x v="5"/>
    <x v="1"/>
    <s v="Jan Aushadhi"/>
    <n v="2"/>
    <n v="55"/>
    <x v="0"/>
    <n v="110"/>
    <x v="6"/>
    <x v="6"/>
  </r>
  <r>
    <s v="TXN00965"/>
    <d v="2025-07-06T00:00:00"/>
    <x v="12"/>
    <s v="Amoxicillin+Clavulanate 625mg"/>
    <x v="5"/>
    <x v="1"/>
    <s v="Jan Aushadhi"/>
    <n v="2"/>
    <n v="95.95"/>
    <x v="0"/>
    <n v="191.9"/>
    <x v="6"/>
    <x v="6"/>
  </r>
  <r>
    <s v="TXN00966"/>
    <d v="2025-07-06T00:00:00"/>
    <x v="15"/>
    <s v="Cetirizine 10mg"/>
    <x v="6"/>
    <x v="1"/>
    <s v="Jan Aushadhi"/>
    <n v="3"/>
    <n v="8.08"/>
    <x v="0"/>
    <n v="24.240000000000002"/>
    <x v="6"/>
    <x v="6"/>
  </r>
  <r>
    <s v="TXN00967"/>
    <d v="2025-07-06T00:00:00"/>
    <x v="21"/>
    <s v="Montelukast+Levocetirizine"/>
    <x v="8"/>
    <x v="0"/>
    <s v="Sun Pharma"/>
    <n v="1"/>
    <n v="183.82"/>
    <x v="0"/>
    <n v="183.82"/>
    <x v="6"/>
    <x v="6"/>
  </r>
  <r>
    <s v="TXN00968"/>
    <d v="2025-07-06T00:00:00"/>
    <x v="31"/>
    <s v="Montelukast+Levocetirizine"/>
    <x v="8"/>
    <x v="1"/>
    <s v="Jan Aushadhi"/>
    <n v="1"/>
    <n v="70"/>
    <x v="1"/>
    <n v="70"/>
    <x v="6"/>
    <x v="6"/>
  </r>
  <r>
    <s v="TXN00969"/>
    <d v="2025-07-07T00:00:00"/>
    <x v="0"/>
    <s v="Paracetamol 650mg"/>
    <x v="0"/>
    <x v="0"/>
    <s v="Micro Labs"/>
    <n v="2"/>
    <n v="32.32"/>
    <x v="1"/>
    <n v="64.64"/>
    <x v="6"/>
    <x v="6"/>
  </r>
  <r>
    <s v="TXN00970"/>
    <d v="2025-07-07T00:00:00"/>
    <x v="19"/>
    <s v="Metformin 500mg"/>
    <x v="7"/>
    <x v="1"/>
    <s v="Jan Aushadhi"/>
    <n v="1"/>
    <n v="12"/>
    <x v="2"/>
    <n v="12"/>
    <x v="6"/>
    <x v="6"/>
  </r>
  <r>
    <s v="TXN00971"/>
    <d v="2025-07-07T00:00:00"/>
    <x v="22"/>
    <s v="Atorvastatin 10mg"/>
    <x v="3"/>
    <x v="0"/>
    <s v="Zydus"/>
    <n v="3"/>
    <n v="92.92"/>
    <x v="3"/>
    <n v="278.76"/>
    <x v="6"/>
    <x v="6"/>
  </r>
  <r>
    <s v="TXN00972"/>
    <d v="2025-07-07T00:00:00"/>
    <x v="27"/>
    <s v="Vitamin B-Complex"/>
    <x v="4"/>
    <x v="1"/>
    <s v="Jan Aushadhi"/>
    <n v="5"/>
    <n v="18.18"/>
    <x v="0"/>
    <n v="90.9"/>
    <x v="6"/>
    <x v="6"/>
  </r>
  <r>
    <s v="TXN00973"/>
    <d v="2025-07-08T00:00:00"/>
    <x v="16"/>
    <s v="Azithromycin 500mg"/>
    <x v="5"/>
    <x v="0"/>
    <s v="Alembic"/>
    <n v="2"/>
    <n v="126.25"/>
    <x v="2"/>
    <n v="252.5"/>
    <x v="6"/>
    <x v="6"/>
  </r>
  <r>
    <s v="TXN00974"/>
    <d v="2025-07-08T00:00:00"/>
    <x v="25"/>
    <s v="Amlodipine 5mg"/>
    <x v="1"/>
    <x v="0"/>
    <s v="Mankind"/>
    <n v="3"/>
    <n v="45.45"/>
    <x v="0"/>
    <n v="136.35000000000002"/>
    <x v="6"/>
    <x v="6"/>
  </r>
  <r>
    <s v="TXN00975"/>
    <d v="2025-07-08T00:00:00"/>
    <x v="30"/>
    <s v="Telmisartan 40mg"/>
    <x v="1"/>
    <x v="0"/>
    <s v="Glenmark"/>
    <n v="2"/>
    <n v="143.41999999999999"/>
    <x v="0"/>
    <n v="286.83999999999997"/>
    <x v="6"/>
    <x v="6"/>
  </r>
  <r>
    <s v="TXN00976"/>
    <d v="2025-07-09T00:00:00"/>
    <x v="0"/>
    <s v="Paracetamol 650mg"/>
    <x v="0"/>
    <x v="0"/>
    <s v="Micro Labs"/>
    <n v="2"/>
    <n v="32"/>
    <x v="1"/>
    <n v="64"/>
    <x v="6"/>
    <x v="6"/>
  </r>
  <r>
    <s v="TXN00977"/>
    <d v="2025-07-09T00:00:00"/>
    <x v="16"/>
    <s v="Azithromycin 500mg"/>
    <x v="5"/>
    <x v="0"/>
    <s v="Alembic"/>
    <n v="5"/>
    <n v="126.25"/>
    <x v="0"/>
    <n v="631.25"/>
    <x v="6"/>
    <x v="6"/>
  </r>
  <r>
    <s v="TXN00978"/>
    <d v="2025-07-09T00:00:00"/>
    <x v="13"/>
    <s v="Metformin 500mg"/>
    <x v="7"/>
    <x v="0"/>
    <s v="USV"/>
    <n v="6"/>
    <n v="32.32"/>
    <x v="1"/>
    <n v="193.92000000000002"/>
    <x v="6"/>
    <x v="6"/>
  </r>
  <r>
    <s v="TXN00979"/>
    <d v="2025-07-09T00:00:00"/>
    <x v="19"/>
    <s v="Metformin 500mg"/>
    <x v="7"/>
    <x v="1"/>
    <s v="Jan Aushadhi"/>
    <n v="3"/>
    <n v="12.12"/>
    <x v="0"/>
    <n v="36.36"/>
    <x v="6"/>
    <x v="6"/>
  </r>
  <r>
    <s v="TXN00980"/>
    <d v="2025-07-09T00:00:00"/>
    <x v="28"/>
    <s v="Glimepiride 2mg"/>
    <x v="7"/>
    <x v="1"/>
    <s v="Jan Aushadhi"/>
    <n v="3"/>
    <n v="42.42"/>
    <x v="1"/>
    <n v="127.26"/>
    <x v="6"/>
    <x v="6"/>
  </r>
  <r>
    <s v="TXN00981"/>
    <d v="2025-07-09T00:00:00"/>
    <x v="22"/>
    <s v="Atorvastatin 10mg"/>
    <x v="3"/>
    <x v="0"/>
    <s v="Zydus"/>
    <n v="6"/>
    <n v="92.92"/>
    <x v="0"/>
    <n v="557.52"/>
    <x v="6"/>
    <x v="6"/>
  </r>
  <r>
    <s v="TXN00982"/>
    <d v="2025-07-09T00:00:00"/>
    <x v="14"/>
    <s v="Pantoprazole 40mg"/>
    <x v="2"/>
    <x v="0"/>
    <s v="Alkem"/>
    <n v="1"/>
    <n v="153.52000000000001"/>
    <x v="2"/>
    <n v="153.52000000000001"/>
    <x v="6"/>
    <x v="6"/>
  </r>
  <r>
    <s v="TXN00983"/>
    <d v="2025-07-09T00:00:00"/>
    <x v="21"/>
    <s v="Montelukast+Levocetirizine"/>
    <x v="8"/>
    <x v="0"/>
    <s v="Sun Pharma"/>
    <n v="1"/>
    <n v="183.82"/>
    <x v="0"/>
    <n v="183.82"/>
    <x v="6"/>
    <x v="6"/>
  </r>
  <r>
    <s v="TXN00984"/>
    <d v="2025-07-10T00:00:00"/>
    <x v="0"/>
    <s v="Paracetamol 650mg"/>
    <x v="0"/>
    <x v="0"/>
    <s v="Micro Labs"/>
    <n v="2"/>
    <n v="32"/>
    <x v="2"/>
    <n v="64"/>
    <x v="6"/>
    <x v="6"/>
  </r>
  <r>
    <s v="TXN00985"/>
    <d v="2025-07-10T00:00:00"/>
    <x v="18"/>
    <s v="Paracetamol 650mg"/>
    <x v="0"/>
    <x v="1"/>
    <s v="Jan Aushadhi"/>
    <n v="1"/>
    <n v="14.14"/>
    <x v="2"/>
    <n v="14.14"/>
    <x v="6"/>
    <x v="6"/>
  </r>
  <r>
    <s v="TXN00986"/>
    <d v="2025-07-10T00:00:00"/>
    <x v="18"/>
    <s v="Paracetamol 650mg"/>
    <x v="0"/>
    <x v="1"/>
    <s v="Jan Aushadhi"/>
    <n v="4"/>
    <n v="14.14"/>
    <x v="0"/>
    <n v="56.56"/>
    <x v="6"/>
    <x v="6"/>
  </r>
  <r>
    <s v="TXN00987"/>
    <d v="2025-07-10T00:00:00"/>
    <x v="5"/>
    <s v="Rosuvastatin 10mg"/>
    <x v="3"/>
    <x v="0"/>
    <s v="Sun Pharma"/>
    <n v="2"/>
    <n v="166.65"/>
    <x v="0"/>
    <n v="333.3"/>
    <x v="6"/>
    <x v="6"/>
  </r>
  <r>
    <s v="TXN00988"/>
    <d v="2025-07-10T00:00:00"/>
    <x v="25"/>
    <s v="Amlodipine 5mg"/>
    <x v="1"/>
    <x v="0"/>
    <s v="Mankind"/>
    <n v="3"/>
    <n v="45.45"/>
    <x v="2"/>
    <n v="136.35000000000002"/>
    <x v="6"/>
    <x v="6"/>
  </r>
  <r>
    <s v="TXN00989"/>
    <d v="2025-07-11T00:00:00"/>
    <x v="0"/>
    <s v="Paracetamol 650mg"/>
    <x v="0"/>
    <x v="0"/>
    <s v="Micro Labs"/>
    <n v="1"/>
    <n v="32.32"/>
    <x v="2"/>
    <n v="32.32"/>
    <x v="6"/>
    <x v="6"/>
  </r>
  <r>
    <s v="TXN00990"/>
    <d v="2025-07-11T00:00:00"/>
    <x v="0"/>
    <s v="Paracetamol 650mg"/>
    <x v="0"/>
    <x v="0"/>
    <s v="Micro Labs"/>
    <n v="2"/>
    <n v="32"/>
    <x v="2"/>
    <n v="64"/>
    <x v="6"/>
    <x v="6"/>
  </r>
  <r>
    <s v="TXN00991"/>
    <d v="2025-07-11T00:00:00"/>
    <x v="0"/>
    <s v="Paracetamol 650mg"/>
    <x v="0"/>
    <x v="0"/>
    <s v="Micro Labs"/>
    <n v="1"/>
    <n v="32.32"/>
    <x v="0"/>
    <n v="32.32"/>
    <x v="6"/>
    <x v="6"/>
  </r>
  <r>
    <s v="TXN00992"/>
    <d v="2025-07-11T00:00:00"/>
    <x v="0"/>
    <s v="Paracetamol 650mg"/>
    <x v="0"/>
    <x v="0"/>
    <s v="Micro Labs"/>
    <n v="5"/>
    <n v="32.32"/>
    <x v="2"/>
    <n v="161.6"/>
    <x v="6"/>
    <x v="6"/>
  </r>
  <r>
    <s v="TXN00993"/>
    <d v="2025-07-11T00:00:00"/>
    <x v="1"/>
    <s v="Amlodipine 5mg"/>
    <x v="1"/>
    <x v="1"/>
    <s v="Jan Aushadhi"/>
    <n v="6"/>
    <n v="15.15"/>
    <x v="1"/>
    <n v="90.9"/>
    <x v="6"/>
    <x v="6"/>
  </r>
  <r>
    <s v="TXN00994"/>
    <d v="2025-07-11T00:00:00"/>
    <x v="29"/>
    <s v="Diclofenac 50mg"/>
    <x v="0"/>
    <x v="1"/>
    <s v="Jan Aushadhi"/>
    <n v="2"/>
    <n v="20.2"/>
    <x v="0"/>
    <n v="40.4"/>
    <x v="6"/>
    <x v="6"/>
  </r>
  <r>
    <s v="TXN00995"/>
    <d v="2025-07-12T00:00:00"/>
    <x v="16"/>
    <s v="Azithromycin 500mg"/>
    <x v="5"/>
    <x v="0"/>
    <s v="Alembic"/>
    <n v="4"/>
    <n v="126.25"/>
    <x v="0"/>
    <n v="505"/>
    <x v="6"/>
    <x v="6"/>
  </r>
  <r>
    <s v="TXN00996"/>
    <d v="2025-07-12T00:00:00"/>
    <x v="19"/>
    <s v="Metformin 500mg"/>
    <x v="7"/>
    <x v="1"/>
    <s v="Jan Aushadhi"/>
    <n v="6"/>
    <n v="12.12"/>
    <x v="0"/>
    <n v="72.72"/>
    <x v="6"/>
    <x v="6"/>
  </r>
  <r>
    <s v="TXN00997"/>
    <d v="2025-07-12T00:00:00"/>
    <x v="19"/>
    <s v="Metformin 500mg"/>
    <x v="7"/>
    <x v="1"/>
    <s v="Jan Aushadhi"/>
    <n v="1"/>
    <n v="12.12"/>
    <x v="1"/>
    <n v="12.12"/>
    <x v="6"/>
    <x v="6"/>
  </r>
  <r>
    <s v="TXN00998"/>
    <d v="2025-07-12T00:00:00"/>
    <x v="14"/>
    <s v="Pantoprazole 40mg"/>
    <x v="2"/>
    <x v="0"/>
    <s v="Alkem"/>
    <n v="2"/>
    <n v="152"/>
    <x v="0"/>
    <n v="304"/>
    <x v="6"/>
    <x v="6"/>
  </r>
  <r>
    <s v="TXN00999"/>
    <d v="2025-07-12T00:00:00"/>
    <x v="3"/>
    <s v="Omeprazole 20mg"/>
    <x v="2"/>
    <x v="1"/>
    <s v="Jan Aushadhi"/>
    <n v="4"/>
    <n v="20.2"/>
    <x v="0"/>
    <n v="80.8"/>
    <x v="6"/>
    <x v="6"/>
  </r>
  <r>
    <s v="TXN01000"/>
    <d v="2025-07-12T00:00:00"/>
    <x v="15"/>
    <s v="Cetirizine 10mg"/>
    <x v="6"/>
    <x v="1"/>
    <s v="Jan Aushadhi"/>
    <n v="3"/>
    <n v="8.08"/>
    <x v="1"/>
    <n v="24.240000000000002"/>
    <x v="6"/>
    <x v="6"/>
  </r>
  <r>
    <s v="TXN01001"/>
    <d v="2025-07-13T00:00:00"/>
    <x v="0"/>
    <s v="Paracetamol 650mg"/>
    <x v="0"/>
    <x v="0"/>
    <s v="Micro Labs"/>
    <n v="1"/>
    <n v="32.32"/>
    <x v="3"/>
    <n v="32.32"/>
    <x v="6"/>
    <x v="6"/>
  </r>
  <r>
    <s v="TXN01002"/>
    <d v="2025-07-13T00:00:00"/>
    <x v="0"/>
    <s v="Paracetamol 650mg"/>
    <x v="0"/>
    <x v="0"/>
    <s v="Micro Labs"/>
    <n v="5"/>
    <n v="32"/>
    <x v="2"/>
    <n v="160"/>
    <x v="6"/>
    <x v="6"/>
  </r>
  <r>
    <s v="TXN01003"/>
    <d v="2025-07-13T00:00:00"/>
    <x v="11"/>
    <s v="Amoxicillin+Clavulanate 625mg"/>
    <x v="5"/>
    <x v="0"/>
    <s v="GSK"/>
    <n v="5"/>
    <n v="207.05"/>
    <x v="3"/>
    <n v="1035.25"/>
    <x v="6"/>
    <x v="6"/>
  </r>
  <r>
    <s v="TXN01004"/>
    <d v="2025-07-13T00:00:00"/>
    <x v="6"/>
    <s v="Telmisartan 40mg"/>
    <x v="1"/>
    <x v="1"/>
    <s v="Jan Aushadhi"/>
    <n v="6"/>
    <n v="46.46"/>
    <x v="0"/>
    <n v="278.76"/>
    <x v="6"/>
    <x v="6"/>
  </r>
  <r>
    <s v="TXN01005"/>
    <d v="2025-07-14T00:00:00"/>
    <x v="0"/>
    <s v="Paracetamol 650mg"/>
    <x v="0"/>
    <x v="0"/>
    <s v="Micro Labs"/>
    <n v="1"/>
    <n v="32.32"/>
    <x v="0"/>
    <n v="32.32"/>
    <x v="6"/>
    <x v="6"/>
  </r>
  <r>
    <s v="TXN01006"/>
    <d v="2025-07-14T00:00:00"/>
    <x v="18"/>
    <s v="Paracetamol 650mg"/>
    <x v="0"/>
    <x v="1"/>
    <s v="Jan Aushadhi"/>
    <n v="1"/>
    <n v="14.14"/>
    <x v="1"/>
    <n v="14.14"/>
    <x v="6"/>
    <x v="6"/>
  </r>
  <r>
    <s v="TXN01007"/>
    <d v="2025-07-14T00:00:00"/>
    <x v="16"/>
    <s v="Azithromycin 500mg"/>
    <x v="5"/>
    <x v="0"/>
    <s v="Alembic"/>
    <n v="5"/>
    <n v="126.25"/>
    <x v="0"/>
    <n v="631.25"/>
    <x v="6"/>
    <x v="6"/>
  </r>
  <r>
    <s v="TXN01008"/>
    <d v="2025-07-14T00:00:00"/>
    <x v="8"/>
    <s v="Azithromycin 500mg"/>
    <x v="5"/>
    <x v="1"/>
    <s v="Jan Aushadhi"/>
    <n v="2"/>
    <n v="55.55"/>
    <x v="0"/>
    <n v="111.1"/>
    <x v="6"/>
    <x v="6"/>
  </r>
  <r>
    <s v="TXN01009"/>
    <d v="2025-07-14T00:00:00"/>
    <x v="22"/>
    <s v="Atorvastatin 10mg"/>
    <x v="3"/>
    <x v="0"/>
    <s v="Zydus"/>
    <n v="3"/>
    <n v="92.92"/>
    <x v="0"/>
    <n v="278.76"/>
    <x v="6"/>
    <x v="6"/>
  </r>
  <r>
    <s v="TXN01010"/>
    <d v="2025-07-14T00:00:00"/>
    <x v="25"/>
    <s v="Amlodipine 5mg"/>
    <x v="1"/>
    <x v="0"/>
    <s v="Mankind"/>
    <n v="3"/>
    <n v="45.45"/>
    <x v="3"/>
    <n v="136.35000000000002"/>
    <x v="6"/>
    <x v="6"/>
  </r>
  <r>
    <s v="TXN01011"/>
    <d v="2025-07-14T00:00:00"/>
    <x v="1"/>
    <s v="Amlodipine 5mg"/>
    <x v="1"/>
    <x v="1"/>
    <s v="Jan Aushadhi"/>
    <n v="3"/>
    <n v="15"/>
    <x v="0"/>
    <n v="45"/>
    <x v="6"/>
    <x v="6"/>
  </r>
  <r>
    <s v="TXN01012"/>
    <d v="2025-07-14T00:00:00"/>
    <x v="7"/>
    <s v="Vitamin B-Complex"/>
    <x v="4"/>
    <x v="0"/>
    <s v="Pfizer"/>
    <n v="1"/>
    <n v="46.46"/>
    <x v="3"/>
    <n v="46.46"/>
    <x v="6"/>
    <x v="6"/>
  </r>
  <r>
    <s v="TXN01013"/>
    <d v="2025-07-15T00:00:00"/>
    <x v="0"/>
    <s v="Paracetamol 650mg"/>
    <x v="0"/>
    <x v="0"/>
    <s v="Micro Labs"/>
    <n v="4"/>
    <n v="32"/>
    <x v="0"/>
    <n v="128"/>
    <x v="6"/>
    <x v="6"/>
  </r>
  <r>
    <s v="TXN01014"/>
    <d v="2025-07-15T00:00:00"/>
    <x v="11"/>
    <s v="Amoxicillin+Clavulanate 625mg"/>
    <x v="5"/>
    <x v="0"/>
    <s v="GSK"/>
    <n v="1"/>
    <n v="207.05"/>
    <x v="3"/>
    <n v="207.05"/>
    <x v="6"/>
    <x v="6"/>
  </r>
  <r>
    <s v="TXN01015"/>
    <d v="2025-07-15T00:00:00"/>
    <x v="19"/>
    <s v="Metformin 500mg"/>
    <x v="7"/>
    <x v="1"/>
    <s v="Jan Aushadhi"/>
    <n v="1"/>
    <n v="12.12"/>
    <x v="0"/>
    <n v="12.12"/>
    <x v="6"/>
    <x v="6"/>
  </r>
  <r>
    <s v="TXN01016"/>
    <d v="2025-07-15T00:00:00"/>
    <x v="10"/>
    <s v="Cetirizine 10mg"/>
    <x v="6"/>
    <x v="0"/>
    <s v="Cipla"/>
    <n v="2"/>
    <n v="26.26"/>
    <x v="0"/>
    <n v="52.52"/>
    <x v="6"/>
    <x v="6"/>
  </r>
  <r>
    <s v="TXN01017"/>
    <d v="2025-07-15T00:00:00"/>
    <x v="9"/>
    <s v="Ibuprofen 400mg"/>
    <x v="0"/>
    <x v="0"/>
    <s v="Abbott"/>
    <n v="1"/>
    <n v="42.42"/>
    <x v="0"/>
    <n v="42.42"/>
    <x v="6"/>
    <x v="6"/>
  </r>
  <r>
    <s v="TXN01018"/>
    <d v="2025-07-15T00:00:00"/>
    <x v="7"/>
    <s v="Vitamin B-Complex"/>
    <x v="4"/>
    <x v="0"/>
    <s v="Pfizer"/>
    <n v="5"/>
    <n v="46"/>
    <x v="0"/>
    <n v="230"/>
    <x v="6"/>
    <x v="6"/>
  </r>
  <r>
    <s v="TXN01019"/>
    <d v="2025-07-15T00:00:00"/>
    <x v="7"/>
    <s v="Vitamin B-Complex"/>
    <x v="4"/>
    <x v="0"/>
    <s v="Pfizer"/>
    <n v="3"/>
    <n v="46"/>
    <x v="0"/>
    <n v="138"/>
    <x v="6"/>
    <x v="6"/>
  </r>
  <r>
    <s v="TXN01020"/>
    <d v="2025-07-16T00:00:00"/>
    <x v="0"/>
    <s v="Paracetamol 650mg"/>
    <x v="0"/>
    <x v="0"/>
    <s v="Micro Labs"/>
    <n v="4"/>
    <n v="32.32"/>
    <x v="3"/>
    <n v="129.28"/>
    <x v="6"/>
    <x v="6"/>
  </r>
  <r>
    <s v="TXN01021"/>
    <d v="2025-07-16T00:00:00"/>
    <x v="16"/>
    <s v="Azithromycin 500mg"/>
    <x v="5"/>
    <x v="0"/>
    <s v="Alembic"/>
    <n v="2"/>
    <n v="125"/>
    <x v="0"/>
    <n v="250"/>
    <x v="6"/>
    <x v="6"/>
  </r>
  <r>
    <s v="TXN01022"/>
    <d v="2025-07-16T00:00:00"/>
    <x v="17"/>
    <s v="Rosuvastatin 10mg"/>
    <x v="3"/>
    <x v="1"/>
    <s v="Jan Aushadhi"/>
    <n v="2"/>
    <n v="58.58"/>
    <x v="1"/>
    <n v="117.16"/>
    <x v="6"/>
    <x v="6"/>
  </r>
  <r>
    <s v="TXN01023"/>
    <d v="2025-07-17T00:00:00"/>
    <x v="13"/>
    <s v="Metformin 500mg"/>
    <x v="7"/>
    <x v="0"/>
    <s v="USV"/>
    <n v="1"/>
    <n v="32.32"/>
    <x v="1"/>
    <n v="32.32"/>
    <x v="6"/>
    <x v="6"/>
  </r>
  <r>
    <s v="TXN01024"/>
    <d v="2025-07-17T00:00:00"/>
    <x v="24"/>
    <s v="Glimepiride 2mg"/>
    <x v="7"/>
    <x v="0"/>
    <s v="Sanofi"/>
    <n v="2"/>
    <n v="190"/>
    <x v="0"/>
    <n v="380"/>
    <x v="6"/>
    <x v="6"/>
  </r>
  <r>
    <s v="TXN01025"/>
    <d v="2025-07-17T00:00:00"/>
    <x v="26"/>
    <s v="Atorvastatin 10mg"/>
    <x v="3"/>
    <x v="1"/>
    <s v="Jan Aushadhi"/>
    <n v="1"/>
    <n v="35.35"/>
    <x v="0"/>
    <n v="35.35"/>
    <x v="6"/>
    <x v="6"/>
  </r>
  <r>
    <s v="TXN01026"/>
    <d v="2025-07-17T00:00:00"/>
    <x v="2"/>
    <s v="Omeprazole 20mg"/>
    <x v="2"/>
    <x v="0"/>
    <s v="Dr. Reddy's"/>
    <n v="1"/>
    <n v="58.58"/>
    <x v="2"/>
    <n v="58.58"/>
    <x v="6"/>
    <x v="6"/>
  </r>
  <r>
    <s v="TXN01027"/>
    <d v="2025-07-17T00:00:00"/>
    <x v="4"/>
    <s v="Ibuprofen 400mg"/>
    <x v="0"/>
    <x v="1"/>
    <s v="Jan Aushadhi"/>
    <n v="1"/>
    <n v="15.15"/>
    <x v="1"/>
    <n v="15.15"/>
    <x v="6"/>
    <x v="6"/>
  </r>
  <r>
    <s v="TXN01028"/>
    <d v="2025-07-18T00:00:00"/>
    <x v="0"/>
    <s v="Paracetamol 650mg"/>
    <x v="0"/>
    <x v="0"/>
    <s v="Micro Labs"/>
    <n v="2"/>
    <n v="32.32"/>
    <x v="0"/>
    <n v="64.64"/>
    <x v="6"/>
    <x v="6"/>
  </r>
  <r>
    <s v="TXN01029"/>
    <d v="2025-07-18T00:00:00"/>
    <x v="18"/>
    <s v="Paracetamol 650mg"/>
    <x v="0"/>
    <x v="1"/>
    <s v="Jan Aushadhi"/>
    <n v="4"/>
    <n v="14"/>
    <x v="0"/>
    <n v="56"/>
    <x v="6"/>
    <x v="6"/>
  </r>
  <r>
    <s v="TXN01030"/>
    <d v="2025-07-18T00:00:00"/>
    <x v="16"/>
    <s v="Azithromycin 500mg"/>
    <x v="5"/>
    <x v="0"/>
    <s v="Alembic"/>
    <n v="1"/>
    <n v="126.25"/>
    <x v="3"/>
    <n v="126.25"/>
    <x v="6"/>
    <x v="6"/>
  </r>
  <r>
    <s v="TXN01031"/>
    <d v="2025-07-18T00:00:00"/>
    <x v="11"/>
    <s v="Amoxicillin+Clavulanate 625mg"/>
    <x v="5"/>
    <x v="0"/>
    <s v="GSK"/>
    <n v="3"/>
    <n v="207.05"/>
    <x v="3"/>
    <n v="621.15000000000009"/>
    <x v="6"/>
    <x v="6"/>
  </r>
  <r>
    <s v="TXN01032"/>
    <d v="2025-07-19T00:00:00"/>
    <x v="11"/>
    <s v="Amoxicillin+Clavulanate 625mg"/>
    <x v="5"/>
    <x v="0"/>
    <s v="GSK"/>
    <n v="4"/>
    <n v="205"/>
    <x v="0"/>
    <n v="820"/>
    <x v="6"/>
    <x v="6"/>
  </r>
  <r>
    <s v="TXN01033"/>
    <d v="2025-07-19T00:00:00"/>
    <x v="11"/>
    <s v="Amoxicillin+Clavulanate 625mg"/>
    <x v="5"/>
    <x v="0"/>
    <s v="GSK"/>
    <n v="1"/>
    <n v="205"/>
    <x v="3"/>
    <n v="205"/>
    <x v="6"/>
    <x v="6"/>
  </r>
  <r>
    <s v="TXN01034"/>
    <d v="2025-07-19T00:00:00"/>
    <x v="14"/>
    <s v="Pantoprazole 40mg"/>
    <x v="2"/>
    <x v="0"/>
    <s v="Alkem"/>
    <n v="1"/>
    <n v="152"/>
    <x v="0"/>
    <n v="152"/>
    <x v="6"/>
    <x v="6"/>
  </r>
  <r>
    <s v="TXN01035"/>
    <d v="2025-07-19T00:00:00"/>
    <x v="9"/>
    <s v="Ibuprofen 400mg"/>
    <x v="0"/>
    <x v="0"/>
    <s v="Abbott"/>
    <n v="5"/>
    <n v="42.42"/>
    <x v="1"/>
    <n v="212.10000000000002"/>
    <x v="6"/>
    <x v="6"/>
  </r>
  <r>
    <s v="TXN01036"/>
    <d v="2025-07-20T00:00:00"/>
    <x v="12"/>
    <s v="Amoxicillin+Clavulanate 625mg"/>
    <x v="5"/>
    <x v="1"/>
    <s v="Jan Aushadhi"/>
    <n v="4"/>
    <n v="95"/>
    <x v="0"/>
    <n v="380"/>
    <x v="6"/>
    <x v="6"/>
  </r>
  <r>
    <s v="TXN01037"/>
    <d v="2025-07-21T00:00:00"/>
    <x v="0"/>
    <s v="Paracetamol 650mg"/>
    <x v="0"/>
    <x v="0"/>
    <s v="Micro Labs"/>
    <n v="2"/>
    <n v="32"/>
    <x v="0"/>
    <n v="64"/>
    <x v="6"/>
    <x v="6"/>
  </r>
  <r>
    <s v="TXN01038"/>
    <d v="2025-07-21T00:00:00"/>
    <x v="18"/>
    <s v="Paracetamol 650mg"/>
    <x v="0"/>
    <x v="1"/>
    <s v="Jan Aushadhi"/>
    <n v="5"/>
    <n v="14"/>
    <x v="2"/>
    <n v="70"/>
    <x v="6"/>
    <x v="6"/>
  </r>
  <r>
    <s v="TXN01039"/>
    <d v="2025-07-21T00:00:00"/>
    <x v="19"/>
    <s v="Metformin 500mg"/>
    <x v="7"/>
    <x v="1"/>
    <s v="Jan Aushadhi"/>
    <n v="2"/>
    <n v="12"/>
    <x v="0"/>
    <n v="24"/>
    <x v="6"/>
    <x v="6"/>
  </r>
  <r>
    <s v="TXN01040"/>
    <d v="2025-07-21T00:00:00"/>
    <x v="28"/>
    <s v="Glimepiride 2mg"/>
    <x v="7"/>
    <x v="1"/>
    <s v="Jan Aushadhi"/>
    <n v="2"/>
    <n v="42"/>
    <x v="0"/>
    <n v="84"/>
    <x v="6"/>
    <x v="6"/>
  </r>
  <r>
    <s v="TXN01041"/>
    <d v="2025-07-21T00:00:00"/>
    <x v="22"/>
    <s v="Atorvastatin 10mg"/>
    <x v="3"/>
    <x v="0"/>
    <s v="Zydus"/>
    <n v="6"/>
    <n v="92.92"/>
    <x v="0"/>
    <n v="557.52"/>
    <x v="6"/>
    <x v="6"/>
  </r>
  <r>
    <s v="TXN01042"/>
    <d v="2025-07-21T00:00:00"/>
    <x v="1"/>
    <s v="Amlodipine 5mg"/>
    <x v="1"/>
    <x v="1"/>
    <s v="Jan Aushadhi"/>
    <n v="3"/>
    <n v="15.15"/>
    <x v="0"/>
    <n v="45.45"/>
    <x v="6"/>
    <x v="6"/>
  </r>
  <r>
    <s v="TXN01043"/>
    <d v="2025-07-21T00:00:00"/>
    <x v="20"/>
    <s v="Pantoprazole 40mg"/>
    <x v="2"/>
    <x v="1"/>
    <s v="Jan Aushadhi"/>
    <n v="1"/>
    <n v="50"/>
    <x v="1"/>
    <n v="50"/>
    <x v="6"/>
    <x v="6"/>
  </r>
  <r>
    <s v="TXN01044"/>
    <d v="2025-07-21T00:00:00"/>
    <x v="20"/>
    <s v="Pantoprazole 40mg"/>
    <x v="2"/>
    <x v="1"/>
    <s v="Jan Aushadhi"/>
    <n v="1"/>
    <n v="50.5"/>
    <x v="0"/>
    <n v="50.5"/>
    <x v="6"/>
    <x v="6"/>
  </r>
  <r>
    <s v="TXN01045"/>
    <d v="2025-07-21T00:00:00"/>
    <x v="23"/>
    <s v="Diclofenac 50mg"/>
    <x v="0"/>
    <x v="0"/>
    <s v="Novartis"/>
    <n v="4"/>
    <n v="62"/>
    <x v="3"/>
    <n v="248"/>
    <x v="6"/>
    <x v="6"/>
  </r>
  <r>
    <s v="TXN01046"/>
    <d v="2025-07-22T00:00:00"/>
    <x v="24"/>
    <s v="Glimepiride 2mg"/>
    <x v="7"/>
    <x v="0"/>
    <s v="Sanofi"/>
    <n v="1"/>
    <n v="191.9"/>
    <x v="0"/>
    <n v="191.9"/>
    <x v="6"/>
    <x v="6"/>
  </r>
  <r>
    <s v="TXN01047"/>
    <d v="2025-07-22T00:00:00"/>
    <x v="22"/>
    <s v="Atorvastatin 10mg"/>
    <x v="3"/>
    <x v="0"/>
    <s v="Zydus"/>
    <n v="1"/>
    <n v="92"/>
    <x v="0"/>
    <n v="92"/>
    <x v="6"/>
    <x v="6"/>
  </r>
  <r>
    <s v="TXN01048"/>
    <d v="2025-07-22T00:00:00"/>
    <x v="26"/>
    <s v="Atorvastatin 10mg"/>
    <x v="3"/>
    <x v="1"/>
    <s v="Jan Aushadhi"/>
    <n v="6"/>
    <n v="35"/>
    <x v="1"/>
    <n v="210"/>
    <x v="6"/>
    <x v="6"/>
  </r>
  <r>
    <s v="TXN01049"/>
    <d v="2025-07-22T00:00:00"/>
    <x v="14"/>
    <s v="Pantoprazole 40mg"/>
    <x v="2"/>
    <x v="0"/>
    <s v="Alkem"/>
    <n v="1"/>
    <n v="153.52000000000001"/>
    <x v="0"/>
    <n v="153.52000000000001"/>
    <x v="6"/>
    <x v="6"/>
  </r>
  <r>
    <s v="TXN01050"/>
    <d v="2025-07-22T00:00:00"/>
    <x v="2"/>
    <s v="Omeprazole 20mg"/>
    <x v="2"/>
    <x v="0"/>
    <s v="Dr. Reddy's"/>
    <n v="2"/>
    <n v="58.58"/>
    <x v="3"/>
    <n v="117.16"/>
    <x v="6"/>
    <x v="6"/>
  </r>
  <r>
    <s v="TXN01051"/>
    <d v="2025-07-22T00:00:00"/>
    <x v="10"/>
    <s v="Cetirizine 10mg"/>
    <x v="6"/>
    <x v="0"/>
    <s v="Cipla"/>
    <n v="1"/>
    <n v="26"/>
    <x v="3"/>
    <n v="26"/>
    <x v="6"/>
    <x v="6"/>
  </r>
  <r>
    <s v="TXN01052"/>
    <d v="2025-07-22T00:00:00"/>
    <x v="10"/>
    <s v="Cetirizine 10mg"/>
    <x v="6"/>
    <x v="0"/>
    <s v="Cipla"/>
    <n v="5"/>
    <n v="26"/>
    <x v="2"/>
    <n v="130"/>
    <x v="6"/>
    <x v="6"/>
  </r>
  <r>
    <s v="TXN01053"/>
    <d v="2025-07-23T00:00:00"/>
    <x v="5"/>
    <s v="Rosuvastatin 10mg"/>
    <x v="3"/>
    <x v="0"/>
    <s v="Sun Pharma"/>
    <n v="2"/>
    <n v="166.65"/>
    <x v="1"/>
    <n v="333.3"/>
    <x v="6"/>
    <x v="6"/>
  </r>
  <r>
    <s v="TXN01054"/>
    <d v="2025-07-23T00:00:00"/>
    <x v="14"/>
    <s v="Pantoprazole 40mg"/>
    <x v="2"/>
    <x v="0"/>
    <s v="Alkem"/>
    <n v="1"/>
    <n v="153.52000000000001"/>
    <x v="1"/>
    <n v="153.52000000000001"/>
    <x v="6"/>
    <x v="6"/>
  </r>
  <r>
    <s v="TXN01055"/>
    <d v="2025-07-23T00:00:00"/>
    <x v="2"/>
    <s v="Omeprazole 20mg"/>
    <x v="2"/>
    <x v="0"/>
    <s v="Dr. Reddy's"/>
    <n v="1"/>
    <n v="58.58"/>
    <x v="2"/>
    <n v="58.58"/>
    <x v="6"/>
    <x v="6"/>
  </r>
  <r>
    <s v="TXN01056"/>
    <d v="2025-07-23T00:00:00"/>
    <x v="21"/>
    <s v="Montelukast+Levocetirizine"/>
    <x v="8"/>
    <x v="0"/>
    <s v="Sun Pharma"/>
    <n v="5"/>
    <n v="183.82"/>
    <x v="1"/>
    <n v="919.09999999999991"/>
    <x v="6"/>
    <x v="6"/>
  </r>
  <r>
    <s v="TXN01057"/>
    <d v="2025-07-24T00:00:00"/>
    <x v="0"/>
    <s v="Paracetamol 650mg"/>
    <x v="0"/>
    <x v="0"/>
    <s v="Micro Labs"/>
    <n v="1"/>
    <n v="32"/>
    <x v="0"/>
    <n v="32"/>
    <x v="6"/>
    <x v="6"/>
  </r>
  <r>
    <s v="TXN01058"/>
    <d v="2025-07-24T00:00:00"/>
    <x v="0"/>
    <s v="Paracetamol 650mg"/>
    <x v="0"/>
    <x v="0"/>
    <s v="Micro Labs"/>
    <n v="1"/>
    <n v="32"/>
    <x v="0"/>
    <n v="32"/>
    <x v="6"/>
    <x v="6"/>
  </r>
  <r>
    <s v="TXN01059"/>
    <d v="2025-07-24T00:00:00"/>
    <x v="0"/>
    <s v="Paracetamol 650mg"/>
    <x v="0"/>
    <x v="0"/>
    <s v="Micro Labs"/>
    <n v="1"/>
    <n v="32.32"/>
    <x v="2"/>
    <n v="32.32"/>
    <x v="6"/>
    <x v="6"/>
  </r>
  <r>
    <s v="TXN01060"/>
    <d v="2025-07-24T00:00:00"/>
    <x v="13"/>
    <s v="Metformin 500mg"/>
    <x v="7"/>
    <x v="0"/>
    <s v="USV"/>
    <n v="6"/>
    <n v="32.32"/>
    <x v="2"/>
    <n v="193.92000000000002"/>
    <x v="6"/>
    <x v="6"/>
  </r>
  <r>
    <s v="TXN01061"/>
    <d v="2025-07-24T00:00:00"/>
    <x v="6"/>
    <s v="Telmisartan 40mg"/>
    <x v="1"/>
    <x v="1"/>
    <s v="Jan Aushadhi"/>
    <n v="6"/>
    <n v="46.46"/>
    <x v="0"/>
    <n v="278.76"/>
    <x v="6"/>
    <x v="6"/>
  </r>
  <r>
    <s v="TXN01062"/>
    <d v="2025-07-24T00:00:00"/>
    <x v="31"/>
    <s v="Montelukast+Levocetirizine"/>
    <x v="8"/>
    <x v="1"/>
    <s v="Jan Aushadhi"/>
    <n v="1"/>
    <n v="70"/>
    <x v="2"/>
    <n v="70"/>
    <x v="6"/>
    <x v="6"/>
  </r>
  <r>
    <s v="TXN01063"/>
    <d v="2025-07-24T00:00:00"/>
    <x v="4"/>
    <s v="Ibuprofen 400mg"/>
    <x v="0"/>
    <x v="1"/>
    <s v="Jan Aushadhi"/>
    <n v="2"/>
    <n v="15.15"/>
    <x v="0"/>
    <n v="30.3"/>
    <x v="6"/>
    <x v="6"/>
  </r>
  <r>
    <s v="TXN01064"/>
    <d v="2025-07-24T00:00:00"/>
    <x v="7"/>
    <s v="Vitamin B-Complex"/>
    <x v="4"/>
    <x v="0"/>
    <s v="Pfizer"/>
    <n v="1"/>
    <n v="46"/>
    <x v="0"/>
    <n v="46"/>
    <x v="6"/>
    <x v="6"/>
  </r>
  <r>
    <s v="TXN01065"/>
    <d v="2025-07-25T00:00:00"/>
    <x v="11"/>
    <s v="Amoxicillin+Clavulanate 625mg"/>
    <x v="5"/>
    <x v="0"/>
    <s v="GSK"/>
    <n v="1"/>
    <n v="207.05"/>
    <x v="3"/>
    <n v="207.05"/>
    <x v="6"/>
    <x v="6"/>
  </r>
  <r>
    <s v="TXN01066"/>
    <d v="2025-07-25T00:00:00"/>
    <x v="24"/>
    <s v="Glimepiride 2mg"/>
    <x v="7"/>
    <x v="0"/>
    <s v="Sanofi"/>
    <n v="1"/>
    <n v="191.9"/>
    <x v="0"/>
    <n v="191.9"/>
    <x v="6"/>
    <x v="6"/>
  </r>
  <r>
    <s v="TXN01067"/>
    <d v="2025-07-25T00:00:00"/>
    <x v="1"/>
    <s v="Amlodipine 5mg"/>
    <x v="1"/>
    <x v="1"/>
    <s v="Jan Aushadhi"/>
    <n v="2"/>
    <n v="15"/>
    <x v="0"/>
    <n v="30"/>
    <x v="6"/>
    <x v="6"/>
  </r>
  <r>
    <s v="TXN01068"/>
    <d v="2025-07-25T00:00:00"/>
    <x v="3"/>
    <s v="Omeprazole 20mg"/>
    <x v="2"/>
    <x v="1"/>
    <s v="Jan Aushadhi"/>
    <n v="2"/>
    <n v="20.2"/>
    <x v="0"/>
    <n v="40.4"/>
    <x v="6"/>
    <x v="6"/>
  </r>
  <r>
    <s v="TXN01069"/>
    <d v="2025-07-25T00:00:00"/>
    <x v="10"/>
    <s v="Cetirizine 10mg"/>
    <x v="6"/>
    <x v="0"/>
    <s v="Cipla"/>
    <n v="1"/>
    <n v="26.26"/>
    <x v="1"/>
    <n v="26.26"/>
    <x v="6"/>
    <x v="6"/>
  </r>
  <r>
    <s v="TXN01070"/>
    <d v="2025-07-25T00:00:00"/>
    <x v="9"/>
    <s v="Ibuprofen 400mg"/>
    <x v="0"/>
    <x v="0"/>
    <s v="Abbott"/>
    <n v="3"/>
    <n v="42.42"/>
    <x v="2"/>
    <n v="127.26"/>
    <x v="6"/>
    <x v="6"/>
  </r>
  <r>
    <s v="TXN01071"/>
    <d v="2025-07-26T00:00:00"/>
    <x v="5"/>
    <s v="Rosuvastatin 10mg"/>
    <x v="3"/>
    <x v="0"/>
    <s v="Sun Pharma"/>
    <n v="6"/>
    <n v="166.65"/>
    <x v="3"/>
    <n v="999.90000000000009"/>
    <x v="6"/>
    <x v="6"/>
  </r>
  <r>
    <s v="TXN01072"/>
    <d v="2025-07-26T00:00:00"/>
    <x v="17"/>
    <s v="Rosuvastatin 10mg"/>
    <x v="3"/>
    <x v="1"/>
    <s v="Jan Aushadhi"/>
    <n v="3"/>
    <n v="58.58"/>
    <x v="0"/>
    <n v="175.74"/>
    <x v="6"/>
    <x v="6"/>
  </r>
  <r>
    <s v="TXN01073"/>
    <d v="2025-07-26T00:00:00"/>
    <x v="1"/>
    <s v="Amlodipine 5mg"/>
    <x v="1"/>
    <x v="1"/>
    <s v="Jan Aushadhi"/>
    <n v="1"/>
    <n v="15.15"/>
    <x v="0"/>
    <n v="15.15"/>
    <x v="6"/>
    <x v="6"/>
  </r>
  <r>
    <s v="TXN01074"/>
    <d v="2025-07-26T00:00:00"/>
    <x v="2"/>
    <s v="Omeprazole 20mg"/>
    <x v="2"/>
    <x v="0"/>
    <s v="Dr. Reddy's"/>
    <n v="1"/>
    <n v="58.58"/>
    <x v="0"/>
    <n v="58.58"/>
    <x v="6"/>
    <x v="6"/>
  </r>
  <r>
    <s v="TXN01075"/>
    <d v="2025-07-27T00:00:00"/>
    <x v="0"/>
    <s v="Paracetamol 650mg"/>
    <x v="0"/>
    <x v="0"/>
    <s v="Micro Labs"/>
    <n v="3"/>
    <n v="32.32"/>
    <x v="2"/>
    <n v="96.960000000000008"/>
    <x v="6"/>
    <x v="6"/>
  </r>
  <r>
    <s v="TXN01076"/>
    <d v="2025-07-27T00:00:00"/>
    <x v="8"/>
    <s v="Azithromycin 500mg"/>
    <x v="5"/>
    <x v="1"/>
    <s v="Jan Aushadhi"/>
    <n v="2"/>
    <n v="55.55"/>
    <x v="1"/>
    <n v="111.1"/>
    <x v="6"/>
    <x v="6"/>
  </r>
  <r>
    <s v="TXN01077"/>
    <d v="2025-07-27T00:00:00"/>
    <x v="13"/>
    <s v="Metformin 500mg"/>
    <x v="7"/>
    <x v="0"/>
    <s v="USV"/>
    <n v="3"/>
    <n v="32.32"/>
    <x v="0"/>
    <n v="96.960000000000008"/>
    <x v="6"/>
    <x v="6"/>
  </r>
  <r>
    <s v="TXN01078"/>
    <d v="2025-07-27T00:00:00"/>
    <x v="22"/>
    <s v="Atorvastatin 10mg"/>
    <x v="3"/>
    <x v="0"/>
    <s v="Zydus"/>
    <n v="3"/>
    <n v="92.92"/>
    <x v="2"/>
    <n v="278.76"/>
    <x v="6"/>
    <x v="6"/>
  </r>
  <r>
    <s v="TXN01079"/>
    <d v="2025-07-27T00:00:00"/>
    <x v="15"/>
    <s v="Cetirizine 10mg"/>
    <x v="6"/>
    <x v="1"/>
    <s v="Jan Aushadhi"/>
    <n v="1"/>
    <n v="8"/>
    <x v="0"/>
    <n v="8"/>
    <x v="6"/>
    <x v="6"/>
  </r>
  <r>
    <s v="TXN01080"/>
    <d v="2025-07-27T00:00:00"/>
    <x v="7"/>
    <s v="Vitamin B-Complex"/>
    <x v="4"/>
    <x v="0"/>
    <s v="Pfizer"/>
    <n v="2"/>
    <n v="46"/>
    <x v="0"/>
    <n v="92"/>
    <x v="6"/>
    <x v="6"/>
  </r>
  <r>
    <s v="TXN01081"/>
    <d v="2025-07-28T00:00:00"/>
    <x v="13"/>
    <s v="Metformin 500mg"/>
    <x v="7"/>
    <x v="0"/>
    <s v="USV"/>
    <n v="12"/>
    <n v="32"/>
    <x v="0"/>
    <n v="384"/>
    <x v="6"/>
    <x v="6"/>
  </r>
  <r>
    <s v="TXN01082"/>
    <d v="2025-07-28T00:00:00"/>
    <x v="25"/>
    <s v="Amlodipine 5mg"/>
    <x v="1"/>
    <x v="0"/>
    <s v="Mankind"/>
    <n v="12"/>
    <n v="45.45"/>
    <x v="3"/>
    <n v="545.40000000000009"/>
    <x v="6"/>
    <x v="6"/>
  </r>
  <r>
    <s v="TXN01083"/>
    <d v="2025-07-28T00:00:00"/>
    <x v="25"/>
    <s v="Amlodipine 5mg"/>
    <x v="1"/>
    <x v="0"/>
    <s v="Mankind"/>
    <n v="6"/>
    <n v="45.45"/>
    <x v="0"/>
    <n v="272.70000000000005"/>
    <x v="6"/>
    <x v="6"/>
  </r>
  <r>
    <s v="TXN01084"/>
    <d v="2025-07-28T00:00:00"/>
    <x v="1"/>
    <s v="Amlodipine 5mg"/>
    <x v="1"/>
    <x v="1"/>
    <s v="Jan Aushadhi"/>
    <n v="1"/>
    <n v="15"/>
    <x v="0"/>
    <n v="15"/>
    <x v="6"/>
    <x v="6"/>
  </r>
  <r>
    <s v="TXN01085"/>
    <d v="2025-07-28T00:00:00"/>
    <x v="1"/>
    <s v="Amlodipine 5mg"/>
    <x v="1"/>
    <x v="1"/>
    <s v="Jan Aushadhi"/>
    <n v="6"/>
    <n v="15"/>
    <x v="0"/>
    <n v="90"/>
    <x v="6"/>
    <x v="6"/>
  </r>
  <r>
    <s v="TXN01086"/>
    <d v="2025-07-28T00:00:00"/>
    <x v="15"/>
    <s v="Cetirizine 10mg"/>
    <x v="6"/>
    <x v="1"/>
    <s v="Jan Aushadhi"/>
    <n v="1"/>
    <n v="8.08"/>
    <x v="1"/>
    <n v="8.08"/>
    <x v="6"/>
    <x v="6"/>
  </r>
  <r>
    <s v="TXN01087"/>
    <d v="2025-07-28T00:00:00"/>
    <x v="9"/>
    <s v="Ibuprofen 400mg"/>
    <x v="0"/>
    <x v="0"/>
    <s v="Abbott"/>
    <n v="1"/>
    <n v="42.42"/>
    <x v="0"/>
    <n v="42.42"/>
    <x v="6"/>
    <x v="6"/>
  </r>
  <r>
    <s v="TXN01088"/>
    <d v="2025-07-28T00:00:00"/>
    <x v="4"/>
    <s v="Ibuprofen 400mg"/>
    <x v="0"/>
    <x v="1"/>
    <s v="Jan Aushadhi"/>
    <n v="2"/>
    <n v="15.15"/>
    <x v="0"/>
    <n v="30.3"/>
    <x v="6"/>
    <x v="6"/>
  </r>
  <r>
    <s v="TXN01089"/>
    <d v="2025-07-28T00:00:00"/>
    <x v="29"/>
    <s v="Diclofenac 50mg"/>
    <x v="0"/>
    <x v="1"/>
    <s v="Jan Aushadhi"/>
    <n v="1"/>
    <n v="20"/>
    <x v="0"/>
    <n v="20"/>
    <x v="6"/>
    <x v="6"/>
  </r>
  <r>
    <s v="TXN01090"/>
    <d v="2025-07-29T00:00:00"/>
    <x v="18"/>
    <s v="Paracetamol 650mg"/>
    <x v="0"/>
    <x v="1"/>
    <s v="Jan Aushadhi"/>
    <n v="2"/>
    <n v="14"/>
    <x v="1"/>
    <n v="28"/>
    <x v="6"/>
    <x v="6"/>
  </r>
  <r>
    <s v="TXN01091"/>
    <d v="2025-07-29T00:00:00"/>
    <x v="18"/>
    <s v="Paracetamol 650mg"/>
    <x v="0"/>
    <x v="1"/>
    <s v="Jan Aushadhi"/>
    <n v="4"/>
    <n v="14.14"/>
    <x v="0"/>
    <n v="56.56"/>
    <x v="6"/>
    <x v="6"/>
  </r>
  <r>
    <s v="TXN01092"/>
    <d v="2025-07-29T00:00:00"/>
    <x v="16"/>
    <s v="Azithromycin 500mg"/>
    <x v="5"/>
    <x v="0"/>
    <s v="Alembic"/>
    <n v="1"/>
    <n v="126.25"/>
    <x v="3"/>
    <n v="126.25"/>
    <x v="6"/>
    <x v="6"/>
  </r>
  <r>
    <s v="TXN01093"/>
    <d v="2025-07-29T00:00:00"/>
    <x v="16"/>
    <s v="Azithromycin 500mg"/>
    <x v="5"/>
    <x v="0"/>
    <s v="Alembic"/>
    <n v="1"/>
    <n v="125"/>
    <x v="0"/>
    <n v="125"/>
    <x v="6"/>
    <x v="6"/>
  </r>
  <r>
    <s v="TXN01094"/>
    <d v="2025-07-29T00:00:00"/>
    <x v="11"/>
    <s v="Amoxicillin+Clavulanate 625mg"/>
    <x v="5"/>
    <x v="0"/>
    <s v="GSK"/>
    <n v="3"/>
    <n v="207.05"/>
    <x v="0"/>
    <n v="621.15000000000009"/>
    <x v="6"/>
    <x v="6"/>
  </r>
  <r>
    <s v="TXN01095"/>
    <d v="2025-07-29T00:00:00"/>
    <x v="12"/>
    <s v="Amoxicillin+Clavulanate 625mg"/>
    <x v="5"/>
    <x v="1"/>
    <s v="Jan Aushadhi"/>
    <n v="3"/>
    <n v="95.95"/>
    <x v="0"/>
    <n v="287.85000000000002"/>
    <x v="6"/>
    <x v="6"/>
  </r>
  <r>
    <s v="TXN01096"/>
    <d v="2025-07-29T00:00:00"/>
    <x v="23"/>
    <s v="Diclofenac 50mg"/>
    <x v="0"/>
    <x v="0"/>
    <s v="Novartis"/>
    <n v="1"/>
    <n v="62"/>
    <x v="1"/>
    <n v="62"/>
    <x v="6"/>
    <x v="6"/>
  </r>
  <r>
    <s v="TXN01097"/>
    <d v="2025-07-30T00:00:00"/>
    <x v="8"/>
    <s v="Azithromycin 500mg"/>
    <x v="5"/>
    <x v="1"/>
    <s v="Jan Aushadhi"/>
    <n v="1"/>
    <n v="55"/>
    <x v="0"/>
    <n v="55"/>
    <x v="6"/>
    <x v="6"/>
  </r>
  <r>
    <s v="TXN01098"/>
    <d v="2025-07-30T00:00:00"/>
    <x v="26"/>
    <s v="Atorvastatin 10mg"/>
    <x v="3"/>
    <x v="1"/>
    <s v="Jan Aushadhi"/>
    <n v="3"/>
    <n v="35.35"/>
    <x v="1"/>
    <n v="106.05000000000001"/>
    <x v="6"/>
    <x v="6"/>
  </r>
  <r>
    <s v="TXN01099"/>
    <d v="2025-07-30T00:00:00"/>
    <x v="3"/>
    <s v="Omeprazole 20mg"/>
    <x v="2"/>
    <x v="1"/>
    <s v="Jan Aushadhi"/>
    <n v="5"/>
    <n v="20.2"/>
    <x v="0"/>
    <n v="101"/>
    <x v="6"/>
    <x v="6"/>
  </r>
  <r>
    <s v="TXN01100"/>
    <d v="2025-07-30T00:00:00"/>
    <x v="23"/>
    <s v="Diclofenac 50mg"/>
    <x v="0"/>
    <x v="0"/>
    <s v="Novartis"/>
    <n v="1"/>
    <n v="62.62"/>
    <x v="0"/>
    <n v="62.62"/>
    <x v="6"/>
    <x v="6"/>
  </r>
  <r>
    <s v="TXN01101"/>
    <d v="2025-07-31T00:00:00"/>
    <x v="19"/>
    <s v="Metformin 500mg"/>
    <x v="7"/>
    <x v="1"/>
    <s v="Jan Aushadhi"/>
    <n v="6"/>
    <n v="12.12"/>
    <x v="0"/>
    <n v="72.72"/>
    <x v="6"/>
    <x v="6"/>
  </r>
  <r>
    <s v="TXN01102"/>
    <d v="2025-07-31T00:00:00"/>
    <x v="26"/>
    <s v="Atorvastatin 10mg"/>
    <x v="3"/>
    <x v="1"/>
    <s v="Jan Aushadhi"/>
    <n v="6"/>
    <n v="35"/>
    <x v="0"/>
    <n v="210"/>
    <x v="6"/>
    <x v="6"/>
  </r>
  <r>
    <s v="TXN01103"/>
    <d v="2025-07-31T00:00:00"/>
    <x v="30"/>
    <s v="Telmisartan 40mg"/>
    <x v="1"/>
    <x v="0"/>
    <s v="Glenmark"/>
    <n v="1"/>
    <n v="143.41999999999999"/>
    <x v="0"/>
    <n v="143.41999999999999"/>
    <x v="6"/>
    <x v="6"/>
  </r>
  <r>
    <s v="TXN01104"/>
    <d v="2025-07-31T00:00:00"/>
    <x v="21"/>
    <s v="Montelukast+Levocetirizine"/>
    <x v="8"/>
    <x v="0"/>
    <s v="Sun Pharma"/>
    <n v="5"/>
    <n v="183.82"/>
    <x v="0"/>
    <n v="919.09999999999991"/>
    <x v="6"/>
    <x v="6"/>
  </r>
  <r>
    <s v="TXN01105"/>
    <d v="2025-08-01T00:00:00"/>
    <x v="8"/>
    <s v="Azithromycin 500mg"/>
    <x v="5"/>
    <x v="1"/>
    <s v="Jan Aushadhi"/>
    <n v="2"/>
    <n v="55"/>
    <x v="3"/>
    <n v="110"/>
    <x v="7"/>
    <x v="7"/>
  </r>
  <r>
    <s v="TXN01106"/>
    <d v="2025-08-01T00:00:00"/>
    <x v="24"/>
    <s v="Glimepiride 2mg"/>
    <x v="7"/>
    <x v="0"/>
    <s v="Sanofi"/>
    <n v="6"/>
    <n v="190"/>
    <x v="3"/>
    <n v="1140"/>
    <x v="7"/>
    <x v="7"/>
  </r>
  <r>
    <s v="TXN01107"/>
    <d v="2025-08-01T00:00:00"/>
    <x v="22"/>
    <s v="Atorvastatin 10mg"/>
    <x v="3"/>
    <x v="0"/>
    <s v="Zydus"/>
    <n v="3"/>
    <n v="92.92"/>
    <x v="0"/>
    <n v="278.76"/>
    <x v="7"/>
    <x v="7"/>
  </r>
  <r>
    <s v="TXN01108"/>
    <d v="2025-08-01T00:00:00"/>
    <x v="6"/>
    <s v="Telmisartan 40mg"/>
    <x v="1"/>
    <x v="1"/>
    <s v="Jan Aushadhi"/>
    <n v="6"/>
    <n v="46.46"/>
    <x v="1"/>
    <n v="278.76"/>
    <x v="7"/>
    <x v="7"/>
  </r>
  <r>
    <s v="TXN01109"/>
    <d v="2025-08-01T00:00:00"/>
    <x v="9"/>
    <s v="Ibuprofen 400mg"/>
    <x v="0"/>
    <x v="0"/>
    <s v="Abbott"/>
    <n v="1"/>
    <n v="42.42"/>
    <x v="3"/>
    <n v="42.42"/>
    <x v="7"/>
    <x v="7"/>
  </r>
  <r>
    <s v="TXN01110"/>
    <d v="2025-08-02T00:00:00"/>
    <x v="16"/>
    <s v="Azithromycin 500mg"/>
    <x v="5"/>
    <x v="0"/>
    <s v="Alembic"/>
    <n v="3"/>
    <n v="126.25"/>
    <x v="2"/>
    <n v="378.75"/>
    <x v="7"/>
    <x v="7"/>
  </r>
  <r>
    <s v="TXN01111"/>
    <d v="2025-08-02T00:00:00"/>
    <x v="16"/>
    <s v="Azithromycin 500mg"/>
    <x v="5"/>
    <x v="0"/>
    <s v="Alembic"/>
    <n v="4"/>
    <n v="126.25"/>
    <x v="0"/>
    <n v="505"/>
    <x v="7"/>
    <x v="7"/>
  </r>
  <r>
    <s v="TXN01112"/>
    <d v="2025-08-02T00:00:00"/>
    <x v="19"/>
    <s v="Metformin 500mg"/>
    <x v="7"/>
    <x v="1"/>
    <s v="Jan Aushadhi"/>
    <n v="6"/>
    <n v="12"/>
    <x v="0"/>
    <n v="72"/>
    <x v="7"/>
    <x v="7"/>
  </r>
  <r>
    <s v="TXN01113"/>
    <d v="2025-08-02T00:00:00"/>
    <x v="28"/>
    <s v="Glimepiride 2mg"/>
    <x v="7"/>
    <x v="1"/>
    <s v="Jan Aushadhi"/>
    <n v="6"/>
    <n v="42.42"/>
    <x v="3"/>
    <n v="254.52"/>
    <x v="7"/>
    <x v="7"/>
  </r>
  <r>
    <s v="TXN01114"/>
    <d v="2025-08-02T00:00:00"/>
    <x v="30"/>
    <s v="Telmisartan 40mg"/>
    <x v="1"/>
    <x v="0"/>
    <s v="Glenmark"/>
    <n v="3"/>
    <n v="143.41999999999999"/>
    <x v="3"/>
    <n v="430.26"/>
    <x v="7"/>
    <x v="7"/>
  </r>
  <r>
    <s v="TXN01115"/>
    <d v="2025-08-02T00:00:00"/>
    <x v="14"/>
    <s v="Pantoprazole 40mg"/>
    <x v="2"/>
    <x v="0"/>
    <s v="Alkem"/>
    <n v="3"/>
    <n v="152"/>
    <x v="1"/>
    <n v="456"/>
    <x v="7"/>
    <x v="7"/>
  </r>
  <r>
    <s v="TXN01116"/>
    <d v="2025-08-02T00:00:00"/>
    <x v="3"/>
    <s v="Omeprazole 20mg"/>
    <x v="2"/>
    <x v="1"/>
    <s v="Jan Aushadhi"/>
    <n v="1"/>
    <n v="20.2"/>
    <x v="3"/>
    <n v="20.2"/>
    <x v="7"/>
    <x v="7"/>
  </r>
  <r>
    <s v="TXN01117"/>
    <d v="2025-08-03T00:00:00"/>
    <x v="8"/>
    <s v="Azithromycin 500mg"/>
    <x v="5"/>
    <x v="1"/>
    <s v="Jan Aushadhi"/>
    <n v="1"/>
    <n v="55"/>
    <x v="1"/>
    <n v="55"/>
    <x v="7"/>
    <x v="7"/>
  </r>
  <r>
    <s v="TXN01118"/>
    <d v="2025-08-03T00:00:00"/>
    <x v="5"/>
    <s v="Rosuvastatin 10mg"/>
    <x v="3"/>
    <x v="0"/>
    <s v="Sun Pharma"/>
    <n v="3"/>
    <n v="165"/>
    <x v="1"/>
    <n v="495"/>
    <x v="7"/>
    <x v="7"/>
  </r>
  <r>
    <s v="TXN01119"/>
    <d v="2025-08-04T00:00:00"/>
    <x v="0"/>
    <s v="Paracetamol 650mg"/>
    <x v="0"/>
    <x v="0"/>
    <s v="Micro Labs"/>
    <n v="4"/>
    <n v="32"/>
    <x v="1"/>
    <n v="128"/>
    <x v="7"/>
    <x v="7"/>
  </r>
  <r>
    <s v="TXN01120"/>
    <d v="2025-08-04T00:00:00"/>
    <x v="0"/>
    <s v="Paracetamol 650mg"/>
    <x v="0"/>
    <x v="0"/>
    <s v="Micro Labs"/>
    <n v="4"/>
    <n v="32.32"/>
    <x v="3"/>
    <n v="129.28"/>
    <x v="7"/>
    <x v="7"/>
  </r>
  <r>
    <s v="TXN01121"/>
    <d v="2025-08-04T00:00:00"/>
    <x v="9"/>
    <s v="Ibuprofen 400mg"/>
    <x v="0"/>
    <x v="0"/>
    <s v="Abbott"/>
    <n v="1"/>
    <n v="42.42"/>
    <x v="1"/>
    <n v="42.42"/>
    <x v="7"/>
    <x v="7"/>
  </r>
  <r>
    <s v="TXN01122"/>
    <d v="2025-08-05T00:00:00"/>
    <x v="18"/>
    <s v="Paracetamol 650mg"/>
    <x v="0"/>
    <x v="1"/>
    <s v="Jan Aushadhi"/>
    <n v="1"/>
    <n v="14.14"/>
    <x v="2"/>
    <n v="14.14"/>
    <x v="7"/>
    <x v="7"/>
  </r>
  <r>
    <s v="TXN01123"/>
    <d v="2025-08-05T00:00:00"/>
    <x v="22"/>
    <s v="Atorvastatin 10mg"/>
    <x v="3"/>
    <x v="0"/>
    <s v="Zydus"/>
    <n v="6"/>
    <n v="92.92"/>
    <x v="0"/>
    <n v="557.52"/>
    <x v="7"/>
    <x v="7"/>
  </r>
  <r>
    <s v="TXN01124"/>
    <d v="2025-08-05T00:00:00"/>
    <x v="25"/>
    <s v="Amlodipine 5mg"/>
    <x v="1"/>
    <x v="0"/>
    <s v="Mankind"/>
    <n v="6"/>
    <n v="45.45"/>
    <x v="0"/>
    <n v="272.70000000000005"/>
    <x v="7"/>
    <x v="7"/>
  </r>
  <r>
    <s v="TXN01125"/>
    <d v="2025-08-06T00:00:00"/>
    <x v="26"/>
    <s v="Atorvastatin 10mg"/>
    <x v="3"/>
    <x v="1"/>
    <s v="Jan Aushadhi"/>
    <n v="2"/>
    <n v="35.35"/>
    <x v="0"/>
    <n v="70.7"/>
    <x v="7"/>
    <x v="7"/>
  </r>
  <r>
    <s v="TXN01126"/>
    <d v="2025-08-06T00:00:00"/>
    <x v="1"/>
    <s v="Amlodipine 5mg"/>
    <x v="1"/>
    <x v="1"/>
    <s v="Jan Aushadhi"/>
    <n v="12"/>
    <n v="15"/>
    <x v="0"/>
    <n v="180"/>
    <x v="7"/>
    <x v="7"/>
  </r>
  <r>
    <s v="TXN01127"/>
    <d v="2025-08-06T00:00:00"/>
    <x v="6"/>
    <s v="Telmisartan 40mg"/>
    <x v="1"/>
    <x v="1"/>
    <s v="Jan Aushadhi"/>
    <n v="3"/>
    <n v="46.46"/>
    <x v="0"/>
    <n v="139.38"/>
    <x v="7"/>
    <x v="7"/>
  </r>
  <r>
    <s v="TXN01128"/>
    <d v="2025-08-06T00:00:00"/>
    <x v="6"/>
    <s v="Telmisartan 40mg"/>
    <x v="1"/>
    <x v="1"/>
    <s v="Jan Aushadhi"/>
    <n v="6"/>
    <n v="46.46"/>
    <x v="0"/>
    <n v="278.76"/>
    <x v="7"/>
    <x v="7"/>
  </r>
  <r>
    <s v="TXN01129"/>
    <d v="2025-08-06T00:00:00"/>
    <x v="2"/>
    <s v="Omeprazole 20mg"/>
    <x v="2"/>
    <x v="0"/>
    <s v="Dr. Reddy's"/>
    <n v="3"/>
    <n v="58.58"/>
    <x v="1"/>
    <n v="175.74"/>
    <x v="7"/>
    <x v="7"/>
  </r>
  <r>
    <s v="TXN01130"/>
    <d v="2025-08-06T00:00:00"/>
    <x v="3"/>
    <s v="Omeprazole 20mg"/>
    <x v="2"/>
    <x v="1"/>
    <s v="Jan Aushadhi"/>
    <n v="4"/>
    <n v="20"/>
    <x v="0"/>
    <n v="80"/>
    <x v="7"/>
    <x v="7"/>
  </r>
  <r>
    <s v="TXN01131"/>
    <d v="2025-08-06T00:00:00"/>
    <x v="3"/>
    <s v="Omeprazole 20mg"/>
    <x v="2"/>
    <x v="1"/>
    <s v="Jan Aushadhi"/>
    <n v="1"/>
    <n v="20.2"/>
    <x v="3"/>
    <n v="20.2"/>
    <x v="7"/>
    <x v="7"/>
  </r>
  <r>
    <s v="TXN01132"/>
    <d v="2025-08-07T00:00:00"/>
    <x v="25"/>
    <s v="Amlodipine 5mg"/>
    <x v="1"/>
    <x v="0"/>
    <s v="Mankind"/>
    <n v="3"/>
    <n v="45.45"/>
    <x v="0"/>
    <n v="136.35000000000002"/>
    <x v="7"/>
    <x v="7"/>
  </r>
  <r>
    <s v="TXN01133"/>
    <d v="2025-08-07T00:00:00"/>
    <x v="15"/>
    <s v="Cetirizine 10mg"/>
    <x v="6"/>
    <x v="1"/>
    <s v="Jan Aushadhi"/>
    <n v="4"/>
    <n v="8"/>
    <x v="3"/>
    <n v="32"/>
    <x v="7"/>
    <x v="7"/>
  </r>
  <r>
    <s v="TXN01134"/>
    <d v="2025-08-07T00:00:00"/>
    <x v="9"/>
    <s v="Ibuprofen 400mg"/>
    <x v="0"/>
    <x v="0"/>
    <s v="Abbott"/>
    <n v="3"/>
    <n v="42.42"/>
    <x v="0"/>
    <n v="127.26"/>
    <x v="7"/>
    <x v="7"/>
  </r>
  <r>
    <s v="TXN01135"/>
    <d v="2025-08-08T00:00:00"/>
    <x v="12"/>
    <s v="Amoxicillin+Clavulanate 625mg"/>
    <x v="5"/>
    <x v="1"/>
    <s v="Jan Aushadhi"/>
    <n v="2"/>
    <n v="95.95"/>
    <x v="0"/>
    <n v="191.9"/>
    <x v="7"/>
    <x v="7"/>
  </r>
  <r>
    <s v="TXN01136"/>
    <d v="2025-08-08T00:00:00"/>
    <x v="25"/>
    <s v="Amlodipine 5mg"/>
    <x v="1"/>
    <x v="0"/>
    <s v="Mankind"/>
    <n v="2"/>
    <n v="45.45"/>
    <x v="1"/>
    <n v="90.9"/>
    <x v="7"/>
    <x v="7"/>
  </r>
  <r>
    <s v="TXN01137"/>
    <d v="2025-08-08T00:00:00"/>
    <x v="30"/>
    <s v="Telmisartan 40mg"/>
    <x v="1"/>
    <x v="0"/>
    <s v="Glenmark"/>
    <n v="6"/>
    <n v="143.41999999999999"/>
    <x v="0"/>
    <n v="860.52"/>
    <x v="7"/>
    <x v="7"/>
  </r>
  <r>
    <s v="TXN01138"/>
    <d v="2025-08-08T00:00:00"/>
    <x v="10"/>
    <s v="Cetirizine 10mg"/>
    <x v="6"/>
    <x v="0"/>
    <s v="Cipla"/>
    <n v="4"/>
    <n v="26.26"/>
    <x v="0"/>
    <n v="105.04"/>
    <x v="7"/>
    <x v="7"/>
  </r>
  <r>
    <s v="TXN01139"/>
    <d v="2025-08-09T00:00:00"/>
    <x v="16"/>
    <s v="Azithromycin 500mg"/>
    <x v="5"/>
    <x v="0"/>
    <s v="Alembic"/>
    <n v="1"/>
    <n v="125"/>
    <x v="1"/>
    <n v="125"/>
    <x v="7"/>
    <x v="7"/>
  </r>
  <r>
    <s v="TXN01140"/>
    <d v="2025-08-09T00:00:00"/>
    <x v="13"/>
    <s v="Metformin 500mg"/>
    <x v="7"/>
    <x v="0"/>
    <s v="USV"/>
    <n v="6"/>
    <n v="32.32"/>
    <x v="2"/>
    <n v="193.92000000000002"/>
    <x v="7"/>
    <x v="7"/>
  </r>
  <r>
    <s v="TXN01141"/>
    <d v="2025-08-09T00:00:00"/>
    <x v="14"/>
    <s v="Pantoprazole 40mg"/>
    <x v="2"/>
    <x v="0"/>
    <s v="Alkem"/>
    <n v="3"/>
    <n v="152"/>
    <x v="2"/>
    <n v="456"/>
    <x v="7"/>
    <x v="7"/>
  </r>
  <r>
    <s v="TXN01142"/>
    <d v="2025-08-09T00:00:00"/>
    <x v="2"/>
    <s v="Omeprazole 20mg"/>
    <x v="2"/>
    <x v="0"/>
    <s v="Dr. Reddy's"/>
    <n v="2"/>
    <n v="58"/>
    <x v="0"/>
    <n v="116"/>
    <x v="7"/>
    <x v="7"/>
  </r>
  <r>
    <s v="TXN01143"/>
    <d v="2025-08-09T00:00:00"/>
    <x v="10"/>
    <s v="Cetirizine 10mg"/>
    <x v="6"/>
    <x v="0"/>
    <s v="Cipla"/>
    <n v="1"/>
    <n v="26.26"/>
    <x v="0"/>
    <n v="26.26"/>
    <x v="7"/>
    <x v="7"/>
  </r>
  <r>
    <s v="TXN01144"/>
    <d v="2025-08-09T00:00:00"/>
    <x v="9"/>
    <s v="Ibuprofen 400mg"/>
    <x v="0"/>
    <x v="0"/>
    <s v="Abbott"/>
    <n v="5"/>
    <n v="42"/>
    <x v="2"/>
    <n v="210"/>
    <x v="7"/>
    <x v="7"/>
  </r>
  <r>
    <s v="TXN01145"/>
    <d v="2025-08-09T00:00:00"/>
    <x v="7"/>
    <s v="Vitamin B-Complex"/>
    <x v="4"/>
    <x v="0"/>
    <s v="Pfizer"/>
    <n v="2"/>
    <n v="46.46"/>
    <x v="2"/>
    <n v="92.92"/>
    <x v="7"/>
    <x v="7"/>
  </r>
  <r>
    <s v="TXN01146"/>
    <d v="2025-08-10T00:00:00"/>
    <x v="8"/>
    <s v="Azithromycin 500mg"/>
    <x v="5"/>
    <x v="1"/>
    <s v="Jan Aushadhi"/>
    <n v="5"/>
    <n v="55"/>
    <x v="1"/>
    <n v="275"/>
    <x v="7"/>
    <x v="7"/>
  </r>
  <r>
    <s v="TXN01147"/>
    <d v="2025-08-10T00:00:00"/>
    <x v="13"/>
    <s v="Metformin 500mg"/>
    <x v="7"/>
    <x v="0"/>
    <s v="USV"/>
    <n v="2"/>
    <n v="32.32"/>
    <x v="0"/>
    <n v="64.64"/>
    <x v="7"/>
    <x v="7"/>
  </r>
  <r>
    <s v="TXN01148"/>
    <d v="2025-08-10T00:00:00"/>
    <x v="22"/>
    <s v="Atorvastatin 10mg"/>
    <x v="3"/>
    <x v="0"/>
    <s v="Zydus"/>
    <n v="3"/>
    <n v="92.92"/>
    <x v="1"/>
    <n v="278.76"/>
    <x v="7"/>
    <x v="7"/>
  </r>
  <r>
    <s v="TXN01149"/>
    <d v="2025-08-10T00:00:00"/>
    <x v="9"/>
    <s v="Ibuprofen 400mg"/>
    <x v="0"/>
    <x v="0"/>
    <s v="Abbott"/>
    <n v="4"/>
    <n v="42.42"/>
    <x v="0"/>
    <n v="169.68"/>
    <x v="7"/>
    <x v="7"/>
  </r>
  <r>
    <s v="TXN01150"/>
    <d v="2025-08-11T00:00:00"/>
    <x v="11"/>
    <s v="Amoxicillin+Clavulanate 625mg"/>
    <x v="5"/>
    <x v="0"/>
    <s v="GSK"/>
    <n v="2"/>
    <n v="205"/>
    <x v="3"/>
    <n v="410"/>
    <x v="7"/>
    <x v="7"/>
  </r>
  <r>
    <s v="TXN01151"/>
    <d v="2025-08-11T00:00:00"/>
    <x v="1"/>
    <s v="Amlodipine 5mg"/>
    <x v="1"/>
    <x v="1"/>
    <s v="Jan Aushadhi"/>
    <n v="3"/>
    <n v="15.15"/>
    <x v="0"/>
    <n v="45.45"/>
    <x v="7"/>
    <x v="7"/>
  </r>
  <r>
    <s v="TXN01152"/>
    <d v="2025-08-12T00:00:00"/>
    <x v="0"/>
    <s v="Paracetamol 650mg"/>
    <x v="0"/>
    <x v="0"/>
    <s v="Micro Labs"/>
    <n v="5"/>
    <n v="32"/>
    <x v="2"/>
    <n v="160"/>
    <x v="7"/>
    <x v="7"/>
  </r>
  <r>
    <s v="TXN01153"/>
    <d v="2025-08-12T00:00:00"/>
    <x v="0"/>
    <s v="Paracetamol 650mg"/>
    <x v="0"/>
    <x v="0"/>
    <s v="Micro Labs"/>
    <n v="2"/>
    <n v="32.32"/>
    <x v="3"/>
    <n v="64.64"/>
    <x v="7"/>
    <x v="7"/>
  </r>
  <r>
    <s v="TXN01154"/>
    <d v="2025-08-12T00:00:00"/>
    <x v="0"/>
    <s v="Paracetamol 650mg"/>
    <x v="0"/>
    <x v="0"/>
    <s v="Micro Labs"/>
    <n v="1"/>
    <n v="32"/>
    <x v="0"/>
    <n v="32"/>
    <x v="7"/>
    <x v="7"/>
  </r>
  <r>
    <s v="TXN01155"/>
    <d v="2025-08-12T00:00:00"/>
    <x v="13"/>
    <s v="Metformin 500mg"/>
    <x v="7"/>
    <x v="0"/>
    <s v="USV"/>
    <n v="3"/>
    <n v="32.32"/>
    <x v="3"/>
    <n v="96.960000000000008"/>
    <x v="7"/>
    <x v="7"/>
  </r>
  <r>
    <s v="TXN01156"/>
    <d v="2025-08-12T00:00:00"/>
    <x v="20"/>
    <s v="Pantoprazole 40mg"/>
    <x v="2"/>
    <x v="1"/>
    <s v="Jan Aushadhi"/>
    <n v="3"/>
    <n v="50.5"/>
    <x v="0"/>
    <n v="151.5"/>
    <x v="7"/>
    <x v="7"/>
  </r>
  <r>
    <s v="TXN01157"/>
    <d v="2025-08-12T00:00:00"/>
    <x v="31"/>
    <s v="Montelukast+Levocetirizine"/>
    <x v="8"/>
    <x v="1"/>
    <s v="Jan Aushadhi"/>
    <n v="1"/>
    <n v="70.7"/>
    <x v="3"/>
    <n v="70.7"/>
    <x v="7"/>
    <x v="7"/>
  </r>
  <r>
    <s v="TXN01158"/>
    <d v="2025-08-13T00:00:00"/>
    <x v="11"/>
    <s v="Amoxicillin+Clavulanate 625mg"/>
    <x v="5"/>
    <x v="0"/>
    <s v="GSK"/>
    <n v="1"/>
    <n v="207.05"/>
    <x v="0"/>
    <n v="207.05"/>
    <x v="7"/>
    <x v="7"/>
  </r>
  <r>
    <s v="TXN01159"/>
    <d v="2025-08-13T00:00:00"/>
    <x v="14"/>
    <s v="Pantoprazole 40mg"/>
    <x v="2"/>
    <x v="0"/>
    <s v="Alkem"/>
    <n v="5"/>
    <n v="153.52000000000001"/>
    <x v="2"/>
    <n v="767.6"/>
    <x v="7"/>
    <x v="7"/>
  </r>
  <r>
    <s v="TXN01160"/>
    <d v="2025-08-13T00:00:00"/>
    <x v="20"/>
    <s v="Pantoprazole 40mg"/>
    <x v="2"/>
    <x v="1"/>
    <s v="Jan Aushadhi"/>
    <n v="2"/>
    <n v="50.5"/>
    <x v="0"/>
    <n v="101"/>
    <x v="7"/>
    <x v="7"/>
  </r>
  <r>
    <s v="TXN01161"/>
    <d v="2025-08-13T00:00:00"/>
    <x v="15"/>
    <s v="Cetirizine 10mg"/>
    <x v="6"/>
    <x v="1"/>
    <s v="Jan Aushadhi"/>
    <n v="1"/>
    <n v="8"/>
    <x v="2"/>
    <n v="8"/>
    <x v="7"/>
    <x v="7"/>
  </r>
  <r>
    <s v="TXN01162"/>
    <d v="2025-08-14T00:00:00"/>
    <x v="0"/>
    <s v="Paracetamol 650mg"/>
    <x v="0"/>
    <x v="0"/>
    <s v="Micro Labs"/>
    <n v="2"/>
    <n v="32.32"/>
    <x v="0"/>
    <n v="64.64"/>
    <x v="7"/>
    <x v="7"/>
  </r>
  <r>
    <s v="TXN01163"/>
    <d v="2025-08-14T00:00:00"/>
    <x v="2"/>
    <s v="Omeprazole 20mg"/>
    <x v="2"/>
    <x v="0"/>
    <s v="Dr. Reddy's"/>
    <n v="3"/>
    <n v="58.58"/>
    <x v="2"/>
    <n v="175.74"/>
    <x v="7"/>
    <x v="7"/>
  </r>
  <r>
    <s v="TXN01164"/>
    <d v="2025-08-14T00:00:00"/>
    <x v="4"/>
    <s v="Ibuprofen 400mg"/>
    <x v="0"/>
    <x v="1"/>
    <s v="Jan Aushadhi"/>
    <n v="2"/>
    <n v="15.15"/>
    <x v="3"/>
    <n v="30.3"/>
    <x v="7"/>
    <x v="7"/>
  </r>
  <r>
    <s v="TXN01165"/>
    <d v="2025-08-14T00:00:00"/>
    <x v="4"/>
    <s v="Ibuprofen 400mg"/>
    <x v="0"/>
    <x v="1"/>
    <s v="Jan Aushadhi"/>
    <n v="3"/>
    <n v="15.15"/>
    <x v="0"/>
    <n v="45.45"/>
    <x v="7"/>
    <x v="7"/>
  </r>
  <r>
    <s v="TXN01166"/>
    <d v="2025-08-15T00:00:00"/>
    <x v="11"/>
    <s v="Amoxicillin+Clavulanate 625mg"/>
    <x v="5"/>
    <x v="0"/>
    <s v="GSK"/>
    <n v="1"/>
    <n v="205"/>
    <x v="0"/>
    <n v="205"/>
    <x v="7"/>
    <x v="7"/>
  </r>
  <r>
    <s v="TXN01167"/>
    <d v="2025-08-15T00:00:00"/>
    <x v="24"/>
    <s v="Glimepiride 2mg"/>
    <x v="7"/>
    <x v="0"/>
    <s v="Sanofi"/>
    <n v="6"/>
    <n v="191.9"/>
    <x v="0"/>
    <n v="1151.4000000000001"/>
    <x v="7"/>
    <x v="7"/>
  </r>
  <r>
    <s v="TXN01168"/>
    <d v="2025-08-15T00:00:00"/>
    <x v="30"/>
    <s v="Telmisartan 40mg"/>
    <x v="1"/>
    <x v="0"/>
    <s v="Glenmark"/>
    <n v="6"/>
    <n v="142"/>
    <x v="0"/>
    <n v="852"/>
    <x v="7"/>
    <x v="7"/>
  </r>
  <r>
    <s v="TXN01169"/>
    <d v="2025-08-15T00:00:00"/>
    <x v="20"/>
    <s v="Pantoprazole 40mg"/>
    <x v="2"/>
    <x v="1"/>
    <s v="Jan Aushadhi"/>
    <n v="1"/>
    <n v="50"/>
    <x v="2"/>
    <n v="50"/>
    <x v="7"/>
    <x v="7"/>
  </r>
  <r>
    <s v="TXN01170"/>
    <d v="2025-08-15T00:00:00"/>
    <x v="10"/>
    <s v="Cetirizine 10mg"/>
    <x v="6"/>
    <x v="0"/>
    <s v="Cipla"/>
    <n v="5"/>
    <n v="26.26"/>
    <x v="0"/>
    <n v="131.30000000000001"/>
    <x v="7"/>
    <x v="7"/>
  </r>
  <r>
    <s v="TXN01171"/>
    <d v="2025-08-15T00:00:00"/>
    <x v="29"/>
    <s v="Diclofenac 50mg"/>
    <x v="0"/>
    <x v="1"/>
    <s v="Jan Aushadhi"/>
    <n v="1"/>
    <n v="20"/>
    <x v="0"/>
    <n v="20"/>
    <x v="7"/>
    <x v="7"/>
  </r>
  <r>
    <s v="TXN01172"/>
    <d v="2025-08-16T00:00:00"/>
    <x v="0"/>
    <s v="Paracetamol 650mg"/>
    <x v="0"/>
    <x v="0"/>
    <s v="Micro Labs"/>
    <n v="1"/>
    <n v="32.32"/>
    <x v="1"/>
    <n v="32.32"/>
    <x v="7"/>
    <x v="7"/>
  </r>
  <r>
    <s v="TXN01173"/>
    <d v="2025-08-16T00:00:00"/>
    <x v="30"/>
    <s v="Telmisartan 40mg"/>
    <x v="1"/>
    <x v="0"/>
    <s v="Glenmark"/>
    <n v="6"/>
    <n v="143.41999999999999"/>
    <x v="0"/>
    <n v="860.52"/>
    <x v="7"/>
    <x v="7"/>
  </r>
  <r>
    <s v="TXN01174"/>
    <d v="2025-08-16T00:00:00"/>
    <x v="14"/>
    <s v="Pantoprazole 40mg"/>
    <x v="2"/>
    <x v="0"/>
    <s v="Alkem"/>
    <n v="3"/>
    <n v="152"/>
    <x v="0"/>
    <n v="456"/>
    <x v="7"/>
    <x v="7"/>
  </r>
  <r>
    <s v="TXN01175"/>
    <d v="2025-08-16T00:00:00"/>
    <x v="3"/>
    <s v="Omeprazole 20mg"/>
    <x v="2"/>
    <x v="1"/>
    <s v="Jan Aushadhi"/>
    <n v="5"/>
    <n v="20"/>
    <x v="3"/>
    <n v="100"/>
    <x v="7"/>
    <x v="7"/>
  </r>
  <r>
    <s v="TXN01176"/>
    <d v="2025-08-16T00:00:00"/>
    <x v="21"/>
    <s v="Montelukast+Levocetirizine"/>
    <x v="8"/>
    <x v="0"/>
    <s v="Sun Pharma"/>
    <n v="1"/>
    <n v="183.82"/>
    <x v="3"/>
    <n v="183.82"/>
    <x v="7"/>
    <x v="7"/>
  </r>
  <r>
    <s v="TXN01177"/>
    <d v="2025-08-16T00:00:00"/>
    <x v="7"/>
    <s v="Vitamin B-Complex"/>
    <x v="4"/>
    <x v="0"/>
    <s v="Pfizer"/>
    <n v="4"/>
    <n v="46"/>
    <x v="2"/>
    <n v="184"/>
    <x v="7"/>
    <x v="7"/>
  </r>
  <r>
    <s v="TXN01178"/>
    <d v="2025-08-16T00:00:00"/>
    <x v="27"/>
    <s v="Vitamin B-Complex"/>
    <x v="4"/>
    <x v="1"/>
    <s v="Jan Aushadhi"/>
    <n v="5"/>
    <n v="18"/>
    <x v="0"/>
    <n v="90"/>
    <x v="7"/>
    <x v="7"/>
  </r>
  <r>
    <s v="TXN01179"/>
    <d v="2025-08-17T00:00:00"/>
    <x v="0"/>
    <s v="Paracetamol 650mg"/>
    <x v="0"/>
    <x v="0"/>
    <s v="Micro Labs"/>
    <n v="1"/>
    <n v="32.32"/>
    <x v="0"/>
    <n v="32.32"/>
    <x v="7"/>
    <x v="7"/>
  </r>
  <r>
    <s v="TXN01180"/>
    <d v="2025-08-17T00:00:00"/>
    <x v="18"/>
    <s v="Paracetamol 650mg"/>
    <x v="0"/>
    <x v="1"/>
    <s v="Jan Aushadhi"/>
    <n v="1"/>
    <n v="14"/>
    <x v="0"/>
    <n v="14"/>
    <x v="7"/>
    <x v="7"/>
  </r>
  <r>
    <s v="TXN01181"/>
    <d v="2025-08-17T00:00:00"/>
    <x v="12"/>
    <s v="Amoxicillin+Clavulanate 625mg"/>
    <x v="5"/>
    <x v="1"/>
    <s v="Jan Aushadhi"/>
    <n v="1"/>
    <n v="95.95"/>
    <x v="3"/>
    <n v="95.95"/>
    <x v="7"/>
    <x v="7"/>
  </r>
  <r>
    <s v="TXN01182"/>
    <d v="2025-08-17T00:00:00"/>
    <x v="19"/>
    <s v="Metformin 500mg"/>
    <x v="7"/>
    <x v="1"/>
    <s v="Jan Aushadhi"/>
    <n v="1"/>
    <n v="12"/>
    <x v="3"/>
    <n v="12"/>
    <x v="7"/>
    <x v="7"/>
  </r>
  <r>
    <s v="TXN01183"/>
    <d v="2025-08-17T00:00:00"/>
    <x v="15"/>
    <s v="Cetirizine 10mg"/>
    <x v="6"/>
    <x v="1"/>
    <s v="Jan Aushadhi"/>
    <n v="2"/>
    <n v="8"/>
    <x v="1"/>
    <n v="16"/>
    <x v="7"/>
    <x v="7"/>
  </r>
  <r>
    <s v="TXN01184"/>
    <d v="2025-08-17T00:00:00"/>
    <x v="29"/>
    <s v="Diclofenac 50mg"/>
    <x v="0"/>
    <x v="1"/>
    <s v="Jan Aushadhi"/>
    <n v="4"/>
    <n v="20.2"/>
    <x v="3"/>
    <n v="80.8"/>
    <x v="7"/>
    <x v="7"/>
  </r>
  <r>
    <s v="TXN01185"/>
    <d v="2025-08-18T00:00:00"/>
    <x v="0"/>
    <s v="Paracetamol 650mg"/>
    <x v="0"/>
    <x v="0"/>
    <s v="Micro Labs"/>
    <n v="5"/>
    <n v="32.32"/>
    <x v="1"/>
    <n v="161.6"/>
    <x v="7"/>
    <x v="7"/>
  </r>
  <r>
    <s v="TXN01186"/>
    <d v="2025-08-18T00:00:00"/>
    <x v="16"/>
    <s v="Azithromycin 500mg"/>
    <x v="5"/>
    <x v="0"/>
    <s v="Alembic"/>
    <n v="4"/>
    <n v="125"/>
    <x v="3"/>
    <n v="500"/>
    <x v="7"/>
    <x v="7"/>
  </r>
  <r>
    <s v="TXN01187"/>
    <d v="2025-08-18T00:00:00"/>
    <x v="11"/>
    <s v="Amoxicillin+Clavulanate 625mg"/>
    <x v="5"/>
    <x v="0"/>
    <s v="GSK"/>
    <n v="2"/>
    <n v="205"/>
    <x v="0"/>
    <n v="410"/>
    <x v="7"/>
    <x v="7"/>
  </r>
  <r>
    <s v="TXN01188"/>
    <d v="2025-08-18T00:00:00"/>
    <x v="11"/>
    <s v="Amoxicillin+Clavulanate 625mg"/>
    <x v="5"/>
    <x v="0"/>
    <s v="GSK"/>
    <n v="3"/>
    <n v="205"/>
    <x v="1"/>
    <n v="615"/>
    <x v="7"/>
    <x v="7"/>
  </r>
  <r>
    <s v="TXN01189"/>
    <d v="2025-08-18T00:00:00"/>
    <x v="12"/>
    <s v="Amoxicillin+Clavulanate 625mg"/>
    <x v="5"/>
    <x v="1"/>
    <s v="Jan Aushadhi"/>
    <n v="4"/>
    <n v="95"/>
    <x v="0"/>
    <n v="380"/>
    <x v="7"/>
    <x v="7"/>
  </r>
  <r>
    <s v="TXN01190"/>
    <d v="2025-08-18T00:00:00"/>
    <x v="13"/>
    <s v="Metformin 500mg"/>
    <x v="7"/>
    <x v="0"/>
    <s v="USV"/>
    <n v="6"/>
    <n v="32"/>
    <x v="1"/>
    <n v="192"/>
    <x v="7"/>
    <x v="7"/>
  </r>
  <r>
    <s v="TXN01191"/>
    <d v="2025-08-18T00:00:00"/>
    <x v="19"/>
    <s v="Metformin 500mg"/>
    <x v="7"/>
    <x v="1"/>
    <s v="Jan Aushadhi"/>
    <n v="2"/>
    <n v="12"/>
    <x v="0"/>
    <n v="24"/>
    <x v="7"/>
    <x v="7"/>
  </r>
  <r>
    <s v="TXN01192"/>
    <d v="2025-08-18T00:00:00"/>
    <x v="26"/>
    <s v="Atorvastatin 10mg"/>
    <x v="3"/>
    <x v="1"/>
    <s v="Jan Aushadhi"/>
    <n v="1"/>
    <n v="35"/>
    <x v="2"/>
    <n v="35"/>
    <x v="7"/>
    <x v="7"/>
  </r>
  <r>
    <s v="TXN01193"/>
    <d v="2025-08-18T00:00:00"/>
    <x v="23"/>
    <s v="Diclofenac 50mg"/>
    <x v="0"/>
    <x v="0"/>
    <s v="Novartis"/>
    <n v="5"/>
    <n v="62"/>
    <x v="0"/>
    <n v="310"/>
    <x v="7"/>
    <x v="7"/>
  </r>
  <r>
    <s v="TXN01194"/>
    <d v="2025-08-18T00:00:00"/>
    <x v="23"/>
    <s v="Diclofenac 50mg"/>
    <x v="0"/>
    <x v="0"/>
    <s v="Novartis"/>
    <n v="5"/>
    <n v="62.62"/>
    <x v="0"/>
    <n v="313.09999999999997"/>
    <x v="7"/>
    <x v="7"/>
  </r>
  <r>
    <s v="TXN01195"/>
    <d v="2025-08-19T00:00:00"/>
    <x v="18"/>
    <s v="Paracetamol 650mg"/>
    <x v="0"/>
    <x v="1"/>
    <s v="Jan Aushadhi"/>
    <n v="4"/>
    <n v="14.14"/>
    <x v="1"/>
    <n v="56.56"/>
    <x v="7"/>
    <x v="7"/>
  </r>
  <r>
    <s v="TXN01196"/>
    <d v="2025-08-19T00:00:00"/>
    <x v="11"/>
    <s v="Amoxicillin+Clavulanate 625mg"/>
    <x v="5"/>
    <x v="0"/>
    <s v="GSK"/>
    <n v="2"/>
    <n v="205"/>
    <x v="0"/>
    <n v="410"/>
    <x v="7"/>
    <x v="7"/>
  </r>
  <r>
    <s v="TXN01197"/>
    <d v="2025-08-19T00:00:00"/>
    <x v="26"/>
    <s v="Atorvastatin 10mg"/>
    <x v="3"/>
    <x v="1"/>
    <s v="Jan Aushadhi"/>
    <n v="3"/>
    <n v="35.35"/>
    <x v="3"/>
    <n v="106.05000000000001"/>
    <x v="7"/>
    <x v="7"/>
  </r>
  <r>
    <s v="TXN01198"/>
    <d v="2025-08-19T00:00:00"/>
    <x v="14"/>
    <s v="Pantoprazole 40mg"/>
    <x v="2"/>
    <x v="0"/>
    <s v="Alkem"/>
    <n v="1"/>
    <n v="153.52000000000001"/>
    <x v="1"/>
    <n v="153.52000000000001"/>
    <x v="7"/>
    <x v="7"/>
  </r>
  <r>
    <s v="TXN01199"/>
    <d v="2025-08-19T00:00:00"/>
    <x v="20"/>
    <s v="Pantoprazole 40mg"/>
    <x v="2"/>
    <x v="1"/>
    <s v="Jan Aushadhi"/>
    <n v="1"/>
    <n v="50.5"/>
    <x v="0"/>
    <n v="50.5"/>
    <x v="7"/>
    <x v="7"/>
  </r>
  <r>
    <s v="TXN01200"/>
    <d v="2025-08-19T00:00:00"/>
    <x v="10"/>
    <s v="Cetirizine 10mg"/>
    <x v="6"/>
    <x v="0"/>
    <s v="Cipla"/>
    <n v="1"/>
    <n v="26"/>
    <x v="0"/>
    <n v="26"/>
    <x v="7"/>
    <x v="7"/>
  </r>
  <r>
    <s v="TXN01201"/>
    <d v="2025-08-19T00:00:00"/>
    <x v="15"/>
    <s v="Cetirizine 10mg"/>
    <x v="6"/>
    <x v="1"/>
    <s v="Jan Aushadhi"/>
    <n v="1"/>
    <n v="8"/>
    <x v="0"/>
    <n v="8"/>
    <x v="7"/>
    <x v="7"/>
  </r>
  <r>
    <s v="TXN01202"/>
    <d v="2025-08-19T00:00:00"/>
    <x v="9"/>
    <s v="Ibuprofen 400mg"/>
    <x v="0"/>
    <x v="0"/>
    <s v="Abbott"/>
    <n v="1"/>
    <n v="42.42"/>
    <x v="0"/>
    <n v="42.42"/>
    <x v="7"/>
    <x v="7"/>
  </r>
  <r>
    <s v="TXN01203"/>
    <d v="2025-08-19T00:00:00"/>
    <x v="23"/>
    <s v="Diclofenac 50mg"/>
    <x v="0"/>
    <x v="0"/>
    <s v="Novartis"/>
    <n v="3"/>
    <n v="62.62"/>
    <x v="0"/>
    <n v="187.85999999999999"/>
    <x v="7"/>
    <x v="7"/>
  </r>
  <r>
    <s v="TXN01204"/>
    <d v="2025-08-20T00:00:00"/>
    <x v="0"/>
    <s v="Paracetamol 650mg"/>
    <x v="0"/>
    <x v="0"/>
    <s v="Micro Labs"/>
    <n v="2"/>
    <n v="32"/>
    <x v="2"/>
    <n v="64"/>
    <x v="7"/>
    <x v="7"/>
  </r>
  <r>
    <s v="TXN01205"/>
    <d v="2025-08-20T00:00:00"/>
    <x v="0"/>
    <s v="Paracetamol 650mg"/>
    <x v="0"/>
    <x v="0"/>
    <s v="Micro Labs"/>
    <n v="3"/>
    <n v="32.32"/>
    <x v="0"/>
    <n v="96.960000000000008"/>
    <x v="7"/>
    <x v="7"/>
  </r>
  <r>
    <s v="TXN01206"/>
    <d v="2025-08-20T00:00:00"/>
    <x v="0"/>
    <s v="Paracetamol 650mg"/>
    <x v="0"/>
    <x v="0"/>
    <s v="Micro Labs"/>
    <n v="2"/>
    <n v="32.32"/>
    <x v="3"/>
    <n v="64.64"/>
    <x v="7"/>
    <x v="7"/>
  </r>
  <r>
    <s v="TXN01207"/>
    <d v="2025-08-20T00:00:00"/>
    <x v="18"/>
    <s v="Paracetamol 650mg"/>
    <x v="0"/>
    <x v="1"/>
    <s v="Jan Aushadhi"/>
    <n v="2"/>
    <n v="14.14"/>
    <x v="0"/>
    <n v="28.28"/>
    <x v="7"/>
    <x v="7"/>
  </r>
  <r>
    <s v="TXN01208"/>
    <d v="2025-08-20T00:00:00"/>
    <x v="16"/>
    <s v="Azithromycin 500mg"/>
    <x v="5"/>
    <x v="0"/>
    <s v="Alembic"/>
    <n v="2"/>
    <n v="126.25"/>
    <x v="1"/>
    <n v="252.5"/>
    <x v="7"/>
    <x v="7"/>
  </r>
  <r>
    <s v="TXN01209"/>
    <d v="2025-08-20T00:00:00"/>
    <x v="25"/>
    <s v="Amlodipine 5mg"/>
    <x v="1"/>
    <x v="0"/>
    <s v="Mankind"/>
    <n v="6"/>
    <n v="45.45"/>
    <x v="3"/>
    <n v="272.70000000000005"/>
    <x v="7"/>
    <x v="7"/>
  </r>
  <r>
    <s v="TXN01210"/>
    <d v="2025-08-20T00:00:00"/>
    <x v="10"/>
    <s v="Cetirizine 10mg"/>
    <x v="6"/>
    <x v="0"/>
    <s v="Cipla"/>
    <n v="1"/>
    <n v="26.26"/>
    <x v="1"/>
    <n v="26.26"/>
    <x v="7"/>
    <x v="7"/>
  </r>
  <r>
    <s v="TXN01211"/>
    <d v="2025-08-20T00:00:00"/>
    <x v="7"/>
    <s v="Vitamin B-Complex"/>
    <x v="4"/>
    <x v="0"/>
    <s v="Pfizer"/>
    <n v="1"/>
    <n v="46.46"/>
    <x v="0"/>
    <n v="46.46"/>
    <x v="7"/>
    <x v="7"/>
  </r>
  <r>
    <s v="TXN01212"/>
    <d v="2025-08-21T00:00:00"/>
    <x v="5"/>
    <s v="Rosuvastatin 10mg"/>
    <x v="3"/>
    <x v="0"/>
    <s v="Sun Pharma"/>
    <n v="3"/>
    <n v="166.65"/>
    <x v="1"/>
    <n v="499.95000000000005"/>
    <x v="7"/>
    <x v="7"/>
  </r>
  <r>
    <s v="TXN01213"/>
    <d v="2025-08-21T00:00:00"/>
    <x v="17"/>
    <s v="Rosuvastatin 10mg"/>
    <x v="3"/>
    <x v="1"/>
    <s v="Jan Aushadhi"/>
    <n v="1"/>
    <n v="58.58"/>
    <x v="3"/>
    <n v="58.58"/>
    <x v="7"/>
    <x v="7"/>
  </r>
  <r>
    <s v="TXN01214"/>
    <d v="2025-08-22T00:00:00"/>
    <x v="0"/>
    <s v="Paracetamol 650mg"/>
    <x v="0"/>
    <x v="0"/>
    <s v="Micro Labs"/>
    <n v="1"/>
    <n v="32.32"/>
    <x v="2"/>
    <n v="32.32"/>
    <x v="7"/>
    <x v="7"/>
  </r>
  <r>
    <s v="TXN01215"/>
    <d v="2025-08-22T00:00:00"/>
    <x v="8"/>
    <s v="Azithromycin 500mg"/>
    <x v="5"/>
    <x v="1"/>
    <s v="Jan Aushadhi"/>
    <n v="3"/>
    <n v="55.55"/>
    <x v="2"/>
    <n v="166.64999999999998"/>
    <x v="7"/>
    <x v="7"/>
  </r>
  <r>
    <s v="TXN01216"/>
    <d v="2025-08-22T00:00:00"/>
    <x v="19"/>
    <s v="Metformin 500mg"/>
    <x v="7"/>
    <x v="1"/>
    <s v="Jan Aushadhi"/>
    <n v="6"/>
    <n v="12.12"/>
    <x v="0"/>
    <n v="72.72"/>
    <x v="7"/>
    <x v="7"/>
  </r>
  <r>
    <s v="TXN01217"/>
    <d v="2025-08-22T00:00:00"/>
    <x v="5"/>
    <s v="Rosuvastatin 10mg"/>
    <x v="3"/>
    <x v="0"/>
    <s v="Sun Pharma"/>
    <n v="3"/>
    <n v="166.65"/>
    <x v="0"/>
    <n v="499.95000000000005"/>
    <x v="7"/>
    <x v="7"/>
  </r>
  <r>
    <s v="TXN01218"/>
    <d v="2025-08-22T00:00:00"/>
    <x v="14"/>
    <s v="Pantoprazole 40mg"/>
    <x v="2"/>
    <x v="0"/>
    <s v="Alkem"/>
    <n v="2"/>
    <n v="153.52000000000001"/>
    <x v="0"/>
    <n v="307.04000000000002"/>
    <x v="7"/>
    <x v="7"/>
  </r>
  <r>
    <s v="TXN01219"/>
    <d v="2025-08-22T00:00:00"/>
    <x v="10"/>
    <s v="Cetirizine 10mg"/>
    <x v="6"/>
    <x v="0"/>
    <s v="Cipla"/>
    <n v="2"/>
    <n v="26"/>
    <x v="0"/>
    <n v="52"/>
    <x v="7"/>
    <x v="7"/>
  </r>
  <r>
    <s v="TXN01220"/>
    <d v="2025-08-22T00:00:00"/>
    <x v="15"/>
    <s v="Cetirizine 10mg"/>
    <x v="6"/>
    <x v="1"/>
    <s v="Jan Aushadhi"/>
    <n v="3"/>
    <n v="8.08"/>
    <x v="3"/>
    <n v="24.240000000000002"/>
    <x v="7"/>
    <x v="7"/>
  </r>
  <r>
    <s v="TXN01221"/>
    <d v="2025-08-22T00:00:00"/>
    <x v="21"/>
    <s v="Montelukast+Levocetirizine"/>
    <x v="8"/>
    <x v="0"/>
    <s v="Sun Pharma"/>
    <n v="1"/>
    <n v="183.82"/>
    <x v="3"/>
    <n v="183.82"/>
    <x v="7"/>
    <x v="7"/>
  </r>
  <r>
    <s v="TXN01222"/>
    <d v="2025-08-22T00:00:00"/>
    <x v="4"/>
    <s v="Ibuprofen 400mg"/>
    <x v="0"/>
    <x v="1"/>
    <s v="Jan Aushadhi"/>
    <n v="4"/>
    <n v="15"/>
    <x v="0"/>
    <n v="60"/>
    <x v="7"/>
    <x v="7"/>
  </r>
  <r>
    <s v="TXN01223"/>
    <d v="2025-08-22T00:00:00"/>
    <x v="7"/>
    <s v="Vitamin B-Complex"/>
    <x v="4"/>
    <x v="0"/>
    <s v="Pfizer"/>
    <n v="1"/>
    <n v="46"/>
    <x v="0"/>
    <n v="46"/>
    <x v="7"/>
    <x v="7"/>
  </r>
  <r>
    <s v="TXN01224"/>
    <d v="2025-08-23T00:00:00"/>
    <x v="0"/>
    <s v="Paracetamol 650mg"/>
    <x v="0"/>
    <x v="0"/>
    <s v="Micro Labs"/>
    <n v="1"/>
    <n v="32.32"/>
    <x v="0"/>
    <n v="32.32"/>
    <x v="7"/>
    <x v="7"/>
  </r>
  <r>
    <s v="TXN01225"/>
    <d v="2025-08-23T00:00:00"/>
    <x v="18"/>
    <s v="Paracetamol 650mg"/>
    <x v="0"/>
    <x v="1"/>
    <s v="Jan Aushadhi"/>
    <n v="2"/>
    <n v="14"/>
    <x v="0"/>
    <n v="28"/>
    <x v="7"/>
    <x v="7"/>
  </r>
  <r>
    <s v="TXN01226"/>
    <d v="2025-08-23T00:00:00"/>
    <x v="18"/>
    <s v="Paracetamol 650mg"/>
    <x v="0"/>
    <x v="1"/>
    <s v="Jan Aushadhi"/>
    <n v="3"/>
    <n v="14.14"/>
    <x v="2"/>
    <n v="42.42"/>
    <x v="7"/>
    <x v="7"/>
  </r>
  <r>
    <s v="TXN01227"/>
    <d v="2025-08-23T00:00:00"/>
    <x v="8"/>
    <s v="Azithromycin 500mg"/>
    <x v="5"/>
    <x v="1"/>
    <s v="Jan Aushadhi"/>
    <n v="3"/>
    <n v="55.55"/>
    <x v="3"/>
    <n v="166.64999999999998"/>
    <x v="7"/>
    <x v="7"/>
  </r>
  <r>
    <s v="TXN01228"/>
    <d v="2025-08-23T00:00:00"/>
    <x v="19"/>
    <s v="Metformin 500mg"/>
    <x v="7"/>
    <x v="1"/>
    <s v="Jan Aushadhi"/>
    <n v="3"/>
    <n v="12"/>
    <x v="2"/>
    <n v="36"/>
    <x v="7"/>
    <x v="7"/>
  </r>
  <r>
    <s v="TXN01229"/>
    <d v="2025-08-23T00:00:00"/>
    <x v="27"/>
    <s v="Vitamin B-Complex"/>
    <x v="4"/>
    <x v="1"/>
    <s v="Jan Aushadhi"/>
    <n v="1"/>
    <n v="18"/>
    <x v="1"/>
    <n v="18"/>
    <x v="7"/>
    <x v="7"/>
  </r>
  <r>
    <s v="TXN01230"/>
    <d v="2025-08-24T00:00:00"/>
    <x v="0"/>
    <s v="Paracetamol 650mg"/>
    <x v="0"/>
    <x v="0"/>
    <s v="Micro Labs"/>
    <n v="4"/>
    <n v="32"/>
    <x v="0"/>
    <n v="128"/>
    <x v="7"/>
    <x v="7"/>
  </r>
  <r>
    <s v="TXN01231"/>
    <d v="2025-08-24T00:00:00"/>
    <x v="8"/>
    <s v="Azithromycin 500mg"/>
    <x v="5"/>
    <x v="1"/>
    <s v="Jan Aushadhi"/>
    <n v="2"/>
    <n v="55.55"/>
    <x v="0"/>
    <n v="111.1"/>
    <x v="7"/>
    <x v="7"/>
  </r>
  <r>
    <s v="TXN01232"/>
    <d v="2025-08-24T00:00:00"/>
    <x v="19"/>
    <s v="Metformin 500mg"/>
    <x v="7"/>
    <x v="1"/>
    <s v="Jan Aushadhi"/>
    <n v="6"/>
    <n v="12"/>
    <x v="0"/>
    <n v="72"/>
    <x v="7"/>
    <x v="7"/>
  </r>
  <r>
    <s v="TXN01233"/>
    <d v="2025-08-24T00:00:00"/>
    <x v="28"/>
    <s v="Glimepiride 2mg"/>
    <x v="7"/>
    <x v="1"/>
    <s v="Jan Aushadhi"/>
    <n v="3"/>
    <n v="42.42"/>
    <x v="3"/>
    <n v="127.26"/>
    <x v="7"/>
    <x v="7"/>
  </r>
  <r>
    <s v="TXN01234"/>
    <d v="2025-08-24T00:00:00"/>
    <x v="26"/>
    <s v="Atorvastatin 10mg"/>
    <x v="3"/>
    <x v="1"/>
    <s v="Jan Aushadhi"/>
    <n v="6"/>
    <n v="35"/>
    <x v="0"/>
    <n v="210"/>
    <x v="7"/>
    <x v="7"/>
  </r>
  <r>
    <s v="TXN01235"/>
    <d v="2025-08-24T00:00:00"/>
    <x v="1"/>
    <s v="Amlodipine 5mg"/>
    <x v="1"/>
    <x v="1"/>
    <s v="Jan Aushadhi"/>
    <n v="6"/>
    <n v="15.15"/>
    <x v="2"/>
    <n v="90.9"/>
    <x v="7"/>
    <x v="7"/>
  </r>
  <r>
    <s v="TXN01236"/>
    <d v="2025-08-25T00:00:00"/>
    <x v="0"/>
    <s v="Paracetamol 650mg"/>
    <x v="0"/>
    <x v="0"/>
    <s v="Micro Labs"/>
    <n v="2"/>
    <n v="32"/>
    <x v="0"/>
    <n v="64"/>
    <x v="7"/>
    <x v="7"/>
  </r>
  <r>
    <s v="TXN01237"/>
    <d v="2025-08-25T00:00:00"/>
    <x v="18"/>
    <s v="Paracetamol 650mg"/>
    <x v="0"/>
    <x v="1"/>
    <s v="Jan Aushadhi"/>
    <n v="3"/>
    <n v="14.14"/>
    <x v="0"/>
    <n v="42.42"/>
    <x v="7"/>
    <x v="7"/>
  </r>
  <r>
    <s v="TXN01238"/>
    <d v="2025-08-25T00:00:00"/>
    <x v="16"/>
    <s v="Azithromycin 500mg"/>
    <x v="5"/>
    <x v="0"/>
    <s v="Alembic"/>
    <n v="1"/>
    <n v="126.25"/>
    <x v="1"/>
    <n v="126.25"/>
    <x v="7"/>
    <x v="7"/>
  </r>
  <r>
    <s v="TXN01239"/>
    <d v="2025-08-25T00:00:00"/>
    <x v="11"/>
    <s v="Amoxicillin+Clavulanate 625mg"/>
    <x v="5"/>
    <x v="0"/>
    <s v="GSK"/>
    <n v="2"/>
    <n v="207.05"/>
    <x v="3"/>
    <n v="414.1"/>
    <x v="7"/>
    <x v="7"/>
  </r>
  <r>
    <s v="TXN01240"/>
    <d v="2025-08-25T00:00:00"/>
    <x v="1"/>
    <s v="Amlodipine 5mg"/>
    <x v="1"/>
    <x v="1"/>
    <s v="Jan Aushadhi"/>
    <n v="3"/>
    <n v="15.15"/>
    <x v="2"/>
    <n v="45.45"/>
    <x v="7"/>
    <x v="7"/>
  </r>
  <r>
    <s v="TXN01241"/>
    <d v="2025-08-25T00:00:00"/>
    <x v="14"/>
    <s v="Pantoprazole 40mg"/>
    <x v="2"/>
    <x v="0"/>
    <s v="Alkem"/>
    <n v="5"/>
    <n v="152"/>
    <x v="2"/>
    <n v="760"/>
    <x v="7"/>
    <x v="7"/>
  </r>
  <r>
    <s v="TXN01242"/>
    <d v="2025-08-25T00:00:00"/>
    <x v="21"/>
    <s v="Montelukast+Levocetirizine"/>
    <x v="8"/>
    <x v="0"/>
    <s v="Sun Pharma"/>
    <n v="1"/>
    <n v="182"/>
    <x v="0"/>
    <n v="182"/>
    <x v="7"/>
    <x v="7"/>
  </r>
  <r>
    <s v="TXN01243"/>
    <d v="2025-08-26T00:00:00"/>
    <x v="0"/>
    <s v="Paracetamol 650mg"/>
    <x v="0"/>
    <x v="0"/>
    <s v="Micro Labs"/>
    <n v="1"/>
    <n v="32"/>
    <x v="0"/>
    <n v="32"/>
    <x v="7"/>
    <x v="7"/>
  </r>
  <r>
    <s v="TXN01244"/>
    <d v="2025-08-26T00:00:00"/>
    <x v="16"/>
    <s v="Azithromycin 500mg"/>
    <x v="5"/>
    <x v="0"/>
    <s v="Alembic"/>
    <n v="2"/>
    <n v="125"/>
    <x v="3"/>
    <n v="250"/>
    <x v="7"/>
    <x v="7"/>
  </r>
  <r>
    <s v="TXN01245"/>
    <d v="2025-08-26T00:00:00"/>
    <x v="16"/>
    <s v="Azithromycin 500mg"/>
    <x v="5"/>
    <x v="0"/>
    <s v="Alembic"/>
    <n v="2"/>
    <n v="126.25"/>
    <x v="1"/>
    <n v="252.5"/>
    <x v="7"/>
    <x v="7"/>
  </r>
  <r>
    <s v="TXN01246"/>
    <d v="2025-08-26T00:00:00"/>
    <x v="24"/>
    <s v="Glimepiride 2mg"/>
    <x v="7"/>
    <x v="0"/>
    <s v="Sanofi"/>
    <n v="6"/>
    <n v="190"/>
    <x v="3"/>
    <n v="1140"/>
    <x v="7"/>
    <x v="7"/>
  </r>
  <r>
    <s v="TXN01247"/>
    <d v="2025-08-26T00:00:00"/>
    <x v="22"/>
    <s v="Atorvastatin 10mg"/>
    <x v="3"/>
    <x v="0"/>
    <s v="Zydus"/>
    <n v="6"/>
    <n v="92.92"/>
    <x v="2"/>
    <n v="557.52"/>
    <x v="7"/>
    <x v="7"/>
  </r>
  <r>
    <s v="TXN01248"/>
    <d v="2025-08-27T00:00:00"/>
    <x v="0"/>
    <s v="Paracetamol 650mg"/>
    <x v="0"/>
    <x v="0"/>
    <s v="Micro Labs"/>
    <n v="2"/>
    <n v="32.32"/>
    <x v="0"/>
    <n v="64.64"/>
    <x v="7"/>
    <x v="7"/>
  </r>
  <r>
    <s v="TXN01249"/>
    <d v="2025-08-27T00:00:00"/>
    <x v="0"/>
    <s v="Paracetamol 650mg"/>
    <x v="0"/>
    <x v="0"/>
    <s v="Micro Labs"/>
    <n v="2"/>
    <n v="32.32"/>
    <x v="0"/>
    <n v="64.64"/>
    <x v="7"/>
    <x v="7"/>
  </r>
  <r>
    <s v="TXN01250"/>
    <d v="2025-08-27T00:00:00"/>
    <x v="0"/>
    <s v="Paracetamol 650mg"/>
    <x v="0"/>
    <x v="0"/>
    <s v="Micro Labs"/>
    <n v="1"/>
    <n v="32.32"/>
    <x v="0"/>
    <n v="32.32"/>
    <x v="7"/>
    <x v="7"/>
  </r>
  <r>
    <s v="TXN01251"/>
    <d v="2025-08-27T00:00:00"/>
    <x v="0"/>
    <s v="Paracetamol 650mg"/>
    <x v="0"/>
    <x v="0"/>
    <s v="Micro Labs"/>
    <n v="5"/>
    <n v="32.32"/>
    <x v="0"/>
    <n v="161.6"/>
    <x v="7"/>
    <x v="7"/>
  </r>
  <r>
    <s v="TXN01252"/>
    <d v="2025-08-27T00:00:00"/>
    <x v="19"/>
    <s v="Metformin 500mg"/>
    <x v="7"/>
    <x v="1"/>
    <s v="Jan Aushadhi"/>
    <n v="1"/>
    <n v="12.12"/>
    <x v="1"/>
    <n v="12.12"/>
    <x v="7"/>
    <x v="7"/>
  </r>
  <r>
    <s v="TXN01253"/>
    <d v="2025-08-27T00:00:00"/>
    <x v="24"/>
    <s v="Glimepiride 2mg"/>
    <x v="7"/>
    <x v="0"/>
    <s v="Sanofi"/>
    <n v="1"/>
    <n v="191.9"/>
    <x v="0"/>
    <n v="191.9"/>
    <x v="7"/>
    <x v="7"/>
  </r>
  <r>
    <s v="TXN01254"/>
    <d v="2025-08-27T00:00:00"/>
    <x v="1"/>
    <s v="Amlodipine 5mg"/>
    <x v="1"/>
    <x v="1"/>
    <s v="Jan Aushadhi"/>
    <n v="3"/>
    <n v="15.15"/>
    <x v="1"/>
    <n v="45.45"/>
    <x v="7"/>
    <x v="7"/>
  </r>
  <r>
    <s v="TXN01255"/>
    <d v="2025-08-27T00:00:00"/>
    <x v="1"/>
    <s v="Amlodipine 5mg"/>
    <x v="1"/>
    <x v="1"/>
    <s v="Jan Aushadhi"/>
    <n v="6"/>
    <n v="15.15"/>
    <x v="3"/>
    <n v="90.9"/>
    <x v="7"/>
    <x v="7"/>
  </r>
  <r>
    <s v="TXN01256"/>
    <d v="2025-08-27T00:00:00"/>
    <x v="2"/>
    <s v="Omeprazole 20mg"/>
    <x v="2"/>
    <x v="0"/>
    <s v="Dr. Reddy's"/>
    <n v="1"/>
    <n v="58.58"/>
    <x v="0"/>
    <n v="58.58"/>
    <x v="7"/>
    <x v="7"/>
  </r>
  <r>
    <s v="TXN01257"/>
    <d v="2025-08-27T00:00:00"/>
    <x v="15"/>
    <s v="Cetirizine 10mg"/>
    <x v="6"/>
    <x v="1"/>
    <s v="Jan Aushadhi"/>
    <n v="1"/>
    <n v="8.08"/>
    <x v="1"/>
    <n v="8.08"/>
    <x v="7"/>
    <x v="7"/>
  </r>
  <r>
    <s v="TXN01258"/>
    <d v="2025-08-28T00:00:00"/>
    <x v="8"/>
    <s v="Azithromycin 500mg"/>
    <x v="5"/>
    <x v="1"/>
    <s v="Jan Aushadhi"/>
    <n v="5"/>
    <n v="55"/>
    <x v="1"/>
    <n v="275"/>
    <x v="7"/>
    <x v="7"/>
  </r>
  <r>
    <s v="TXN01259"/>
    <d v="2025-08-28T00:00:00"/>
    <x v="1"/>
    <s v="Amlodipine 5mg"/>
    <x v="1"/>
    <x v="1"/>
    <s v="Jan Aushadhi"/>
    <n v="2"/>
    <n v="15"/>
    <x v="0"/>
    <n v="30"/>
    <x v="7"/>
    <x v="7"/>
  </r>
  <r>
    <s v="TXN01260"/>
    <d v="2025-08-28T00:00:00"/>
    <x v="29"/>
    <s v="Diclofenac 50mg"/>
    <x v="0"/>
    <x v="1"/>
    <s v="Jan Aushadhi"/>
    <n v="1"/>
    <n v="20.2"/>
    <x v="0"/>
    <n v="20.2"/>
    <x v="7"/>
    <x v="7"/>
  </r>
  <r>
    <s v="TXN01261"/>
    <d v="2025-08-29T00:00:00"/>
    <x v="18"/>
    <s v="Paracetamol 650mg"/>
    <x v="0"/>
    <x v="1"/>
    <s v="Jan Aushadhi"/>
    <n v="2"/>
    <n v="14.14"/>
    <x v="2"/>
    <n v="28.28"/>
    <x v="7"/>
    <x v="7"/>
  </r>
  <r>
    <s v="TXN01262"/>
    <d v="2025-08-29T00:00:00"/>
    <x v="13"/>
    <s v="Metformin 500mg"/>
    <x v="7"/>
    <x v="0"/>
    <s v="USV"/>
    <n v="3"/>
    <n v="32"/>
    <x v="0"/>
    <n v="96"/>
    <x v="7"/>
    <x v="7"/>
  </r>
  <r>
    <s v="TXN01263"/>
    <d v="2025-08-29T00:00:00"/>
    <x v="19"/>
    <s v="Metformin 500mg"/>
    <x v="7"/>
    <x v="1"/>
    <s v="Jan Aushadhi"/>
    <n v="6"/>
    <n v="12.12"/>
    <x v="2"/>
    <n v="72.72"/>
    <x v="7"/>
    <x v="7"/>
  </r>
  <r>
    <s v="TXN01264"/>
    <d v="2025-08-29T00:00:00"/>
    <x v="22"/>
    <s v="Atorvastatin 10mg"/>
    <x v="3"/>
    <x v="0"/>
    <s v="Zydus"/>
    <n v="12"/>
    <n v="92.92"/>
    <x v="2"/>
    <n v="1115.04"/>
    <x v="7"/>
    <x v="7"/>
  </r>
  <r>
    <s v="TXN01265"/>
    <d v="2025-08-29T00:00:00"/>
    <x v="26"/>
    <s v="Atorvastatin 10mg"/>
    <x v="3"/>
    <x v="1"/>
    <s v="Jan Aushadhi"/>
    <n v="12"/>
    <n v="35"/>
    <x v="0"/>
    <n v="420"/>
    <x v="7"/>
    <x v="7"/>
  </r>
  <r>
    <s v="TXN01266"/>
    <d v="2025-08-29T00:00:00"/>
    <x v="1"/>
    <s v="Amlodipine 5mg"/>
    <x v="1"/>
    <x v="1"/>
    <s v="Jan Aushadhi"/>
    <n v="2"/>
    <n v="15.15"/>
    <x v="2"/>
    <n v="30.3"/>
    <x v="7"/>
    <x v="7"/>
  </r>
  <r>
    <s v="TXN01267"/>
    <d v="2025-08-29T00:00:00"/>
    <x v="20"/>
    <s v="Pantoprazole 40mg"/>
    <x v="2"/>
    <x v="1"/>
    <s v="Jan Aushadhi"/>
    <n v="1"/>
    <n v="50.5"/>
    <x v="0"/>
    <n v="50.5"/>
    <x v="7"/>
    <x v="7"/>
  </r>
  <r>
    <s v="TXN01268"/>
    <d v="2025-08-29T00:00:00"/>
    <x v="31"/>
    <s v="Montelukast+Levocetirizine"/>
    <x v="8"/>
    <x v="1"/>
    <s v="Jan Aushadhi"/>
    <n v="4"/>
    <n v="70.7"/>
    <x v="0"/>
    <n v="282.8"/>
    <x v="7"/>
    <x v="7"/>
  </r>
  <r>
    <s v="TXN01269"/>
    <d v="2025-08-30T00:00:00"/>
    <x v="0"/>
    <s v="Paracetamol 650mg"/>
    <x v="0"/>
    <x v="0"/>
    <s v="Micro Labs"/>
    <n v="4"/>
    <n v="32"/>
    <x v="0"/>
    <n v="128"/>
    <x v="7"/>
    <x v="7"/>
  </r>
  <r>
    <s v="TXN01270"/>
    <d v="2025-08-30T00:00:00"/>
    <x v="18"/>
    <s v="Paracetamol 650mg"/>
    <x v="0"/>
    <x v="1"/>
    <s v="Jan Aushadhi"/>
    <n v="1"/>
    <n v="14.14"/>
    <x v="1"/>
    <n v="14.14"/>
    <x v="7"/>
    <x v="7"/>
  </r>
  <r>
    <s v="TXN01271"/>
    <d v="2025-08-30T00:00:00"/>
    <x v="11"/>
    <s v="Amoxicillin+Clavulanate 625mg"/>
    <x v="5"/>
    <x v="0"/>
    <s v="GSK"/>
    <n v="3"/>
    <n v="207.05"/>
    <x v="2"/>
    <n v="621.15000000000009"/>
    <x v="7"/>
    <x v="7"/>
  </r>
  <r>
    <s v="TXN01272"/>
    <d v="2025-08-30T00:00:00"/>
    <x v="13"/>
    <s v="Metformin 500mg"/>
    <x v="7"/>
    <x v="0"/>
    <s v="USV"/>
    <n v="3"/>
    <n v="32"/>
    <x v="1"/>
    <n v="96"/>
    <x v="7"/>
    <x v="7"/>
  </r>
  <r>
    <s v="TXN01273"/>
    <d v="2025-08-30T00:00:00"/>
    <x v="13"/>
    <s v="Metformin 500mg"/>
    <x v="7"/>
    <x v="0"/>
    <s v="USV"/>
    <n v="3"/>
    <n v="32.32"/>
    <x v="3"/>
    <n v="96.960000000000008"/>
    <x v="7"/>
    <x v="7"/>
  </r>
  <r>
    <s v="TXN01274"/>
    <d v="2025-08-30T00:00:00"/>
    <x v="7"/>
    <s v="Vitamin B-Complex"/>
    <x v="4"/>
    <x v="0"/>
    <s v="Pfizer"/>
    <n v="4"/>
    <n v="46.46"/>
    <x v="1"/>
    <n v="185.84"/>
    <x v="7"/>
    <x v="7"/>
  </r>
  <r>
    <s v="TXN01275"/>
    <d v="2025-08-31T00:00:00"/>
    <x v="0"/>
    <s v="Paracetamol 650mg"/>
    <x v="0"/>
    <x v="0"/>
    <s v="Micro Labs"/>
    <n v="3"/>
    <n v="32.32"/>
    <x v="0"/>
    <n v="96.960000000000008"/>
    <x v="7"/>
    <x v="7"/>
  </r>
  <r>
    <s v="TXN01276"/>
    <d v="2025-08-31T00:00:00"/>
    <x v="18"/>
    <s v="Paracetamol 650mg"/>
    <x v="0"/>
    <x v="1"/>
    <s v="Jan Aushadhi"/>
    <n v="1"/>
    <n v="14.14"/>
    <x v="3"/>
    <n v="14.14"/>
    <x v="7"/>
    <x v="7"/>
  </r>
  <r>
    <s v="TXN01277"/>
    <d v="2025-08-31T00:00:00"/>
    <x v="22"/>
    <s v="Atorvastatin 10mg"/>
    <x v="3"/>
    <x v="0"/>
    <s v="Zydus"/>
    <n v="6"/>
    <n v="92.92"/>
    <x v="1"/>
    <n v="557.52"/>
    <x v="7"/>
    <x v="7"/>
  </r>
  <r>
    <s v="TXN01278"/>
    <d v="2025-08-31T00:00:00"/>
    <x v="26"/>
    <s v="Atorvastatin 10mg"/>
    <x v="3"/>
    <x v="1"/>
    <s v="Jan Aushadhi"/>
    <n v="1"/>
    <n v="35"/>
    <x v="1"/>
    <n v="35"/>
    <x v="7"/>
    <x v="7"/>
  </r>
  <r>
    <s v="TXN01279"/>
    <d v="2025-08-31T00:00:00"/>
    <x v="17"/>
    <s v="Rosuvastatin 10mg"/>
    <x v="3"/>
    <x v="1"/>
    <s v="Jan Aushadhi"/>
    <n v="3"/>
    <n v="58"/>
    <x v="1"/>
    <n v="174"/>
    <x v="7"/>
    <x v="7"/>
  </r>
  <r>
    <s v="TXN01280"/>
    <d v="2025-08-31T00:00:00"/>
    <x v="25"/>
    <s v="Amlodipine 5mg"/>
    <x v="1"/>
    <x v="0"/>
    <s v="Mankind"/>
    <n v="3"/>
    <n v="45"/>
    <x v="0"/>
    <n v="135"/>
    <x v="7"/>
    <x v="7"/>
  </r>
  <r>
    <s v="TXN01281"/>
    <d v="2025-08-31T00:00:00"/>
    <x v="14"/>
    <s v="Pantoprazole 40mg"/>
    <x v="2"/>
    <x v="0"/>
    <s v="Alkem"/>
    <n v="2"/>
    <n v="153.52000000000001"/>
    <x v="0"/>
    <n v="307.04000000000002"/>
    <x v="7"/>
    <x v="7"/>
  </r>
  <r>
    <s v="TXN01282"/>
    <d v="2025-08-31T00:00:00"/>
    <x v="9"/>
    <s v="Ibuprofen 400mg"/>
    <x v="0"/>
    <x v="0"/>
    <s v="Abbott"/>
    <n v="5"/>
    <n v="42.42"/>
    <x v="0"/>
    <n v="212.10000000000002"/>
    <x v="7"/>
    <x v="7"/>
  </r>
  <r>
    <s v="TXN01283"/>
    <d v="2025-08-31T00:00:00"/>
    <x v="7"/>
    <s v="Vitamin B-Complex"/>
    <x v="4"/>
    <x v="0"/>
    <s v="Pfizer"/>
    <n v="1"/>
    <n v="46"/>
    <x v="0"/>
    <n v="46"/>
    <x v="7"/>
    <x v="7"/>
  </r>
  <r>
    <s v="TXN01284"/>
    <d v="2025-09-02T00:00:00"/>
    <x v="16"/>
    <s v="Azithromycin 500mg"/>
    <x v="5"/>
    <x v="0"/>
    <s v="Alembic"/>
    <n v="3"/>
    <n v="126.25"/>
    <x v="1"/>
    <n v="378.75"/>
    <x v="8"/>
    <x v="8"/>
  </r>
  <r>
    <s v="TXN01285"/>
    <d v="2025-09-02T00:00:00"/>
    <x v="1"/>
    <s v="Amlodipine 5mg"/>
    <x v="1"/>
    <x v="1"/>
    <s v="Jan Aushadhi"/>
    <n v="3"/>
    <n v="15"/>
    <x v="3"/>
    <n v="45"/>
    <x v="8"/>
    <x v="8"/>
  </r>
  <r>
    <s v="TXN01286"/>
    <d v="2025-09-02T00:00:00"/>
    <x v="14"/>
    <s v="Pantoprazole 40mg"/>
    <x v="2"/>
    <x v="0"/>
    <s v="Alkem"/>
    <n v="3"/>
    <n v="153.52000000000001"/>
    <x v="0"/>
    <n v="460.56000000000006"/>
    <x v="8"/>
    <x v="8"/>
  </r>
  <r>
    <s v="TXN01287"/>
    <d v="2025-09-02T00:00:00"/>
    <x v="21"/>
    <s v="Montelukast+Levocetirizine"/>
    <x v="8"/>
    <x v="0"/>
    <s v="Sun Pharma"/>
    <n v="2"/>
    <n v="183.82"/>
    <x v="2"/>
    <n v="367.64"/>
    <x v="8"/>
    <x v="8"/>
  </r>
  <r>
    <s v="TXN01288"/>
    <d v="2025-09-03T00:00:00"/>
    <x v="0"/>
    <s v="Paracetamol 650mg"/>
    <x v="0"/>
    <x v="0"/>
    <s v="Micro Labs"/>
    <n v="1"/>
    <n v="32.32"/>
    <x v="0"/>
    <n v="32.32"/>
    <x v="8"/>
    <x v="8"/>
  </r>
  <r>
    <s v="TXN01289"/>
    <d v="2025-09-03T00:00:00"/>
    <x v="19"/>
    <s v="Metformin 500mg"/>
    <x v="7"/>
    <x v="1"/>
    <s v="Jan Aushadhi"/>
    <n v="1"/>
    <n v="12"/>
    <x v="0"/>
    <n v="12"/>
    <x v="8"/>
    <x v="8"/>
  </r>
  <r>
    <s v="TXN01290"/>
    <d v="2025-09-03T00:00:00"/>
    <x v="10"/>
    <s v="Cetirizine 10mg"/>
    <x v="6"/>
    <x v="0"/>
    <s v="Cipla"/>
    <n v="4"/>
    <n v="26"/>
    <x v="3"/>
    <n v="104"/>
    <x v="8"/>
    <x v="8"/>
  </r>
  <r>
    <s v="TXN01291"/>
    <d v="2025-09-04T00:00:00"/>
    <x v="8"/>
    <s v="Azithromycin 500mg"/>
    <x v="5"/>
    <x v="1"/>
    <s v="Jan Aushadhi"/>
    <n v="3"/>
    <n v="55.55"/>
    <x v="3"/>
    <n v="166.64999999999998"/>
    <x v="8"/>
    <x v="8"/>
  </r>
  <r>
    <s v="TXN01292"/>
    <d v="2025-09-04T00:00:00"/>
    <x v="25"/>
    <s v="Amlodipine 5mg"/>
    <x v="1"/>
    <x v="0"/>
    <s v="Mankind"/>
    <n v="3"/>
    <n v="45"/>
    <x v="1"/>
    <n v="135"/>
    <x v="8"/>
    <x v="8"/>
  </r>
  <r>
    <s v="TXN01293"/>
    <d v="2025-09-04T00:00:00"/>
    <x v="15"/>
    <s v="Cetirizine 10mg"/>
    <x v="6"/>
    <x v="1"/>
    <s v="Jan Aushadhi"/>
    <n v="1"/>
    <n v="8.08"/>
    <x v="1"/>
    <n v="8.08"/>
    <x v="8"/>
    <x v="8"/>
  </r>
  <r>
    <s v="TXN01294"/>
    <d v="2025-09-05T00:00:00"/>
    <x v="18"/>
    <s v="Paracetamol 650mg"/>
    <x v="0"/>
    <x v="1"/>
    <s v="Jan Aushadhi"/>
    <n v="1"/>
    <n v="14"/>
    <x v="2"/>
    <n v="14"/>
    <x v="8"/>
    <x v="8"/>
  </r>
  <r>
    <s v="TXN01295"/>
    <d v="2025-09-05T00:00:00"/>
    <x v="19"/>
    <s v="Metformin 500mg"/>
    <x v="7"/>
    <x v="1"/>
    <s v="Jan Aushadhi"/>
    <n v="2"/>
    <n v="12.12"/>
    <x v="0"/>
    <n v="24.24"/>
    <x v="8"/>
    <x v="8"/>
  </r>
  <r>
    <s v="TXN01296"/>
    <d v="2025-09-05T00:00:00"/>
    <x v="19"/>
    <s v="Metformin 500mg"/>
    <x v="7"/>
    <x v="1"/>
    <s v="Jan Aushadhi"/>
    <n v="6"/>
    <n v="12.12"/>
    <x v="0"/>
    <n v="72.72"/>
    <x v="8"/>
    <x v="8"/>
  </r>
  <r>
    <s v="TXN01297"/>
    <d v="2025-09-05T00:00:00"/>
    <x v="24"/>
    <s v="Glimepiride 2mg"/>
    <x v="7"/>
    <x v="0"/>
    <s v="Sanofi"/>
    <n v="2"/>
    <n v="191.9"/>
    <x v="0"/>
    <n v="383.8"/>
    <x v="8"/>
    <x v="8"/>
  </r>
  <r>
    <s v="TXN01298"/>
    <d v="2025-09-05T00:00:00"/>
    <x v="28"/>
    <s v="Glimepiride 2mg"/>
    <x v="7"/>
    <x v="1"/>
    <s v="Jan Aushadhi"/>
    <n v="3"/>
    <n v="42"/>
    <x v="2"/>
    <n v="126"/>
    <x v="8"/>
    <x v="8"/>
  </r>
  <r>
    <s v="TXN01299"/>
    <d v="2025-09-05T00:00:00"/>
    <x v="26"/>
    <s v="Atorvastatin 10mg"/>
    <x v="3"/>
    <x v="1"/>
    <s v="Jan Aushadhi"/>
    <n v="3"/>
    <n v="35"/>
    <x v="3"/>
    <n v="105"/>
    <x v="8"/>
    <x v="8"/>
  </r>
  <r>
    <s v="TXN01300"/>
    <d v="2025-09-05T00:00:00"/>
    <x v="25"/>
    <s v="Amlodipine 5mg"/>
    <x v="1"/>
    <x v="0"/>
    <s v="Mankind"/>
    <n v="2"/>
    <n v="45"/>
    <x v="0"/>
    <n v="90"/>
    <x v="8"/>
    <x v="8"/>
  </r>
  <r>
    <s v="TXN01301"/>
    <d v="2025-09-05T00:00:00"/>
    <x v="14"/>
    <s v="Pantoprazole 40mg"/>
    <x v="2"/>
    <x v="0"/>
    <s v="Alkem"/>
    <n v="3"/>
    <n v="152"/>
    <x v="0"/>
    <n v="456"/>
    <x v="8"/>
    <x v="8"/>
  </r>
  <r>
    <s v="TXN01302"/>
    <d v="2025-09-06T00:00:00"/>
    <x v="18"/>
    <s v="Paracetamol 650mg"/>
    <x v="0"/>
    <x v="1"/>
    <s v="Jan Aushadhi"/>
    <n v="2"/>
    <n v="14.14"/>
    <x v="1"/>
    <n v="28.28"/>
    <x v="8"/>
    <x v="8"/>
  </r>
  <r>
    <s v="TXN01303"/>
    <d v="2025-09-06T00:00:00"/>
    <x v="11"/>
    <s v="Amoxicillin+Clavulanate 625mg"/>
    <x v="5"/>
    <x v="0"/>
    <s v="GSK"/>
    <n v="1"/>
    <n v="207.05"/>
    <x v="1"/>
    <n v="207.05"/>
    <x v="8"/>
    <x v="8"/>
  </r>
  <r>
    <s v="TXN01304"/>
    <d v="2025-09-06T00:00:00"/>
    <x v="11"/>
    <s v="Amoxicillin+Clavulanate 625mg"/>
    <x v="5"/>
    <x v="0"/>
    <s v="GSK"/>
    <n v="4"/>
    <n v="207.05"/>
    <x v="0"/>
    <n v="828.2"/>
    <x v="8"/>
    <x v="8"/>
  </r>
  <r>
    <s v="TXN01305"/>
    <d v="2025-09-06T00:00:00"/>
    <x v="30"/>
    <s v="Telmisartan 40mg"/>
    <x v="1"/>
    <x v="0"/>
    <s v="Glenmark"/>
    <n v="12"/>
    <n v="142"/>
    <x v="1"/>
    <n v="1704"/>
    <x v="8"/>
    <x v="8"/>
  </r>
  <r>
    <s v="TXN01306"/>
    <d v="2025-09-06T00:00:00"/>
    <x v="14"/>
    <s v="Pantoprazole 40mg"/>
    <x v="2"/>
    <x v="0"/>
    <s v="Alkem"/>
    <n v="5"/>
    <n v="152"/>
    <x v="1"/>
    <n v="760"/>
    <x v="8"/>
    <x v="8"/>
  </r>
  <r>
    <s v="TXN01307"/>
    <d v="2025-09-06T00:00:00"/>
    <x v="10"/>
    <s v="Cetirizine 10mg"/>
    <x v="6"/>
    <x v="0"/>
    <s v="Cipla"/>
    <n v="1"/>
    <n v="26"/>
    <x v="2"/>
    <n v="26"/>
    <x v="8"/>
    <x v="8"/>
  </r>
  <r>
    <s v="TXN01308"/>
    <d v="2025-09-07T00:00:00"/>
    <x v="18"/>
    <s v="Paracetamol 650mg"/>
    <x v="0"/>
    <x v="1"/>
    <s v="Jan Aushadhi"/>
    <n v="2"/>
    <n v="14.14"/>
    <x v="0"/>
    <n v="28.28"/>
    <x v="8"/>
    <x v="8"/>
  </r>
  <r>
    <s v="TXN01309"/>
    <d v="2025-09-07T00:00:00"/>
    <x v="18"/>
    <s v="Paracetamol 650mg"/>
    <x v="0"/>
    <x v="1"/>
    <s v="Jan Aushadhi"/>
    <n v="2"/>
    <n v="14.14"/>
    <x v="0"/>
    <n v="28.28"/>
    <x v="8"/>
    <x v="8"/>
  </r>
  <r>
    <s v="TXN01310"/>
    <d v="2025-09-07T00:00:00"/>
    <x v="11"/>
    <s v="Amoxicillin+Clavulanate 625mg"/>
    <x v="5"/>
    <x v="0"/>
    <s v="GSK"/>
    <n v="4"/>
    <n v="207.05"/>
    <x v="0"/>
    <n v="828.2"/>
    <x v="8"/>
    <x v="8"/>
  </r>
  <r>
    <s v="TXN01311"/>
    <d v="2025-09-07T00:00:00"/>
    <x v="13"/>
    <s v="Metformin 500mg"/>
    <x v="7"/>
    <x v="0"/>
    <s v="USV"/>
    <n v="6"/>
    <n v="32.32"/>
    <x v="1"/>
    <n v="193.92000000000002"/>
    <x v="8"/>
    <x v="8"/>
  </r>
  <r>
    <s v="TXN01312"/>
    <d v="2025-09-07T00:00:00"/>
    <x v="17"/>
    <s v="Rosuvastatin 10mg"/>
    <x v="3"/>
    <x v="1"/>
    <s v="Jan Aushadhi"/>
    <n v="1"/>
    <n v="58"/>
    <x v="0"/>
    <n v="58"/>
    <x v="8"/>
    <x v="8"/>
  </r>
  <r>
    <s v="TXN01313"/>
    <d v="2025-09-07T00:00:00"/>
    <x v="6"/>
    <s v="Telmisartan 40mg"/>
    <x v="1"/>
    <x v="1"/>
    <s v="Jan Aushadhi"/>
    <n v="1"/>
    <n v="46.46"/>
    <x v="0"/>
    <n v="46.46"/>
    <x v="8"/>
    <x v="8"/>
  </r>
  <r>
    <s v="TXN01314"/>
    <d v="2025-09-07T00:00:00"/>
    <x v="20"/>
    <s v="Pantoprazole 40mg"/>
    <x v="2"/>
    <x v="1"/>
    <s v="Jan Aushadhi"/>
    <n v="1"/>
    <n v="50.5"/>
    <x v="0"/>
    <n v="50.5"/>
    <x v="8"/>
    <x v="8"/>
  </r>
  <r>
    <s v="TXN01315"/>
    <d v="2025-09-07T00:00:00"/>
    <x v="21"/>
    <s v="Montelukast+Levocetirizine"/>
    <x v="8"/>
    <x v="0"/>
    <s v="Sun Pharma"/>
    <n v="1"/>
    <n v="182"/>
    <x v="1"/>
    <n v="182"/>
    <x v="8"/>
    <x v="8"/>
  </r>
  <r>
    <s v="TXN01316"/>
    <d v="2025-09-08T00:00:00"/>
    <x v="0"/>
    <s v="Paracetamol 650mg"/>
    <x v="0"/>
    <x v="0"/>
    <s v="Micro Labs"/>
    <n v="2"/>
    <n v="32.32"/>
    <x v="0"/>
    <n v="64.64"/>
    <x v="8"/>
    <x v="8"/>
  </r>
  <r>
    <s v="TXN01317"/>
    <d v="2025-09-08T00:00:00"/>
    <x v="0"/>
    <s v="Paracetamol 650mg"/>
    <x v="0"/>
    <x v="0"/>
    <s v="Micro Labs"/>
    <n v="3"/>
    <n v="32.32"/>
    <x v="0"/>
    <n v="96.960000000000008"/>
    <x v="8"/>
    <x v="8"/>
  </r>
  <r>
    <s v="TXN01318"/>
    <d v="2025-09-08T00:00:00"/>
    <x v="0"/>
    <s v="Paracetamol 650mg"/>
    <x v="0"/>
    <x v="0"/>
    <s v="Micro Labs"/>
    <n v="2"/>
    <n v="32"/>
    <x v="0"/>
    <n v="64"/>
    <x v="8"/>
    <x v="8"/>
  </r>
  <r>
    <s v="TXN01319"/>
    <d v="2025-09-08T00:00:00"/>
    <x v="11"/>
    <s v="Amoxicillin+Clavulanate 625mg"/>
    <x v="5"/>
    <x v="0"/>
    <s v="GSK"/>
    <n v="1"/>
    <n v="207.05"/>
    <x v="0"/>
    <n v="207.05"/>
    <x v="8"/>
    <x v="8"/>
  </r>
  <r>
    <s v="TXN01320"/>
    <d v="2025-09-08T00:00:00"/>
    <x v="26"/>
    <s v="Atorvastatin 10mg"/>
    <x v="3"/>
    <x v="1"/>
    <s v="Jan Aushadhi"/>
    <n v="2"/>
    <n v="35.35"/>
    <x v="0"/>
    <n v="70.7"/>
    <x v="8"/>
    <x v="8"/>
  </r>
  <r>
    <s v="TXN01321"/>
    <d v="2025-09-08T00:00:00"/>
    <x v="5"/>
    <s v="Rosuvastatin 10mg"/>
    <x v="3"/>
    <x v="0"/>
    <s v="Sun Pharma"/>
    <n v="3"/>
    <n v="166.65"/>
    <x v="1"/>
    <n v="499.95000000000005"/>
    <x v="8"/>
    <x v="8"/>
  </r>
  <r>
    <s v="TXN01322"/>
    <d v="2025-09-08T00:00:00"/>
    <x v="5"/>
    <s v="Rosuvastatin 10mg"/>
    <x v="3"/>
    <x v="0"/>
    <s v="Sun Pharma"/>
    <n v="6"/>
    <n v="166.65"/>
    <x v="1"/>
    <n v="999.90000000000009"/>
    <x v="8"/>
    <x v="8"/>
  </r>
  <r>
    <s v="TXN01323"/>
    <d v="2025-09-08T00:00:00"/>
    <x v="20"/>
    <s v="Pantoprazole 40mg"/>
    <x v="2"/>
    <x v="1"/>
    <s v="Jan Aushadhi"/>
    <n v="3"/>
    <n v="50.5"/>
    <x v="1"/>
    <n v="151.5"/>
    <x v="8"/>
    <x v="8"/>
  </r>
  <r>
    <s v="TXN01324"/>
    <d v="2025-09-08T00:00:00"/>
    <x v="15"/>
    <s v="Cetirizine 10mg"/>
    <x v="6"/>
    <x v="1"/>
    <s v="Jan Aushadhi"/>
    <n v="1"/>
    <n v="8"/>
    <x v="0"/>
    <n v="8"/>
    <x v="8"/>
    <x v="8"/>
  </r>
  <r>
    <s v="TXN01325"/>
    <d v="2025-09-08T00:00:00"/>
    <x v="23"/>
    <s v="Diclofenac 50mg"/>
    <x v="0"/>
    <x v="0"/>
    <s v="Novartis"/>
    <n v="2"/>
    <n v="62.62"/>
    <x v="2"/>
    <n v="125.24"/>
    <x v="8"/>
    <x v="8"/>
  </r>
  <r>
    <s v="TXN01326"/>
    <d v="2025-09-09T00:00:00"/>
    <x v="0"/>
    <s v="Paracetamol 650mg"/>
    <x v="0"/>
    <x v="0"/>
    <s v="Micro Labs"/>
    <n v="4"/>
    <n v="32.32"/>
    <x v="1"/>
    <n v="129.28"/>
    <x v="8"/>
    <x v="8"/>
  </r>
  <r>
    <s v="TXN01327"/>
    <d v="2025-09-09T00:00:00"/>
    <x v="0"/>
    <s v="Paracetamol 650mg"/>
    <x v="0"/>
    <x v="0"/>
    <s v="Micro Labs"/>
    <n v="5"/>
    <n v="32.32"/>
    <x v="3"/>
    <n v="161.6"/>
    <x v="8"/>
    <x v="8"/>
  </r>
  <r>
    <s v="TXN01328"/>
    <d v="2025-09-09T00:00:00"/>
    <x v="8"/>
    <s v="Azithromycin 500mg"/>
    <x v="5"/>
    <x v="1"/>
    <s v="Jan Aushadhi"/>
    <n v="2"/>
    <n v="55.55"/>
    <x v="0"/>
    <n v="111.1"/>
    <x v="8"/>
    <x v="8"/>
  </r>
  <r>
    <s v="TXN01329"/>
    <d v="2025-09-09T00:00:00"/>
    <x v="12"/>
    <s v="Amoxicillin+Clavulanate 625mg"/>
    <x v="5"/>
    <x v="1"/>
    <s v="Jan Aushadhi"/>
    <n v="1"/>
    <n v="95.95"/>
    <x v="2"/>
    <n v="95.95"/>
    <x v="8"/>
    <x v="8"/>
  </r>
  <r>
    <s v="TXN01330"/>
    <d v="2025-09-10T00:00:00"/>
    <x v="22"/>
    <s v="Atorvastatin 10mg"/>
    <x v="3"/>
    <x v="0"/>
    <s v="Zydus"/>
    <n v="3"/>
    <n v="92.92"/>
    <x v="0"/>
    <n v="278.76"/>
    <x v="8"/>
    <x v="8"/>
  </r>
  <r>
    <s v="TXN01331"/>
    <d v="2025-09-10T00:00:00"/>
    <x v="26"/>
    <s v="Atorvastatin 10mg"/>
    <x v="3"/>
    <x v="1"/>
    <s v="Jan Aushadhi"/>
    <n v="1"/>
    <n v="35.35"/>
    <x v="3"/>
    <n v="35.35"/>
    <x v="8"/>
    <x v="8"/>
  </r>
  <r>
    <s v="TXN01332"/>
    <d v="2025-09-10T00:00:00"/>
    <x v="6"/>
    <s v="Telmisartan 40mg"/>
    <x v="1"/>
    <x v="1"/>
    <s v="Jan Aushadhi"/>
    <n v="1"/>
    <n v="46"/>
    <x v="1"/>
    <n v="46"/>
    <x v="8"/>
    <x v="8"/>
  </r>
  <r>
    <s v="TXN01333"/>
    <d v="2025-09-10T00:00:00"/>
    <x v="23"/>
    <s v="Diclofenac 50mg"/>
    <x v="0"/>
    <x v="0"/>
    <s v="Novartis"/>
    <n v="1"/>
    <n v="62.62"/>
    <x v="0"/>
    <n v="62.62"/>
    <x v="8"/>
    <x v="8"/>
  </r>
  <r>
    <s v="TXN01334"/>
    <d v="2025-09-11T00:00:00"/>
    <x v="19"/>
    <s v="Metformin 500mg"/>
    <x v="7"/>
    <x v="1"/>
    <s v="Jan Aushadhi"/>
    <n v="6"/>
    <n v="12.12"/>
    <x v="0"/>
    <n v="72.72"/>
    <x v="8"/>
    <x v="8"/>
  </r>
  <r>
    <s v="TXN01335"/>
    <d v="2025-09-11T00:00:00"/>
    <x v="6"/>
    <s v="Telmisartan 40mg"/>
    <x v="1"/>
    <x v="1"/>
    <s v="Jan Aushadhi"/>
    <n v="1"/>
    <n v="46.46"/>
    <x v="3"/>
    <n v="46.46"/>
    <x v="8"/>
    <x v="8"/>
  </r>
  <r>
    <s v="TXN01336"/>
    <d v="2025-09-12T00:00:00"/>
    <x v="18"/>
    <s v="Paracetamol 650mg"/>
    <x v="0"/>
    <x v="1"/>
    <s v="Jan Aushadhi"/>
    <n v="2"/>
    <n v="14.14"/>
    <x v="0"/>
    <n v="28.28"/>
    <x v="8"/>
    <x v="8"/>
  </r>
  <r>
    <s v="TXN01337"/>
    <d v="2025-09-12T00:00:00"/>
    <x v="11"/>
    <s v="Amoxicillin+Clavulanate 625mg"/>
    <x v="5"/>
    <x v="0"/>
    <s v="GSK"/>
    <n v="4"/>
    <n v="207.05"/>
    <x v="0"/>
    <n v="828.2"/>
    <x v="8"/>
    <x v="8"/>
  </r>
  <r>
    <s v="TXN01338"/>
    <d v="2025-09-12T00:00:00"/>
    <x v="20"/>
    <s v="Pantoprazole 40mg"/>
    <x v="2"/>
    <x v="1"/>
    <s v="Jan Aushadhi"/>
    <n v="1"/>
    <n v="50.5"/>
    <x v="2"/>
    <n v="50.5"/>
    <x v="8"/>
    <x v="8"/>
  </r>
  <r>
    <s v="TXN01339"/>
    <d v="2025-09-13T00:00:00"/>
    <x v="0"/>
    <s v="Paracetamol 650mg"/>
    <x v="0"/>
    <x v="0"/>
    <s v="Micro Labs"/>
    <n v="4"/>
    <n v="32.32"/>
    <x v="0"/>
    <n v="129.28"/>
    <x v="8"/>
    <x v="8"/>
  </r>
  <r>
    <s v="TXN01340"/>
    <d v="2025-09-13T00:00:00"/>
    <x v="0"/>
    <s v="Paracetamol 650mg"/>
    <x v="0"/>
    <x v="0"/>
    <s v="Micro Labs"/>
    <n v="2"/>
    <n v="32.32"/>
    <x v="1"/>
    <n v="64.64"/>
    <x v="8"/>
    <x v="8"/>
  </r>
  <r>
    <s v="TXN01341"/>
    <d v="2025-09-13T00:00:00"/>
    <x v="24"/>
    <s v="Glimepiride 2mg"/>
    <x v="7"/>
    <x v="0"/>
    <s v="Sanofi"/>
    <n v="1"/>
    <n v="190"/>
    <x v="0"/>
    <n v="190"/>
    <x v="8"/>
    <x v="8"/>
  </r>
  <r>
    <s v="TXN01342"/>
    <d v="2025-09-13T00:00:00"/>
    <x v="1"/>
    <s v="Amlodipine 5mg"/>
    <x v="1"/>
    <x v="1"/>
    <s v="Jan Aushadhi"/>
    <n v="3"/>
    <n v="15.15"/>
    <x v="2"/>
    <n v="45.45"/>
    <x v="8"/>
    <x v="8"/>
  </r>
  <r>
    <s v="TXN01343"/>
    <d v="2025-09-13T00:00:00"/>
    <x v="3"/>
    <s v="Omeprazole 20mg"/>
    <x v="2"/>
    <x v="1"/>
    <s v="Jan Aushadhi"/>
    <n v="1"/>
    <n v="20"/>
    <x v="3"/>
    <n v="20"/>
    <x v="8"/>
    <x v="8"/>
  </r>
  <r>
    <s v="TXN01344"/>
    <d v="2025-09-13T00:00:00"/>
    <x v="31"/>
    <s v="Montelukast+Levocetirizine"/>
    <x v="8"/>
    <x v="1"/>
    <s v="Jan Aushadhi"/>
    <n v="2"/>
    <n v="70"/>
    <x v="3"/>
    <n v="140"/>
    <x v="8"/>
    <x v="8"/>
  </r>
  <r>
    <s v="TXN01345"/>
    <d v="2025-09-13T00:00:00"/>
    <x v="7"/>
    <s v="Vitamin B-Complex"/>
    <x v="4"/>
    <x v="0"/>
    <s v="Pfizer"/>
    <n v="2"/>
    <n v="46.46"/>
    <x v="2"/>
    <n v="92.92"/>
    <x v="8"/>
    <x v="8"/>
  </r>
  <r>
    <s v="TXN01346"/>
    <d v="2025-09-14T00:00:00"/>
    <x v="0"/>
    <s v="Paracetamol 650mg"/>
    <x v="0"/>
    <x v="0"/>
    <s v="Micro Labs"/>
    <n v="1"/>
    <n v="32.32"/>
    <x v="2"/>
    <n v="32.32"/>
    <x v="8"/>
    <x v="8"/>
  </r>
  <r>
    <s v="TXN01347"/>
    <d v="2025-09-14T00:00:00"/>
    <x v="13"/>
    <s v="Metformin 500mg"/>
    <x v="7"/>
    <x v="0"/>
    <s v="USV"/>
    <n v="1"/>
    <n v="32.32"/>
    <x v="3"/>
    <n v="32.32"/>
    <x v="8"/>
    <x v="8"/>
  </r>
  <r>
    <s v="TXN01348"/>
    <d v="2025-09-14T00:00:00"/>
    <x v="22"/>
    <s v="Atorvastatin 10mg"/>
    <x v="3"/>
    <x v="0"/>
    <s v="Zydus"/>
    <n v="6"/>
    <n v="92.92"/>
    <x v="3"/>
    <n v="557.52"/>
    <x v="8"/>
    <x v="8"/>
  </r>
  <r>
    <s v="TXN01349"/>
    <d v="2025-09-15T00:00:00"/>
    <x v="19"/>
    <s v="Metformin 500mg"/>
    <x v="7"/>
    <x v="1"/>
    <s v="Jan Aushadhi"/>
    <n v="3"/>
    <n v="12"/>
    <x v="2"/>
    <n v="36"/>
    <x v="8"/>
    <x v="8"/>
  </r>
  <r>
    <s v="TXN01350"/>
    <d v="2025-09-15T00:00:00"/>
    <x v="22"/>
    <s v="Atorvastatin 10mg"/>
    <x v="3"/>
    <x v="0"/>
    <s v="Zydus"/>
    <n v="12"/>
    <n v="92.92"/>
    <x v="3"/>
    <n v="1115.04"/>
    <x v="8"/>
    <x v="8"/>
  </r>
  <r>
    <s v="TXN01351"/>
    <d v="2025-09-15T00:00:00"/>
    <x v="25"/>
    <s v="Amlodipine 5mg"/>
    <x v="1"/>
    <x v="0"/>
    <s v="Mankind"/>
    <n v="3"/>
    <n v="45.45"/>
    <x v="1"/>
    <n v="136.35000000000002"/>
    <x v="8"/>
    <x v="8"/>
  </r>
  <r>
    <s v="TXN01352"/>
    <d v="2025-09-15T00:00:00"/>
    <x v="25"/>
    <s v="Amlodipine 5mg"/>
    <x v="1"/>
    <x v="0"/>
    <s v="Mankind"/>
    <n v="6"/>
    <n v="45"/>
    <x v="2"/>
    <n v="270"/>
    <x v="8"/>
    <x v="8"/>
  </r>
  <r>
    <s v="TXN01353"/>
    <d v="2025-09-15T00:00:00"/>
    <x v="2"/>
    <s v="Omeprazole 20mg"/>
    <x v="2"/>
    <x v="0"/>
    <s v="Dr. Reddy's"/>
    <n v="2"/>
    <n v="58.58"/>
    <x v="1"/>
    <n v="117.16"/>
    <x v="8"/>
    <x v="8"/>
  </r>
  <r>
    <s v="TXN01354"/>
    <d v="2025-09-15T00:00:00"/>
    <x v="2"/>
    <s v="Omeprazole 20mg"/>
    <x v="2"/>
    <x v="0"/>
    <s v="Dr. Reddy's"/>
    <n v="2"/>
    <n v="58.58"/>
    <x v="3"/>
    <n v="117.16"/>
    <x v="8"/>
    <x v="8"/>
  </r>
  <r>
    <s v="TXN01355"/>
    <d v="2025-09-15T00:00:00"/>
    <x v="3"/>
    <s v="Omeprazole 20mg"/>
    <x v="2"/>
    <x v="1"/>
    <s v="Jan Aushadhi"/>
    <n v="1"/>
    <n v="20.2"/>
    <x v="3"/>
    <n v="20.2"/>
    <x v="8"/>
    <x v="8"/>
  </r>
  <r>
    <s v="TXN01356"/>
    <d v="2025-09-15T00:00:00"/>
    <x v="4"/>
    <s v="Ibuprofen 400mg"/>
    <x v="0"/>
    <x v="1"/>
    <s v="Jan Aushadhi"/>
    <n v="4"/>
    <n v="15"/>
    <x v="1"/>
    <n v="60"/>
    <x v="8"/>
    <x v="8"/>
  </r>
  <r>
    <s v="TXN01357"/>
    <d v="2025-09-15T00:00:00"/>
    <x v="29"/>
    <s v="Diclofenac 50mg"/>
    <x v="0"/>
    <x v="1"/>
    <s v="Jan Aushadhi"/>
    <n v="3"/>
    <n v="20"/>
    <x v="0"/>
    <n v="60"/>
    <x v="8"/>
    <x v="8"/>
  </r>
  <r>
    <s v="TXN01358"/>
    <d v="2025-09-16T00:00:00"/>
    <x v="0"/>
    <s v="Paracetamol 650mg"/>
    <x v="0"/>
    <x v="0"/>
    <s v="Micro Labs"/>
    <n v="2"/>
    <n v="32.32"/>
    <x v="0"/>
    <n v="64.64"/>
    <x v="8"/>
    <x v="8"/>
  </r>
  <r>
    <s v="TXN01359"/>
    <d v="2025-09-16T00:00:00"/>
    <x v="0"/>
    <s v="Paracetamol 650mg"/>
    <x v="0"/>
    <x v="0"/>
    <s v="Micro Labs"/>
    <n v="1"/>
    <n v="32.32"/>
    <x v="2"/>
    <n v="32.32"/>
    <x v="8"/>
    <x v="8"/>
  </r>
  <r>
    <s v="TXN01360"/>
    <d v="2025-09-16T00:00:00"/>
    <x v="1"/>
    <s v="Amlodipine 5mg"/>
    <x v="1"/>
    <x v="1"/>
    <s v="Jan Aushadhi"/>
    <n v="1"/>
    <n v="15.15"/>
    <x v="0"/>
    <n v="15.15"/>
    <x v="8"/>
    <x v="8"/>
  </r>
  <r>
    <s v="TXN01361"/>
    <d v="2025-09-16T00:00:00"/>
    <x v="1"/>
    <s v="Amlodipine 5mg"/>
    <x v="1"/>
    <x v="1"/>
    <s v="Jan Aushadhi"/>
    <n v="1"/>
    <n v="15.15"/>
    <x v="0"/>
    <n v="15.15"/>
    <x v="8"/>
    <x v="8"/>
  </r>
  <r>
    <s v="TXN01362"/>
    <d v="2025-09-16T00:00:00"/>
    <x v="30"/>
    <s v="Telmisartan 40mg"/>
    <x v="1"/>
    <x v="0"/>
    <s v="Glenmark"/>
    <n v="6"/>
    <n v="143.41999999999999"/>
    <x v="0"/>
    <n v="860.52"/>
    <x v="8"/>
    <x v="8"/>
  </r>
  <r>
    <s v="TXN01363"/>
    <d v="2025-09-16T00:00:00"/>
    <x v="2"/>
    <s v="Omeprazole 20mg"/>
    <x v="2"/>
    <x v="0"/>
    <s v="Dr. Reddy's"/>
    <n v="2"/>
    <n v="58.58"/>
    <x v="0"/>
    <n v="117.16"/>
    <x v="8"/>
    <x v="8"/>
  </r>
  <r>
    <s v="TXN01364"/>
    <d v="2025-09-16T00:00:00"/>
    <x v="7"/>
    <s v="Vitamin B-Complex"/>
    <x v="4"/>
    <x v="0"/>
    <s v="Pfizer"/>
    <n v="1"/>
    <n v="46.46"/>
    <x v="1"/>
    <n v="46.46"/>
    <x v="8"/>
    <x v="8"/>
  </r>
  <r>
    <s v="TXN01365"/>
    <d v="2025-09-17T00:00:00"/>
    <x v="0"/>
    <s v="Paracetamol 650mg"/>
    <x v="0"/>
    <x v="0"/>
    <s v="Micro Labs"/>
    <n v="1"/>
    <n v="32.32"/>
    <x v="1"/>
    <n v="32.32"/>
    <x v="8"/>
    <x v="8"/>
  </r>
  <r>
    <s v="TXN01366"/>
    <d v="2025-09-17T00:00:00"/>
    <x v="0"/>
    <s v="Paracetamol 650mg"/>
    <x v="0"/>
    <x v="0"/>
    <s v="Micro Labs"/>
    <n v="2"/>
    <n v="32.32"/>
    <x v="2"/>
    <n v="64.64"/>
    <x v="8"/>
    <x v="8"/>
  </r>
  <r>
    <s v="TXN01367"/>
    <d v="2025-09-17T00:00:00"/>
    <x v="0"/>
    <s v="Paracetamol 650mg"/>
    <x v="0"/>
    <x v="0"/>
    <s v="Micro Labs"/>
    <n v="1"/>
    <n v="32.32"/>
    <x v="0"/>
    <n v="32.32"/>
    <x v="8"/>
    <x v="8"/>
  </r>
  <r>
    <s v="TXN01368"/>
    <d v="2025-09-17T00:00:00"/>
    <x v="3"/>
    <s v="Omeprazole 20mg"/>
    <x v="2"/>
    <x v="1"/>
    <s v="Jan Aushadhi"/>
    <n v="1"/>
    <n v="20.2"/>
    <x v="0"/>
    <n v="20.2"/>
    <x v="8"/>
    <x v="8"/>
  </r>
  <r>
    <s v="TXN01369"/>
    <d v="2025-09-17T00:00:00"/>
    <x v="10"/>
    <s v="Cetirizine 10mg"/>
    <x v="6"/>
    <x v="0"/>
    <s v="Cipla"/>
    <n v="1"/>
    <n v="26"/>
    <x v="0"/>
    <n v="26"/>
    <x v="8"/>
    <x v="8"/>
  </r>
  <r>
    <s v="TXN01370"/>
    <d v="2025-09-17T00:00:00"/>
    <x v="15"/>
    <s v="Cetirizine 10mg"/>
    <x v="6"/>
    <x v="1"/>
    <s v="Jan Aushadhi"/>
    <n v="2"/>
    <n v="8"/>
    <x v="0"/>
    <n v="16"/>
    <x v="8"/>
    <x v="8"/>
  </r>
  <r>
    <s v="TXN01371"/>
    <d v="2025-09-17T00:00:00"/>
    <x v="9"/>
    <s v="Ibuprofen 400mg"/>
    <x v="0"/>
    <x v="0"/>
    <s v="Abbott"/>
    <n v="3"/>
    <n v="42.42"/>
    <x v="0"/>
    <n v="127.26"/>
    <x v="8"/>
    <x v="8"/>
  </r>
  <r>
    <s v="TXN01372"/>
    <d v="2025-09-18T00:00:00"/>
    <x v="16"/>
    <s v="Azithromycin 500mg"/>
    <x v="5"/>
    <x v="0"/>
    <s v="Alembic"/>
    <n v="1"/>
    <n v="126.25"/>
    <x v="0"/>
    <n v="126.25"/>
    <x v="8"/>
    <x v="8"/>
  </r>
  <r>
    <s v="TXN01373"/>
    <d v="2025-09-18T00:00:00"/>
    <x v="13"/>
    <s v="Metformin 500mg"/>
    <x v="7"/>
    <x v="0"/>
    <s v="USV"/>
    <n v="3"/>
    <n v="32.32"/>
    <x v="2"/>
    <n v="96.960000000000008"/>
    <x v="8"/>
    <x v="8"/>
  </r>
  <r>
    <s v="TXN01374"/>
    <d v="2025-09-18T00:00:00"/>
    <x v="13"/>
    <s v="Metformin 500mg"/>
    <x v="7"/>
    <x v="0"/>
    <s v="USV"/>
    <n v="1"/>
    <n v="32.32"/>
    <x v="0"/>
    <n v="32.32"/>
    <x v="8"/>
    <x v="8"/>
  </r>
  <r>
    <s v="TXN01375"/>
    <d v="2025-09-18T00:00:00"/>
    <x v="24"/>
    <s v="Glimepiride 2mg"/>
    <x v="7"/>
    <x v="0"/>
    <s v="Sanofi"/>
    <n v="1"/>
    <n v="191.9"/>
    <x v="3"/>
    <n v="191.9"/>
    <x v="8"/>
    <x v="8"/>
  </r>
  <r>
    <s v="TXN01376"/>
    <d v="2025-09-18T00:00:00"/>
    <x v="26"/>
    <s v="Atorvastatin 10mg"/>
    <x v="3"/>
    <x v="1"/>
    <s v="Jan Aushadhi"/>
    <n v="2"/>
    <n v="35.35"/>
    <x v="0"/>
    <n v="70.7"/>
    <x v="8"/>
    <x v="8"/>
  </r>
  <r>
    <s v="TXN01377"/>
    <d v="2025-09-18T00:00:00"/>
    <x v="5"/>
    <s v="Rosuvastatin 10mg"/>
    <x v="3"/>
    <x v="0"/>
    <s v="Sun Pharma"/>
    <n v="3"/>
    <n v="165"/>
    <x v="0"/>
    <n v="495"/>
    <x v="8"/>
    <x v="8"/>
  </r>
  <r>
    <s v="TXN01378"/>
    <d v="2025-09-18T00:00:00"/>
    <x v="2"/>
    <s v="Omeprazole 20mg"/>
    <x v="2"/>
    <x v="0"/>
    <s v="Dr. Reddy's"/>
    <n v="3"/>
    <n v="58.58"/>
    <x v="1"/>
    <n v="175.74"/>
    <x v="8"/>
    <x v="8"/>
  </r>
  <r>
    <s v="TXN01379"/>
    <d v="2025-09-18T00:00:00"/>
    <x v="9"/>
    <s v="Ibuprofen 400mg"/>
    <x v="0"/>
    <x v="0"/>
    <s v="Abbott"/>
    <n v="4"/>
    <n v="42.42"/>
    <x v="2"/>
    <n v="169.68"/>
    <x v="8"/>
    <x v="8"/>
  </r>
  <r>
    <s v="TXN01380"/>
    <d v="2025-09-18T00:00:00"/>
    <x v="9"/>
    <s v="Ibuprofen 400mg"/>
    <x v="0"/>
    <x v="0"/>
    <s v="Abbott"/>
    <n v="5"/>
    <n v="42.42"/>
    <x v="0"/>
    <n v="212.10000000000002"/>
    <x v="8"/>
    <x v="8"/>
  </r>
  <r>
    <s v="TXN01381"/>
    <d v="2025-09-18T00:00:00"/>
    <x v="9"/>
    <s v="Ibuprofen 400mg"/>
    <x v="0"/>
    <x v="0"/>
    <s v="Abbott"/>
    <n v="3"/>
    <n v="42.42"/>
    <x v="0"/>
    <n v="127.26"/>
    <x v="8"/>
    <x v="8"/>
  </r>
  <r>
    <s v="TXN01382"/>
    <d v="2025-09-18T00:00:00"/>
    <x v="29"/>
    <s v="Diclofenac 50mg"/>
    <x v="0"/>
    <x v="1"/>
    <s v="Jan Aushadhi"/>
    <n v="1"/>
    <n v="20"/>
    <x v="2"/>
    <n v="20"/>
    <x v="8"/>
    <x v="8"/>
  </r>
  <r>
    <s v="TXN01383"/>
    <d v="2025-09-19T00:00:00"/>
    <x v="0"/>
    <s v="Paracetamol 650mg"/>
    <x v="0"/>
    <x v="0"/>
    <s v="Micro Labs"/>
    <n v="1"/>
    <n v="32.32"/>
    <x v="0"/>
    <n v="32.32"/>
    <x v="8"/>
    <x v="8"/>
  </r>
  <r>
    <s v="TXN01384"/>
    <d v="2025-09-19T00:00:00"/>
    <x v="14"/>
    <s v="Pantoprazole 40mg"/>
    <x v="2"/>
    <x v="0"/>
    <s v="Alkem"/>
    <n v="5"/>
    <n v="153.52000000000001"/>
    <x v="3"/>
    <n v="767.6"/>
    <x v="8"/>
    <x v="8"/>
  </r>
  <r>
    <s v="TXN01385"/>
    <d v="2025-09-19T00:00:00"/>
    <x v="4"/>
    <s v="Ibuprofen 400mg"/>
    <x v="0"/>
    <x v="1"/>
    <s v="Jan Aushadhi"/>
    <n v="2"/>
    <n v="15.15"/>
    <x v="3"/>
    <n v="30.3"/>
    <x v="8"/>
    <x v="8"/>
  </r>
  <r>
    <s v="TXN01386"/>
    <d v="2025-09-20T00:00:00"/>
    <x v="16"/>
    <s v="Azithromycin 500mg"/>
    <x v="5"/>
    <x v="0"/>
    <s v="Alembic"/>
    <n v="3"/>
    <n v="126.25"/>
    <x v="3"/>
    <n v="378.75"/>
    <x v="8"/>
    <x v="8"/>
  </r>
  <r>
    <s v="TXN01387"/>
    <d v="2025-09-20T00:00:00"/>
    <x v="8"/>
    <s v="Azithromycin 500mg"/>
    <x v="5"/>
    <x v="1"/>
    <s v="Jan Aushadhi"/>
    <n v="3"/>
    <n v="55.55"/>
    <x v="0"/>
    <n v="166.64999999999998"/>
    <x v="8"/>
    <x v="8"/>
  </r>
  <r>
    <s v="TXN01388"/>
    <d v="2025-09-20T00:00:00"/>
    <x v="19"/>
    <s v="Metformin 500mg"/>
    <x v="7"/>
    <x v="1"/>
    <s v="Jan Aushadhi"/>
    <n v="6"/>
    <n v="12.12"/>
    <x v="0"/>
    <n v="72.72"/>
    <x v="8"/>
    <x v="8"/>
  </r>
  <r>
    <s v="TXN01389"/>
    <d v="2025-09-20T00:00:00"/>
    <x v="25"/>
    <s v="Amlodipine 5mg"/>
    <x v="1"/>
    <x v="0"/>
    <s v="Mankind"/>
    <n v="3"/>
    <n v="45.45"/>
    <x v="2"/>
    <n v="136.35000000000002"/>
    <x v="8"/>
    <x v="8"/>
  </r>
  <r>
    <s v="TXN01390"/>
    <d v="2025-09-20T00:00:00"/>
    <x v="14"/>
    <s v="Pantoprazole 40mg"/>
    <x v="2"/>
    <x v="0"/>
    <s v="Alkem"/>
    <n v="3"/>
    <n v="153.52000000000001"/>
    <x v="2"/>
    <n v="460.56000000000006"/>
    <x v="8"/>
    <x v="8"/>
  </r>
  <r>
    <s v="TXN01391"/>
    <d v="2025-09-20T00:00:00"/>
    <x v="10"/>
    <s v="Cetirizine 10mg"/>
    <x v="6"/>
    <x v="0"/>
    <s v="Cipla"/>
    <n v="2"/>
    <n v="26.26"/>
    <x v="0"/>
    <n v="52.52"/>
    <x v="8"/>
    <x v="8"/>
  </r>
  <r>
    <s v="TXN01392"/>
    <d v="2025-09-21T00:00:00"/>
    <x v="0"/>
    <s v="Paracetamol 650mg"/>
    <x v="0"/>
    <x v="0"/>
    <s v="Micro Labs"/>
    <n v="1"/>
    <n v="32"/>
    <x v="2"/>
    <n v="32"/>
    <x v="8"/>
    <x v="8"/>
  </r>
  <r>
    <s v="TXN01393"/>
    <d v="2025-09-21T00:00:00"/>
    <x v="19"/>
    <s v="Metformin 500mg"/>
    <x v="7"/>
    <x v="1"/>
    <s v="Jan Aushadhi"/>
    <n v="6"/>
    <n v="12.12"/>
    <x v="2"/>
    <n v="72.72"/>
    <x v="8"/>
    <x v="8"/>
  </r>
  <r>
    <s v="TXN01394"/>
    <d v="2025-09-21T00:00:00"/>
    <x v="17"/>
    <s v="Rosuvastatin 10mg"/>
    <x v="3"/>
    <x v="1"/>
    <s v="Jan Aushadhi"/>
    <n v="12"/>
    <n v="58.58"/>
    <x v="0"/>
    <n v="702.96"/>
    <x v="8"/>
    <x v="8"/>
  </r>
  <r>
    <s v="TXN01395"/>
    <d v="2025-09-21T00:00:00"/>
    <x v="10"/>
    <s v="Cetirizine 10mg"/>
    <x v="6"/>
    <x v="0"/>
    <s v="Cipla"/>
    <n v="3"/>
    <n v="26"/>
    <x v="2"/>
    <n v="78"/>
    <x v="8"/>
    <x v="8"/>
  </r>
  <r>
    <s v="TXN01396"/>
    <d v="2025-09-21T00:00:00"/>
    <x v="15"/>
    <s v="Cetirizine 10mg"/>
    <x v="6"/>
    <x v="1"/>
    <s v="Jan Aushadhi"/>
    <n v="5"/>
    <n v="8"/>
    <x v="0"/>
    <n v="40"/>
    <x v="8"/>
    <x v="8"/>
  </r>
  <r>
    <s v="TXN01397"/>
    <d v="2025-09-22T00:00:00"/>
    <x v="0"/>
    <s v="Paracetamol 650mg"/>
    <x v="0"/>
    <x v="0"/>
    <s v="Micro Labs"/>
    <n v="1"/>
    <n v="32.32"/>
    <x v="0"/>
    <n v="32.32"/>
    <x v="8"/>
    <x v="8"/>
  </r>
  <r>
    <s v="TXN01398"/>
    <d v="2025-09-22T00:00:00"/>
    <x v="0"/>
    <s v="Paracetamol 650mg"/>
    <x v="0"/>
    <x v="0"/>
    <s v="Micro Labs"/>
    <n v="5"/>
    <n v="32.32"/>
    <x v="2"/>
    <n v="161.6"/>
    <x v="8"/>
    <x v="8"/>
  </r>
  <r>
    <s v="TXN01399"/>
    <d v="2025-09-22T00:00:00"/>
    <x v="18"/>
    <s v="Paracetamol 650mg"/>
    <x v="0"/>
    <x v="1"/>
    <s v="Jan Aushadhi"/>
    <n v="5"/>
    <n v="14.14"/>
    <x v="2"/>
    <n v="70.7"/>
    <x v="8"/>
    <x v="8"/>
  </r>
  <r>
    <s v="TXN01400"/>
    <d v="2025-09-22T00:00:00"/>
    <x v="8"/>
    <s v="Azithromycin 500mg"/>
    <x v="5"/>
    <x v="1"/>
    <s v="Jan Aushadhi"/>
    <n v="2"/>
    <n v="55.55"/>
    <x v="3"/>
    <n v="111.1"/>
    <x v="8"/>
    <x v="8"/>
  </r>
  <r>
    <s v="TXN01401"/>
    <d v="2025-09-22T00:00:00"/>
    <x v="13"/>
    <s v="Metformin 500mg"/>
    <x v="7"/>
    <x v="0"/>
    <s v="USV"/>
    <n v="3"/>
    <n v="32.32"/>
    <x v="0"/>
    <n v="96.960000000000008"/>
    <x v="8"/>
    <x v="8"/>
  </r>
  <r>
    <s v="TXN01402"/>
    <d v="2025-09-22T00:00:00"/>
    <x v="10"/>
    <s v="Cetirizine 10mg"/>
    <x v="6"/>
    <x v="0"/>
    <s v="Cipla"/>
    <n v="5"/>
    <n v="26.26"/>
    <x v="0"/>
    <n v="131.30000000000001"/>
    <x v="8"/>
    <x v="8"/>
  </r>
  <r>
    <s v="TXN01403"/>
    <d v="2025-09-22T00:00:00"/>
    <x v="31"/>
    <s v="Montelukast+Levocetirizine"/>
    <x v="8"/>
    <x v="1"/>
    <s v="Jan Aushadhi"/>
    <n v="2"/>
    <n v="70.7"/>
    <x v="1"/>
    <n v="141.4"/>
    <x v="8"/>
    <x v="8"/>
  </r>
  <r>
    <s v="TXN01404"/>
    <d v="2025-09-23T00:00:00"/>
    <x v="16"/>
    <s v="Azithromycin 500mg"/>
    <x v="5"/>
    <x v="0"/>
    <s v="Alembic"/>
    <n v="5"/>
    <n v="126.25"/>
    <x v="1"/>
    <n v="631.25"/>
    <x v="8"/>
    <x v="8"/>
  </r>
  <r>
    <s v="TXN01405"/>
    <d v="2025-09-23T00:00:00"/>
    <x v="12"/>
    <s v="Amoxicillin+Clavulanate 625mg"/>
    <x v="5"/>
    <x v="1"/>
    <s v="Jan Aushadhi"/>
    <n v="1"/>
    <n v="95"/>
    <x v="0"/>
    <n v="95"/>
    <x v="8"/>
    <x v="8"/>
  </r>
  <r>
    <s v="TXN01406"/>
    <d v="2025-09-23T00:00:00"/>
    <x v="24"/>
    <s v="Glimepiride 2mg"/>
    <x v="7"/>
    <x v="0"/>
    <s v="Sanofi"/>
    <n v="6"/>
    <n v="190"/>
    <x v="0"/>
    <n v="1140"/>
    <x v="8"/>
    <x v="8"/>
  </r>
  <r>
    <s v="TXN01407"/>
    <d v="2025-09-23T00:00:00"/>
    <x v="22"/>
    <s v="Atorvastatin 10mg"/>
    <x v="3"/>
    <x v="0"/>
    <s v="Zydus"/>
    <n v="3"/>
    <n v="92.92"/>
    <x v="3"/>
    <n v="278.76"/>
    <x v="8"/>
    <x v="8"/>
  </r>
  <r>
    <s v="TXN01408"/>
    <d v="2025-09-23T00:00:00"/>
    <x v="5"/>
    <s v="Rosuvastatin 10mg"/>
    <x v="3"/>
    <x v="0"/>
    <s v="Sun Pharma"/>
    <n v="12"/>
    <n v="166.65"/>
    <x v="0"/>
    <n v="1999.8000000000002"/>
    <x v="8"/>
    <x v="8"/>
  </r>
  <r>
    <s v="TXN01409"/>
    <d v="2025-09-23T00:00:00"/>
    <x v="9"/>
    <s v="Ibuprofen 400mg"/>
    <x v="0"/>
    <x v="0"/>
    <s v="Abbott"/>
    <n v="4"/>
    <n v="42"/>
    <x v="0"/>
    <n v="168"/>
    <x v="8"/>
    <x v="8"/>
  </r>
  <r>
    <s v="TXN01410"/>
    <d v="2025-09-23T00:00:00"/>
    <x v="29"/>
    <s v="Diclofenac 50mg"/>
    <x v="0"/>
    <x v="1"/>
    <s v="Jan Aushadhi"/>
    <n v="2"/>
    <n v="20.2"/>
    <x v="3"/>
    <n v="40.4"/>
    <x v="8"/>
    <x v="8"/>
  </r>
  <r>
    <s v="TXN01411"/>
    <d v="2025-09-24T00:00:00"/>
    <x v="0"/>
    <s v="Paracetamol 650mg"/>
    <x v="0"/>
    <x v="0"/>
    <s v="Micro Labs"/>
    <n v="3"/>
    <n v="32.32"/>
    <x v="0"/>
    <n v="96.960000000000008"/>
    <x v="8"/>
    <x v="8"/>
  </r>
  <r>
    <s v="TXN01412"/>
    <d v="2025-09-24T00:00:00"/>
    <x v="13"/>
    <s v="Metformin 500mg"/>
    <x v="7"/>
    <x v="0"/>
    <s v="USV"/>
    <n v="3"/>
    <n v="32.32"/>
    <x v="0"/>
    <n v="96.960000000000008"/>
    <x v="8"/>
    <x v="8"/>
  </r>
  <r>
    <s v="TXN01413"/>
    <d v="2025-09-24T00:00:00"/>
    <x v="28"/>
    <s v="Glimepiride 2mg"/>
    <x v="7"/>
    <x v="1"/>
    <s v="Jan Aushadhi"/>
    <n v="3"/>
    <n v="42.42"/>
    <x v="0"/>
    <n v="127.26"/>
    <x v="8"/>
    <x v="8"/>
  </r>
  <r>
    <s v="TXN01414"/>
    <d v="2025-09-24T00:00:00"/>
    <x v="30"/>
    <s v="Telmisartan 40mg"/>
    <x v="1"/>
    <x v="0"/>
    <s v="Glenmark"/>
    <n v="2"/>
    <n v="143.41999999999999"/>
    <x v="0"/>
    <n v="286.83999999999997"/>
    <x v="8"/>
    <x v="8"/>
  </r>
  <r>
    <s v="TXN01415"/>
    <d v="2025-09-24T00:00:00"/>
    <x v="21"/>
    <s v="Montelukast+Levocetirizine"/>
    <x v="8"/>
    <x v="0"/>
    <s v="Sun Pharma"/>
    <n v="1"/>
    <n v="183.82"/>
    <x v="2"/>
    <n v="183.82"/>
    <x v="8"/>
    <x v="8"/>
  </r>
  <r>
    <s v="TXN01416"/>
    <d v="2025-09-24T00:00:00"/>
    <x v="7"/>
    <s v="Vitamin B-Complex"/>
    <x v="4"/>
    <x v="0"/>
    <s v="Pfizer"/>
    <n v="3"/>
    <n v="46.46"/>
    <x v="0"/>
    <n v="139.38"/>
    <x v="8"/>
    <x v="8"/>
  </r>
  <r>
    <s v="TXN01417"/>
    <d v="2025-09-24T00:00:00"/>
    <x v="27"/>
    <s v="Vitamin B-Complex"/>
    <x v="4"/>
    <x v="1"/>
    <s v="Jan Aushadhi"/>
    <n v="4"/>
    <n v="18"/>
    <x v="2"/>
    <n v="72"/>
    <x v="8"/>
    <x v="8"/>
  </r>
  <r>
    <s v="TXN01418"/>
    <d v="2025-09-25T00:00:00"/>
    <x v="16"/>
    <s v="Azithromycin 500mg"/>
    <x v="5"/>
    <x v="0"/>
    <s v="Alembic"/>
    <n v="2"/>
    <n v="126.25"/>
    <x v="0"/>
    <n v="252.5"/>
    <x v="8"/>
    <x v="8"/>
  </r>
  <r>
    <s v="TXN01419"/>
    <d v="2025-09-25T00:00:00"/>
    <x v="16"/>
    <s v="Azithromycin 500mg"/>
    <x v="5"/>
    <x v="0"/>
    <s v="Alembic"/>
    <n v="1"/>
    <n v="125"/>
    <x v="3"/>
    <n v="125"/>
    <x v="8"/>
    <x v="8"/>
  </r>
  <r>
    <s v="TXN01420"/>
    <d v="2025-09-25T00:00:00"/>
    <x v="16"/>
    <s v="Azithromycin 500mg"/>
    <x v="5"/>
    <x v="0"/>
    <s v="Alembic"/>
    <n v="1"/>
    <n v="126.25"/>
    <x v="2"/>
    <n v="126.25"/>
    <x v="8"/>
    <x v="8"/>
  </r>
  <r>
    <s v="TXN01421"/>
    <d v="2025-09-25T00:00:00"/>
    <x v="19"/>
    <s v="Metformin 500mg"/>
    <x v="7"/>
    <x v="1"/>
    <s v="Jan Aushadhi"/>
    <n v="6"/>
    <n v="12.12"/>
    <x v="3"/>
    <n v="72.72"/>
    <x v="8"/>
    <x v="8"/>
  </r>
  <r>
    <s v="TXN01422"/>
    <d v="2025-09-25T00:00:00"/>
    <x v="24"/>
    <s v="Glimepiride 2mg"/>
    <x v="7"/>
    <x v="0"/>
    <s v="Sanofi"/>
    <n v="1"/>
    <n v="191.9"/>
    <x v="3"/>
    <n v="191.9"/>
    <x v="8"/>
    <x v="8"/>
  </r>
  <r>
    <s v="TXN01423"/>
    <d v="2025-09-25T00:00:00"/>
    <x v="20"/>
    <s v="Pantoprazole 40mg"/>
    <x v="2"/>
    <x v="1"/>
    <s v="Jan Aushadhi"/>
    <n v="3"/>
    <n v="50.5"/>
    <x v="1"/>
    <n v="151.5"/>
    <x v="8"/>
    <x v="8"/>
  </r>
  <r>
    <s v="TXN01424"/>
    <d v="2025-09-25T00:00:00"/>
    <x v="10"/>
    <s v="Cetirizine 10mg"/>
    <x v="6"/>
    <x v="0"/>
    <s v="Cipla"/>
    <n v="2"/>
    <n v="26.26"/>
    <x v="1"/>
    <n v="52.52"/>
    <x v="8"/>
    <x v="8"/>
  </r>
  <r>
    <s v="TXN01425"/>
    <d v="2025-09-25T00:00:00"/>
    <x v="9"/>
    <s v="Ibuprofen 400mg"/>
    <x v="0"/>
    <x v="0"/>
    <s v="Abbott"/>
    <n v="3"/>
    <n v="42.42"/>
    <x v="0"/>
    <n v="127.26"/>
    <x v="8"/>
    <x v="8"/>
  </r>
  <r>
    <s v="TXN01426"/>
    <d v="2025-09-25T00:00:00"/>
    <x v="9"/>
    <s v="Ibuprofen 400mg"/>
    <x v="0"/>
    <x v="0"/>
    <s v="Abbott"/>
    <n v="4"/>
    <n v="42.42"/>
    <x v="0"/>
    <n v="169.68"/>
    <x v="8"/>
    <x v="8"/>
  </r>
  <r>
    <s v="TXN01427"/>
    <d v="2025-09-26T00:00:00"/>
    <x v="0"/>
    <s v="Paracetamol 650mg"/>
    <x v="0"/>
    <x v="0"/>
    <s v="Micro Labs"/>
    <n v="2"/>
    <n v="32.32"/>
    <x v="0"/>
    <n v="64.64"/>
    <x v="8"/>
    <x v="8"/>
  </r>
  <r>
    <s v="TXN01428"/>
    <d v="2025-09-26T00:00:00"/>
    <x v="0"/>
    <s v="Paracetamol 650mg"/>
    <x v="0"/>
    <x v="0"/>
    <s v="Micro Labs"/>
    <n v="2"/>
    <n v="32.32"/>
    <x v="3"/>
    <n v="64.64"/>
    <x v="8"/>
    <x v="8"/>
  </r>
  <r>
    <s v="TXN01429"/>
    <d v="2025-09-26T00:00:00"/>
    <x v="16"/>
    <s v="Azithromycin 500mg"/>
    <x v="5"/>
    <x v="0"/>
    <s v="Alembic"/>
    <n v="4"/>
    <n v="126.25"/>
    <x v="3"/>
    <n v="505"/>
    <x v="8"/>
    <x v="8"/>
  </r>
  <r>
    <s v="TXN01430"/>
    <d v="2025-09-26T00:00:00"/>
    <x v="11"/>
    <s v="Amoxicillin+Clavulanate 625mg"/>
    <x v="5"/>
    <x v="0"/>
    <s v="GSK"/>
    <n v="2"/>
    <n v="207.05"/>
    <x v="0"/>
    <n v="414.1"/>
    <x v="8"/>
    <x v="8"/>
  </r>
  <r>
    <s v="TXN01431"/>
    <d v="2025-09-26T00:00:00"/>
    <x v="11"/>
    <s v="Amoxicillin+Clavulanate 625mg"/>
    <x v="5"/>
    <x v="0"/>
    <s v="GSK"/>
    <n v="1"/>
    <n v="207.05"/>
    <x v="2"/>
    <n v="207.05"/>
    <x v="8"/>
    <x v="8"/>
  </r>
  <r>
    <s v="TXN01432"/>
    <d v="2025-09-26T00:00:00"/>
    <x v="22"/>
    <s v="Atorvastatin 10mg"/>
    <x v="3"/>
    <x v="0"/>
    <s v="Zydus"/>
    <n v="1"/>
    <n v="92.92"/>
    <x v="0"/>
    <n v="92.92"/>
    <x v="8"/>
    <x v="8"/>
  </r>
  <r>
    <s v="TXN01433"/>
    <d v="2025-09-26T00:00:00"/>
    <x v="1"/>
    <s v="Amlodipine 5mg"/>
    <x v="1"/>
    <x v="1"/>
    <s v="Jan Aushadhi"/>
    <n v="3"/>
    <n v="15.15"/>
    <x v="1"/>
    <n v="45.45"/>
    <x v="8"/>
    <x v="8"/>
  </r>
  <r>
    <s v="TXN01434"/>
    <d v="2025-09-26T00:00:00"/>
    <x v="1"/>
    <s v="Amlodipine 5mg"/>
    <x v="1"/>
    <x v="1"/>
    <s v="Jan Aushadhi"/>
    <n v="1"/>
    <n v="15"/>
    <x v="0"/>
    <n v="15"/>
    <x v="8"/>
    <x v="8"/>
  </r>
  <r>
    <s v="TXN01435"/>
    <d v="2025-09-26T00:00:00"/>
    <x v="14"/>
    <s v="Pantoprazole 40mg"/>
    <x v="2"/>
    <x v="0"/>
    <s v="Alkem"/>
    <n v="2"/>
    <n v="152"/>
    <x v="2"/>
    <n v="304"/>
    <x v="8"/>
    <x v="8"/>
  </r>
  <r>
    <s v="TXN01436"/>
    <d v="2025-09-26T00:00:00"/>
    <x v="20"/>
    <s v="Pantoprazole 40mg"/>
    <x v="2"/>
    <x v="1"/>
    <s v="Jan Aushadhi"/>
    <n v="1"/>
    <n v="50"/>
    <x v="0"/>
    <n v="50"/>
    <x v="8"/>
    <x v="8"/>
  </r>
  <r>
    <s v="TXN01437"/>
    <d v="2025-09-26T00:00:00"/>
    <x v="15"/>
    <s v="Cetirizine 10mg"/>
    <x v="6"/>
    <x v="1"/>
    <s v="Jan Aushadhi"/>
    <n v="1"/>
    <n v="8.08"/>
    <x v="3"/>
    <n v="8.08"/>
    <x v="8"/>
    <x v="8"/>
  </r>
  <r>
    <s v="TXN01438"/>
    <d v="2025-09-26T00:00:00"/>
    <x v="9"/>
    <s v="Ibuprofen 400mg"/>
    <x v="0"/>
    <x v="0"/>
    <s v="Abbott"/>
    <n v="1"/>
    <n v="42.42"/>
    <x v="0"/>
    <n v="42.42"/>
    <x v="8"/>
    <x v="8"/>
  </r>
  <r>
    <s v="TXN01439"/>
    <d v="2025-09-26T00:00:00"/>
    <x v="7"/>
    <s v="Vitamin B-Complex"/>
    <x v="4"/>
    <x v="0"/>
    <s v="Pfizer"/>
    <n v="2"/>
    <n v="46"/>
    <x v="3"/>
    <n v="92"/>
    <x v="8"/>
    <x v="8"/>
  </r>
  <r>
    <s v="TXN01440"/>
    <d v="2025-09-27T00:00:00"/>
    <x v="18"/>
    <s v="Paracetamol 650mg"/>
    <x v="0"/>
    <x v="1"/>
    <s v="Jan Aushadhi"/>
    <n v="3"/>
    <n v="14"/>
    <x v="3"/>
    <n v="42"/>
    <x v="8"/>
    <x v="8"/>
  </r>
  <r>
    <s v="TXN01441"/>
    <d v="2025-09-27T00:00:00"/>
    <x v="12"/>
    <s v="Amoxicillin+Clavulanate 625mg"/>
    <x v="5"/>
    <x v="1"/>
    <s v="Jan Aushadhi"/>
    <n v="2"/>
    <n v="95.95"/>
    <x v="1"/>
    <n v="191.9"/>
    <x v="8"/>
    <x v="8"/>
  </r>
  <r>
    <s v="TXN01442"/>
    <d v="2025-09-27T00:00:00"/>
    <x v="26"/>
    <s v="Atorvastatin 10mg"/>
    <x v="3"/>
    <x v="1"/>
    <s v="Jan Aushadhi"/>
    <n v="1"/>
    <n v="35.35"/>
    <x v="0"/>
    <n v="35.35"/>
    <x v="8"/>
    <x v="8"/>
  </r>
  <r>
    <s v="TXN01443"/>
    <d v="2025-09-27T00:00:00"/>
    <x v="1"/>
    <s v="Amlodipine 5mg"/>
    <x v="1"/>
    <x v="1"/>
    <s v="Jan Aushadhi"/>
    <n v="1"/>
    <n v="15.15"/>
    <x v="0"/>
    <n v="15.15"/>
    <x v="8"/>
    <x v="8"/>
  </r>
  <r>
    <s v="TXN01444"/>
    <d v="2025-09-27T00:00:00"/>
    <x v="3"/>
    <s v="Omeprazole 20mg"/>
    <x v="2"/>
    <x v="1"/>
    <s v="Jan Aushadhi"/>
    <n v="2"/>
    <n v="20.2"/>
    <x v="0"/>
    <n v="40.4"/>
    <x v="8"/>
    <x v="8"/>
  </r>
  <r>
    <s v="TXN01445"/>
    <d v="2025-09-27T00:00:00"/>
    <x v="15"/>
    <s v="Cetirizine 10mg"/>
    <x v="6"/>
    <x v="1"/>
    <s v="Jan Aushadhi"/>
    <n v="4"/>
    <n v="8.08"/>
    <x v="0"/>
    <n v="32.32"/>
    <x v="8"/>
    <x v="8"/>
  </r>
  <r>
    <s v="TXN01446"/>
    <d v="2025-09-28T00:00:00"/>
    <x v="18"/>
    <s v="Paracetamol 650mg"/>
    <x v="0"/>
    <x v="1"/>
    <s v="Jan Aushadhi"/>
    <n v="2"/>
    <n v="14"/>
    <x v="0"/>
    <n v="28"/>
    <x v="8"/>
    <x v="8"/>
  </r>
  <r>
    <s v="TXN01447"/>
    <d v="2025-09-28T00:00:00"/>
    <x v="16"/>
    <s v="Azithromycin 500mg"/>
    <x v="5"/>
    <x v="0"/>
    <s v="Alembic"/>
    <n v="2"/>
    <n v="126.25"/>
    <x v="0"/>
    <n v="252.5"/>
    <x v="8"/>
    <x v="8"/>
  </r>
  <r>
    <s v="TXN01448"/>
    <d v="2025-09-28T00:00:00"/>
    <x v="8"/>
    <s v="Azithromycin 500mg"/>
    <x v="5"/>
    <x v="1"/>
    <s v="Jan Aushadhi"/>
    <n v="2"/>
    <n v="55"/>
    <x v="3"/>
    <n v="110"/>
    <x v="8"/>
    <x v="8"/>
  </r>
  <r>
    <s v="TXN01449"/>
    <d v="2025-09-28T00:00:00"/>
    <x v="11"/>
    <s v="Amoxicillin+Clavulanate 625mg"/>
    <x v="5"/>
    <x v="0"/>
    <s v="GSK"/>
    <n v="4"/>
    <n v="205"/>
    <x v="0"/>
    <n v="820"/>
    <x v="8"/>
    <x v="8"/>
  </r>
  <r>
    <s v="TXN01450"/>
    <d v="2025-09-28T00:00:00"/>
    <x v="12"/>
    <s v="Amoxicillin+Clavulanate 625mg"/>
    <x v="5"/>
    <x v="1"/>
    <s v="Jan Aushadhi"/>
    <n v="3"/>
    <n v="95.95"/>
    <x v="0"/>
    <n v="287.85000000000002"/>
    <x v="8"/>
    <x v="8"/>
  </r>
  <r>
    <s v="TXN01451"/>
    <d v="2025-09-28T00:00:00"/>
    <x v="22"/>
    <s v="Atorvastatin 10mg"/>
    <x v="3"/>
    <x v="0"/>
    <s v="Zydus"/>
    <n v="3"/>
    <n v="92.92"/>
    <x v="3"/>
    <n v="278.76"/>
    <x v="8"/>
    <x v="8"/>
  </r>
  <r>
    <s v="TXN01452"/>
    <d v="2025-09-29T00:00:00"/>
    <x v="13"/>
    <s v="Metformin 500mg"/>
    <x v="7"/>
    <x v="0"/>
    <s v="USV"/>
    <n v="1"/>
    <n v="32.32"/>
    <x v="0"/>
    <n v="32.32"/>
    <x v="8"/>
    <x v="8"/>
  </r>
  <r>
    <s v="TXN01453"/>
    <d v="2025-09-29T00:00:00"/>
    <x v="21"/>
    <s v="Montelukast+Levocetirizine"/>
    <x v="8"/>
    <x v="0"/>
    <s v="Sun Pharma"/>
    <n v="4"/>
    <n v="183.82"/>
    <x v="1"/>
    <n v="735.28"/>
    <x v="8"/>
    <x v="8"/>
  </r>
  <r>
    <s v="TXN01454"/>
    <d v="2025-09-29T00:00:00"/>
    <x v="23"/>
    <s v="Diclofenac 50mg"/>
    <x v="0"/>
    <x v="0"/>
    <s v="Novartis"/>
    <n v="2"/>
    <n v="62"/>
    <x v="0"/>
    <n v="124"/>
    <x v="8"/>
    <x v="8"/>
  </r>
  <r>
    <s v="TXN01455"/>
    <d v="2025-09-29T00:00:00"/>
    <x v="7"/>
    <s v="Vitamin B-Complex"/>
    <x v="4"/>
    <x v="0"/>
    <s v="Pfizer"/>
    <n v="2"/>
    <n v="46"/>
    <x v="0"/>
    <n v="92"/>
    <x v="8"/>
    <x v="8"/>
  </r>
  <r>
    <s v="TXN01456"/>
    <d v="2025-09-30T00:00:00"/>
    <x v="0"/>
    <s v="Paracetamol 650mg"/>
    <x v="0"/>
    <x v="0"/>
    <s v="Micro Labs"/>
    <n v="2"/>
    <n v="32"/>
    <x v="2"/>
    <n v="64"/>
    <x v="8"/>
    <x v="8"/>
  </r>
  <r>
    <s v="TXN01457"/>
    <d v="2025-09-30T00:00:00"/>
    <x v="18"/>
    <s v="Paracetamol 650mg"/>
    <x v="0"/>
    <x v="1"/>
    <s v="Jan Aushadhi"/>
    <n v="1"/>
    <n v="14.14"/>
    <x v="0"/>
    <n v="14.14"/>
    <x v="8"/>
    <x v="8"/>
  </r>
  <r>
    <s v="TXN01458"/>
    <d v="2025-09-30T00:00:00"/>
    <x v="22"/>
    <s v="Atorvastatin 10mg"/>
    <x v="3"/>
    <x v="0"/>
    <s v="Zydus"/>
    <n v="6"/>
    <n v="92.92"/>
    <x v="0"/>
    <n v="557.52"/>
    <x v="8"/>
    <x v="8"/>
  </r>
  <r>
    <s v="TXN01459"/>
    <d v="2025-09-30T00:00:00"/>
    <x v="30"/>
    <s v="Telmisartan 40mg"/>
    <x v="1"/>
    <x v="0"/>
    <s v="Glenmark"/>
    <n v="6"/>
    <n v="142"/>
    <x v="0"/>
    <n v="852"/>
    <x v="8"/>
    <x v="8"/>
  </r>
  <r>
    <s v="TXN01460"/>
    <d v="2025-09-30T00:00:00"/>
    <x v="4"/>
    <s v="Ibuprofen 400mg"/>
    <x v="0"/>
    <x v="1"/>
    <s v="Jan Aushadhi"/>
    <n v="2"/>
    <n v="15.15"/>
    <x v="0"/>
    <n v="30.3"/>
    <x v="8"/>
    <x v="8"/>
  </r>
  <r>
    <s v="TXN01461"/>
    <d v="2025-09-30T00:00:00"/>
    <x v="27"/>
    <s v="Vitamin B-Complex"/>
    <x v="4"/>
    <x v="1"/>
    <s v="Jan Aushadhi"/>
    <n v="3"/>
    <n v="18.18"/>
    <x v="0"/>
    <n v="54.54"/>
    <x v="8"/>
    <x v="8"/>
  </r>
  <r>
    <s v="TXN01462"/>
    <d v="2025-10-01T00:00:00"/>
    <x v="24"/>
    <s v="Glimepiride 2mg"/>
    <x v="7"/>
    <x v="0"/>
    <s v="Sanofi"/>
    <n v="3"/>
    <n v="191.9"/>
    <x v="0"/>
    <n v="575.70000000000005"/>
    <x v="9"/>
    <x v="9"/>
  </r>
  <r>
    <s v="TXN01463"/>
    <d v="2025-10-01T00:00:00"/>
    <x v="1"/>
    <s v="Amlodipine 5mg"/>
    <x v="1"/>
    <x v="1"/>
    <s v="Jan Aushadhi"/>
    <n v="3"/>
    <n v="15.15"/>
    <x v="3"/>
    <n v="45.45"/>
    <x v="9"/>
    <x v="9"/>
  </r>
  <r>
    <s v="TXN01464"/>
    <d v="2025-10-01T00:00:00"/>
    <x v="23"/>
    <s v="Diclofenac 50mg"/>
    <x v="0"/>
    <x v="0"/>
    <s v="Novartis"/>
    <n v="1"/>
    <n v="62"/>
    <x v="3"/>
    <n v="62"/>
    <x v="9"/>
    <x v="9"/>
  </r>
  <r>
    <s v="TXN01465"/>
    <d v="2025-10-01T00:00:00"/>
    <x v="7"/>
    <s v="Vitamin B-Complex"/>
    <x v="4"/>
    <x v="0"/>
    <s v="Pfizer"/>
    <n v="5"/>
    <n v="46.46"/>
    <x v="2"/>
    <n v="232.3"/>
    <x v="9"/>
    <x v="9"/>
  </r>
  <r>
    <s v="TXN01466"/>
    <d v="2025-10-02T00:00:00"/>
    <x v="0"/>
    <s v="Paracetamol 650mg"/>
    <x v="0"/>
    <x v="0"/>
    <s v="Micro Labs"/>
    <n v="3"/>
    <n v="32.32"/>
    <x v="3"/>
    <n v="96.960000000000008"/>
    <x v="9"/>
    <x v="9"/>
  </r>
  <r>
    <s v="TXN01467"/>
    <d v="2025-10-02T00:00:00"/>
    <x v="8"/>
    <s v="Azithromycin 500mg"/>
    <x v="5"/>
    <x v="1"/>
    <s v="Jan Aushadhi"/>
    <n v="2"/>
    <n v="55"/>
    <x v="1"/>
    <n v="110"/>
    <x v="9"/>
    <x v="9"/>
  </r>
  <r>
    <s v="TXN01468"/>
    <d v="2025-10-02T00:00:00"/>
    <x v="11"/>
    <s v="Amoxicillin+Clavulanate 625mg"/>
    <x v="5"/>
    <x v="0"/>
    <s v="GSK"/>
    <n v="5"/>
    <n v="207.05"/>
    <x v="2"/>
    <n v="1035.25"/>
    <x v="9"/>
    <x v="9"/>
  </r>
  <r>
    <s v="TXN01469"/>
    <d v="2025-10-02T00:00:00"/>
    <x v="6"/>
    <s v="Telmisartan 40mg"/>
    <x v="1"/>
    <x v="1"/>
    <s v="Jan Aushadhi"/>
    <n v="1"/>
    <n v="46"/>
    <x v="0"/>
    <n v="46"/>
    <x v="9"/>
    <x v="9"/>
  </r>
  <r>
    <s v="TXN01470"/>
    <d v="2025-10-03T00:00:00"/>
    <x v="11"/>
    <s v="Amoxicillin+Clavulanate 625mg"/>
    <x v="5"/>
    <x v="0"/>
    <s v="GSK"/>
    <n v="4"/>
    <n v="207.05"/>
    <x v="0"/>
    <n v="828.2"/>
    <x v="9"/>
    <x v="9"/>
  </r>
  <r>
    <s v="TXN01471"/>
    <d v="2025-10-03T00:00:00"/>
    <x v="13"/>
    <s v="Metformin 500mg"/>
    <x v="7"/>
    <x v="0"/>
    <s v="USV"/>
    <n v="6"/>
    <n v="32.32"/>
    <x v="1"/>
    <n v="193.92000000000002"/>
    <x v="9"/>
    <x v="9"/>
  </r>
  <r>
    <s v="TXN01472"/>
    <d v="2025-10-03T00:00:00"/>
    <x v="5"/>
    <s v="Rosuvastatin 10mg"/>
    <x v="3"/>
    <x v="0"/>
    <s v="Sun Pharma"/>
    <n v="12"/>
    <n v="165"/>
    <x v="0"/>
    <n v="1980"/>
    <x v="9"/>
    <x v="9"/>
  </r>
  <r>
    <s v="TXN01473"/>
    <d v="2025-10-03T00:00:00"/>
    <x v="30"/>
    <s v="Telmisartan 40mg"/>
    <x v="1"/>
    <x v="0"/>
    <s v="Glenmark"/>
    <n v="6"/>
    <n v="142"/>
    <x v="0"/>
    <n v="852"/>
    <x v="9"/>
    <x v="9"/>
  </r>
  <r>
    <s v="TXN01474"/>
    <d v="2025-10-04T00:00:00"/>
    <x v="16"/>
    <s v="Azithromycin 500mg"/>
    <x v="5"/>
    <x v="0"/>
    <s v="Alembic"/>
    <n v="1"/>
    <n v="125"/>
    <x v="3"/>
    <n v="125"/>
    <x v="9"/>
    <x v="9"/>
  </r>
  <r>
    <s v="TXN01475"/>
    <d v="2025-10-04T00:00:00"/>
    <x v="24"/>
    <s v="Glimepiride 2mg"/>
    <x v="7"/>
    <x v="0"/>
    <s v="Sanofi"/>
    <n v="1"/>
    <n v="190"/>
    <x v="3"/>
    <n v="190"/>
    <x v="9"/>
    <x v="9"/>
  </r>
  <r>
    <s v="TXN01476"/>
    <d v="2025-10-04T00:00:00"/>
    <x v="9"/>
    <s v="Ibuprofen 400mg"/>
    <x v="0"/>
    <x v="0"/>
    <s v="Abbott"/>
    <n v="1"/>
    <n v="42.42"/>
    <x v="2"/>
    <n v="42.42"/>
    <x v="9"/>
    <x v="9"/>
  </r>
  <r>
    <s v="TXN01477"/>
    <d v="2025-10-04T00:00:00"/>
    <x v="7"/>
    <s v="Vitamin B-Complex"/>
    <x v="4"/>
    <x v="0"/>
    <s v="Pfizer"/>
    <n v="4"/>
    <n v="46"/>
    <x v="2"/>
    <n v="184"/>
    <x v="9"/>
    <x v="9"/>
  </r>
  <r>
    <s v="TXN01478"/>
    <d v="2025-10-04T00:00:00"/>
    <x v="27"/>
    <s v="Vitamin B-Complex"/>
    <x v="4"/>
    <x v="1"/>
    <s v="Jan Aushadhi"/>
    <n v="5"/>
    <n v="18.18"/>
    <x v="1"/>
    <n v="90.9"/>
    <x v="9"/>
    <x v="9"/>
  </r>
  <r>
    <s v="TXN01479"/>
    <d v="2025-10-05T00:00:00"/>
    <x v="0"/>
    <s v="Paracetamol 650mg"/>
    <x v="0"/>
    <x v="0"/>
    <s v="Micro Labs"/>
    <n v="3"/>
    <n v="32.32"/>
    <x v="1"/>
    <n v="96.960000000000008"/>
    <x v="9"/>
    <x v="9"/>
  </r>
  <r>
    <s v="TXN01480"/>
    <d v="2025-10-05T00:00:00"/>
    <x v="8"/>
    <s v="Azithromycin 500mg"/>
    <x v="5"/>
    <x v="1"/>
    <s v="Jan Aushadhi"/>
    <n v="1"/>
    <n v="55.55"/>
    <x v="3"/>
    <n v="55.55"/>
    <x v="9"/>
    <x v="9"/>
  </r>
  <r>
    <s v="TXN01481"/>
    <d v="2025-10-05T00:00:00"/>
    <x v="13"/>
    <s v="Metformin 500mg"/>
    <x v="7"/>
    <x v="0"/>
    <s v="USV"/>
    <n v="3"/>
    <n v="32.32"/>
    <x v="0"/>
    <n v="96.960000000000008"/>
    <x v="9"/>
    <x v="9"/>
  </r>
  <r>
    <s v="TXN01482"/>
    <d v="2025-10-05T00:00:00"/>
    <x v="14"/>
    <s v="Pantoprazole 40mg"/>
    <x v="2"/>
    <x v="0"/>
    <s v="Alkem"/>
    <n v="1"/>
    <n v="153.52000000000001"/>
    <x v="0"/>
    <n v="153.52000000000001"/>
    <x v="9"/>
    <x v="9"/>
  </r>
  <r>
    <s v="TXN01483"/>
    <d v="2025-10-05T00:00:00"/>
    <x v="10"/>
    <s v="Cetirizine 10mg"/>
    <x v="6"/>
    <x v="0"/>
    <s v="Cipla"/>
    <n v="5"/>
    <n v="26"/>
    <x v="1"/>
    <n v="130"/>
    <x v="9"/>
    <x v="9"/>
  </r>
  <r>
    <s v="TXN01484"/>
    <d v="2025-10-05T00:00:00"/>
    <x v="15"/>
    <s v="Cetirizine 10mg"/>
    <x v="6"/>
    <x v="1"/>
    <s v="Jan Aushadhi"/>
    <n v="2"/>
    <n v="8"/>
    <x v="0"/>
    <n v="16"/>
    <x v="9"/>
    <x v="9"/>
  </r>
  <r>
    <s v="TXN01485"/>
    <d v="2025-10-05T00:00:00"/>
    <x v="31"/>
    <s v="Montelukast+Levocetirizine"/>
    <x v="8"/>
    <x v="1"/>
    <s v="Jan Aushadhi"/>
    <n v="2"/>
    <n v="70.7"/>
    <x v="0"/>
    <n v="141.4"/>
    <x v="9"/>
    <x v="9"/>
  </r>
  <r>
    <s v="TXN01486"/>
    <d v="2025-10-05T00:00:00"/>
    <x v="9"/>
    <s v="Ibuprofen 400mg"/>
    <x v="0"/>
    <x v="0"/>
    <s v="Abbott"/>
    <n v="2"/>
    <n v="42.42"/>
    <x v="2"/>
    <n v="84.84"/>
    <x v="9"/>
    <x v="9"/>
  </r>
  <r>
    <s v="TXN01487"/>
    <d v="2025-10-05T00:00:00"/>
    <x v="23"/>
    <s v="Diclofenac 50mg"/>
    <x v="0"/>
    <x v="0"/>
    <s v="Novartis"/>
    <n v="1"/>
    <n v="62.62"/>
    <x v="2"/>
    <n v="62.62"/>
    <x v="9"/>
    <x v="9"/>
  </r>
  <r>
    <s v="TXN01488"/>
    <d v="2025-10-05T00:00:00"/>
    <x v="27"/>
    <s v="Vitamin B-Complex"/>
    <x v="4"/>
    <x v="1"/>
    <s v="Jan Aushadhi"/>
    <n v="1"/>
    <n v="18.18"/>
    <x v="0"/>
    <n v="18.18"/>
    <x v="9"/>
    <x v="9"/>
  </r>
  <r>
    <s v="TXN01489"/>
    <d v="2025-10-06T00:00:00"/>
    <x v="1"/>
    <s v="Amlodipine 5mg"/>
    <x v="1"/>
    <x v="1"/>
    <s v="Jan Aushadhi"/>
    <n v="6"/>
    <n v="15.15"/>
    <x v="0"/>
    <n v="90.9"/>
    <x v="9"/>
    <x v="9"/>
  </r>
  <r>
    <s v="TXN01490"/>
    <d v="2025-10-06T00:00:00"/>
    <x v="1"/>
    <s v="Amlodipine 5mg"/>
    <x v="1"/>
    <x v="1"/>
    <s v="Jan Aushadhi"/>
    <n v="1"/>
    <n v="15.15"/>
    <x v="2"/>
    <n v="15.15"/>
    <x v="9"/>
    <x v="9"/>
  </r>
  <r>
    <s v="TXN01491"/>
    <d v="2025-10-06T00:00:00"/>
    <x v="29"/>
    <s v="Diclofenac 50mg"/>
    <x v="0"/>
    <x v="1"/>
    <s v="Jan Aushadhi"/>
    <n v="1"/>
    <n v="20.2"/>
    <x v="3"/>
    <n v="20.2"/>
    <x v="9"/>
    <x v="9"/>
  </r>
  <r>
    <s v="TXN01492"/>
    <d v="2025-10-07T00:00:00"/>
    <x v="18"/>
    <s v="Paracetamol 650mg"/>
    <x v="0"/>
    <x v="1"/>
    <s v="Jan Aushadhi"/>
    <n v="3"/>
    <n v="14.14"/>
    <x v="3"/>
    <n v="42.42"/>
    <x v="9"/>
    <x v="9"/>
  </r>
  <r>
    <s v="TXN01493"/>
    <d v="2025-10-07T00:00:00"/>
    <x v="22"/>
    <s v="Atorvastatin 10mg"/>
    <x v="3"/>
    <x v="0"/>
    <s v="Zydus"/>
    <n v="1"/>
    <n v="92.92"/>
    <x v="2"/>
    <n v="92.92"/>
    <x v="9"/>
    <x v="9"/>
  </r>
  <r>
    <s v="TXN01494"/>
    <d v="2025-10-07T00:00:00"/>
    <x v="2"/>
    <s v="Omeprazole 20mg"/>
    <x v="2"/>
    <x v="0"/>
    <s v="Dr. Reddy's"/>
    <n v="1"/>
    <n v="58"/>
    <x v="2"/>
    <n v="58"/>
    <x v="9"/>
    <x v="9"/>
  </r>
  <r>
    <s v="TXN01495"/>
    <d v="2025-10-07T00:00:00"/>
    <x v="3"/>
    <s v="Omeprazole 20mg"/>
    <x v="2"/>
    <x v="1"/>
    <s v="Jan Aushadhi"/>
    <n v="2"/>
    <n v="20.2"/>
    <x v="2"/>
    <n v="40.4"/>
    <x v="9"/>
    <x v="9"/>
  </r>
  <r>
    <s v="TXN01496"/>
    <d v="2025-10-08T00:00:00"/>
    <x v="0"/>
    <s v="Paracetamol 650mg"/>
    <x v="0"/>
    <x v="0"/>
    <s v="Micro Labs"/>
    <n v="1"/>
    <n v="32"/>
    <x v="1"/>
    <n v="32"/>
    <x v="9"/>
    <x v="9"/>
  </r>
  <r>
    <s v="TXN01497"/>
    <d v="2025-10-08T00:00:00"/>
    <x v="13"/>
    <s v="Metformin 500mg"/>
    <x v="7"/>
    <x v="0"/>
    <s v="USV"/>
    <n v="3"/>
    <n v="32.32"/>
    <x v="0"/>
    <n v="96.960000000000008"/>
    <x v="9"/>
    <x v="9"/>
  </r>
  <r>
    <s v="TXN01498"/>
    <d v="2025-10-08T00:00:00"/>
    <x v="24"/>
    <s v="Glimepiride 2mg"/>
    <x v="7"/>
    <x v="0"/>
    <s v="Sanofi"/>
    <n v="3"/>
    <n v="190"/>
    <x v="1"/>
    <n v="570"/>
    <x v="9"/>
    <x v="9"/>
  </r>
  <r>
    <s v="TXN01499"/>
    <d v="2025-10-09T00:00:00"/>
    <x v="0"/>
    <s v="Paracetamol 650mg"/>
    <x v="0"/>
    <x v="0"/>
    <s v="Micro Labs"/>
    <n v="1"/>
    <n v="32.32"/>
    <x v="3"/>
    <n v="32.32"/>
    <x v="9"/>
    <x v="9"/>
  </r>
  <r>
    <s v="TXN01500"/>
    <d v="2025-10-09T00:00:00"/>
    <x v="18"/>
    <s v="Paracetamol 650mg"/>
    <x v="0"/>
    <x v="1"/>
    <s v="Jan Aushadhi"/>
    <n v="4"/>
    <n v="14.14"/>
    <x v="1"/>
    <n v="56.56"/>
    <x v="9"/>
    <x v="9"/>
  </r>
  <r>
    <s v="TXN01501"/>
    <d v="2025-10-09T00:00:00"/>
    <x v="8"/>
    <s v="Azithromycin 500mg"/>
    <x v="5"/>
    <x v="1"/>
    <s v="Jan Aushadhi"/>
    <n v="5"/>
    <n v="55.55"/>
    <x v="1"/>
    <n v="277.75"/>
    <x v="9"/>
    <x v="9"/>
  </r>
  <r>
    <s v="TXN01502"/>
    <d v="2025-10-09T00:00:00"/>
    <x v="13"/>
    <s v="Metformin 500mg"/>
    <x v="7"/>
    <x v="0"/>
    <s v="USV"/>
    <n v="2"/>
    <n v="32.32"/>
    <x v="0"/>
    <n v="64.64"/>
    <x v="9"/>
    <x v="9"/>
  </r>
  <r>
    <s v="TXN01503"/>
    <d v="2025-10-09T00:00:00"/>
    <x v="21"/>
    <s v="Montelukast+Levocetirizine"/>
    <x v="8"/>
    <x v="0"/>
    <s v="Sun Pharma"/>
    <n v="4"/>
    <n v="182"/>
    <x v="0"/>
    <n v="728"/>
    <x v="9"/>
    <x v="9"/>
  </r>
  <r>
    <s v="TXN01504"/>
    <d v="2025-10-09T00:00:00"/>
    <x v="4"/>
    <s v="Ibuprofen 400mg"/>
    <x v="0"/>
    <x v="1"/>
    <s v="Jan Aushadhi"/>
    <n v="3"/>
    <n v="15.15"/>
    <x v="1"/>
    <n v="45.45"/>
    <x v="9"/>
    <x v="9"/>
  </r>
  <r>
    <s v="TXN01505"/>
    <d v="2025-10-10T00:00:00"/>
    <x v="0"/>
    <s v="Paracetamol 650mg"/>
    <x v="0"/>
    <x v="0"/>
    <s v="Micro Labs"/>
    <n v="4"/>
    <n v="32"/>
    <x v="0"/>
    <n v="128"/>
    <x v="9"/>
    <x v="9"/>
  </r>
  <r>
    <s v="TXN01506"/>
    <d v="2025-10-10T00:00:00"/>
    <x v="11"/>
    <s v="Amoxicillin+Clavulanate 625mg"/>
    <x v="5"/>
    <x v="0"/>
    <s v="GSK"/>
    <n v="4"/>
    <n v="205"/>
    <x v="0"/>
    <n v="820"/>
    <x v="9"/>
    <x v="9"/>
  </r>
  <r>
    <s v="TXN01507"/>
    <d v="2025-10-10T00:00:00"/>
    <x v="1"/>
    <s v="Amlodipine 5mg"/>
    <x v="1"/>
    <x v="1"/>
    <s v="Jan Aushadhi"/>
    <n v="6"/>
    <n v="15"/>
    <x v="0"/>
    <n v="90"/>
    <x v="9"/>
    <x v="9"/>
  </r>
  <r>
    <s v="TXN01508"/>
    <d v="2025-10-10T00:00:00"/>
    <x v="3"/>
    <s v="Omeprazole 20mg"/>
    <x v="2"/>
    <x v="1"/>
    <s v="Jan Aushadhi"/>
    <n v="2"/>
    <n v="20.2"/>
    <x v="3"/>
    <n v="40.4"/>
    <x v="9"/>
    <x v="9"/>
  </r>
  <r>
    <s v="TXN01509"/>
    <d v="2025-10-10T00:00:00"/>
    <x v="21"/>
    <s v="Montelukast+Levocetirizine"/>
    <x v="8"/>
    <x v="0"/>
    <s v="Sun Pharma"/>
    <n v="1"/>
    <n v="182"/>
    <x v="0"/>
    <n v="182"/>
    <x v="9"/>
    <x v="9"/>
  </r>
  <r>
    <s v="TXN01510"/>
    <d v="2025-10-10T00:00:00"/>
    <x v="7"/>
    <s v="Vitamin B-Complex"/>
    <x v="4"/>
    <x v="0"/>
    <s v="Pfizer"/>
    <n v="3"/>
    <n v="46"/>
    <x v="1"/>
    <n v="138"/>
    <x v="9"/>
    <x v="9"/>
  </r>
  <r>
    <s v="TXN01511"/>
    <d v="2025-10-11T00:00:00"/>
    <x v="0"/>
    <s v="Paracetamol 650mg"/>
    <x v="0"/>
    <x v="0"/>
    <s v="Micro Labs"/>
    <n v="1"/>
    <n v="32.32"/>
    <x v="3"/>
    <n v="32.32"/>
    <x v="9"/>
    <x v="9"/>
  </r>
  <r>
    <s v="TXN01512"/>
    <d v="2025-10-11T00:00:00"/>
    <x v="16"/>
    <s v="Azithromycin 500mg"/>
    <x v="5"/>
    <x v="0"/>
    <s v="Alembic"/>
    <n v="1"/>
    <n v="126.25"/>
    <x v="0"/>
    <n v="126.25"/>
    <x v="9"/>
    <x v="9"/>
  </r>
  <r>
    <s v="TXN01513"/>
    <d v="2025-10-11T00:00:00"/>
    <x v="19"/>
    <s v="Metformin 500mg"/>
    <x v="7"/>
    <x v="1"/>
    <s v="Jan Aushadhi"/>
    <n v="2"/>
    <n v="12"/>
    <x v="0"/>
    <n v="24"/>
    <x v="9"/>
    <x v="9"/>
  </r>
  <r>
    <s v="TXN01514"/>
    <d v="2025-10-11T00:00:00"/>
    <x v="22"/>
    <s v="Atorvastatin 10mg"/>
    <x v="3"/>
    <x v="0"/>
    <s v="Zydus"/>
    <n v="3"/>
    <n v="92.92"/>
    <x v="0"/>
    <n v="278.76"/>
    <x v="9"/>
    <x v="9"/>
  </r>
  <r>
    <s v="TXN01515"/>
    <d v="2025-10-11T00:00:00"/>
    <x v="25"/>
    <s v="Amlodipine 5mg"/>
    <x v="1"/>
    <x v="0"/>
    <s v="Mankind"/>
    <n v="12"/>
    <n v="45.45"/>
    <x v="0"/>
    <n v="545.40000000000009"/>
    <x v="9"/>
    <x v="9"/>
  </r>
  <r>
    <s v="TXN01516"/>
    <d v="2025-10-11T00:00:00"/>
    <x v="14"/>
    <s v="Pantoprazole 40mg"/>
    <x v="2"/>
    <x v="0"/>
    <s v="Alkem"/>
    <n v="4"/>
    <n v="153.52000000000001"/>
    <x v="0"/>
    <n v="614.08000000000004"/>
    <x v="9"/>
    <x v="9"/>
  </r>
  <r>
    <s v="TXN01517"/>
    <d v="2025-10-11T00:00:00"/>
    <x v="3"/>
    <s v="Omeprazole 20mg"/>
    <x v="2"/>
    <x v="1"/>
    <s v="Jan Aushadhi"/>
    <n v="1"/>
    <n v="20"/>
    <x v="1"/>
    <n v="20"/>
    <x v="9"/>
    <x v="9"/>
  </r>
  <r>
    <s v="TXN01518"/>
    <d v="2025-10-11T00:00:00"/>
    <x v="10"/>
    <s v="Cetirizine 10mg"/>
    <x v="6"/>
    <x v="0"/>
    <s v="Cipla"/>
    <n v="3"/>
    <n v="26.26"/>
    <x v="0"/>
    <n v="78.78"/>
    <x v="9"/>
    <x v="9"/>
  </r>
  <r>
    <s v="TXN01519"/>
    <d v="2025-10-11T00:00:00"/>
    <x v="4"/>
    <s v="Ibuprofen 400mg"/>
    <x v="0"/>
    <x v="1"/>
    <s v="Jan Aushadhi"/>
    <n v="2"/>
    <n v="15"/>
    <x v="0"/>
    <n v="30"/>
    <x v="9"/>
    <x v="9"/>
  </r>
  <r>
    <s v="TXN01520"/>
    <d v="2025-10-12T00:00:00"/>
    <x v="18"/>
    <s v="Paracetamol 650mg"/>
    <x v="0"/>
    <x v="1"/>
    <s v="Jan Aushadhi"/>
    <n v="5"/>
    <n v="14.14"/>
    <x v="0"/>
    <n v="70.7"/>
    <x v="9"/>
    <x v="9"/>
  </r>
  <r>
    <s v="TXN01521"/>
    <d v="2025-10-12T00:00:00"/>
    <x v="16"/>
    <s v="Azithromycin 500mg"/>
    <x v="5"/>
    <x v="0"/>
    <s v="Alembic"/>
    <n v="1"/>
    <n v="126.25"/>
    <x v="2"/>
    <n v="126.25"/>
    <x v="9"/>
    <x v="9"/>
  </r>
  <r>
    <s v="TXN01522"/>
    <d v="2025-10-12T00:00:00"/>
    <x v="13"/>
    <s v="Metformin 500mg"/>
    <x v="7"/>
    <x v="0"/>
    <s v="USV"/>
    <n v="6"/>
    <n v="32"/>
    <x v="3"/>
    <n v="192"/>
    <x v="9"/>
    <x v="9"/>
  </r>
  <r>
    <s v="TXN01523"/>
    <d v="2025-10-12T00:00:00"/>
    <x v="28"/>
    <s v="Glimepiride 2mg"/>
    <x v="7"/>
    <x v="1"/>
    <s v="Jan Aushadhi"/>
    <n v="1"/>
    <n v="42.42"/>
    <x v="0"/>
    <n v="42.42"/>
    <x v="9"/>
    <x v="9"/>
  </r>
  <r>
    <s v="TXN01524"/>
    <d v="2025-10-12T00:00:00"/>
    <x v="6"/>
    <s v="Telmisartan 40mg"/>
    <x v="1"/>
    <x v="1"/>
    <s v="Jan Aushadhi"/>
    <n v="1"/>
    <n v="46"/>
    <x v="1"/>
    <n v="46"/>
    <x v="9"/>
    <x v="9"/>
  </r>
  <r>
    <s v="TXN01525"/>
    <d v="2025-10-12T00:00:00"/>
    <x v="3"/>
    <s v="Omeprazole 20mg"/>
    <x v="2"/>
    <x v="1"/>
    <s v="Jan Aushadhi"/>
    <n v="2"/>
    <n v="20"/>
    <x v="1"/>
    <n v="40"/>
    <x v="9"/>
    <x v="9"/>
  </r>
  <r>
    <s v="TXN01526"/>
    <d v="2025-10-12T00:00:00"/>
    <x v="23"/>
    <s v="Diclofenac 50mg"/>
    <x v="0"/>
    <x v="0"/>
    <s v="Novartis"/>
    <n v="3"/>
    <n v="62.62"/>
    <x v="0"/>
    <n v="187.85999999999999"/>
    <x v="9"/>
    <x v="9"/>
  </r>
  <r>
    <s v="TXN01527"/>
    <d v="2025-10-13T00:00:00"/>
    <x v="0"/>
    <s v="Paracetamol 650mg"/>
    <x v="0"/>
    <x v="0"/>
    <s v="Micro Labs"/>
    <n v="1"/>
    <n v="32.32"/>
    <x v="3"/>
    <n v="32.32"/>
    <x v="9"/>
    <x v="9"/>
  </r>
  <r>
    <s v="TXN01528"/>
    <d v="2025-10-13T00:00:00"/>
    <x v="12"/>
    <s v="Amoxicillin+Clavulanate 625mg"/>
    <x v="5"/>
    <x v="1"/>
    <s v="Jan Aushadhi"/>
    <n v="1"/>
    <n v="95"/>
    <x v="0"/>
    <n v="95"/>
    <x v="9"/>
    <x v="9"/>
  </r>
  <r>
    <s v="TXN01529"/>
    <d v="2025-10-13T00:00:00"/>
    <x v="26"/>
    <s v="Atorvastatin 10mg"/>
    <x v="3"/>
    <x v="1"/>
    <s v="Jan Aushadhi"/>
    <n v="6"/>
    <n v="35.35"/>
    <x v="3"/>
    <n v="212.10000000000002"/>
    <x v="9"/>
    <x v="9"/>
  </r>
  <r>
    <s v="TXN01530"/>
    <d v="2025-10-13T00:00:00"/>
    <x v="10"/>
    <s v="Cetirizine 10mg"/>
    <x v="6"/>
    <x v="0"/>
    <s v="Cipla"/>
    <n v="1"/>
    <n v="26"/>
    <x v="0"/>
    <n v="26"/>
    <x v="9"/>
    <x v="9"/>
  </r>
  <r>
    <s v="TXN01531"/>
    <d v="2025-10-13T00:00:00"/>
    <x v="15"/>
    <s v="Cetirizine 10mg"/>
    <x v="6"/>
    <x v="1"/>
    <s v="Jan Aushadhi"/>
    <n v="1"/>
    <n v="8.08"/>
    <x v="3"/>
    <n v="8.08"/>
    <x v="9"/>
    <x v="9"/>
  </r>
  <r>
    <s v="TXN01532"/>
    <d v="2025-10-13T00:00:00"/>
    <x v="15"/>
    <s v="Cetirizine 10mg"/>
    <x v="6"/>
    <x v="1"/>
    <s v="Jan Aushadhi"/>
    <n v="1"/>
    <n v="8.08"/>
    <x v="2"/>
    <n v="8.08"/>
    <x v="9"/>
    <x v="9"/>
  </r>
  <r>
    <s v="TXN01533"/>
    <d v="2025-10-14T00:00:00"/>
    <x v="0"/>
    <s v="Paracetamol 650mg"/>
    <x v="0"/>
    <x v="0"/>
    <s v="Micro Labs"/>
    <n v="1"/>
    <n v="32"/>
    <x v="0"/>
    <n v="32"/>
    <x v="9"/>
    <x v="9"/>
  </r>
  <r>
    <s v="TXN01534"/>
    <d v="2025-10-14T00:00:00"/>
    <x v="18"/>
    <s v="Paracetamol 650mg"/>
    <x v="0"/>
    <x v="1"/>
    <s v="Jan Aushadhi"/>
    <n v="4"/>
    <n v="14.14"/>
    <x v="0"/>
    <n v="56.56"/>
    <x v="9"/>
    <x v="9"/>
  </r>
  <r>
    <s v="TXN01535"/>
    <d v="2025-10-14T00:00:00"/>
    <x v="5"/>
    <s v="Rosuvastatin 10mg"/>
    <x v="3"/>
    <x v="0"/>
    <s v="Sun Pharma"/>
    <n v="6"/>
    <n v="165"/>
    <x v="1"/>
    <n v="990"/>
    <x v="9"/>
    <x v="9"/>
  </r>
  <r>
    <s v="TXN01536"/>
    <d v="2025-10-14T00:00:00"/>
    <x v="17"/>
    <s v="Rosuvastatin 10mg"/>
    <x v="3"/>
    <x v="1"/>
    <s v="Jan Aushadhi"/>
    <n v="3"/>
    <n v="58"/>
    <x v="0"/>
    <n v="174"/>
    <x v="9"/>
    <x v="9"/>
  </r>
  <r>
    <s v="TXN01537"/>
    <d v="2025-10-14T00:00:00"/>
    <x v="1"/>
    <s v="Amlodipine 5mg"/>
    <x v="1"/>
    <x v="1"/>
    <s v="Jan Aushadhi"/>
    <n v="3"/>
    <n v="15.15"/>
    <x v="0"/>
    <n v="45.45"/>
    <x v="9"/>
    <x v="9"/>
  </r>
  <r>
    <s v="TXN01538"/>
    <d v="2025-10-14T00:00:00"/>
    <x v="3"/>
    <s v="Omeprazole 20mg"/>
    <x v="2"/>
    <x v="1"/>
    <s v="Jan Aushadhi"/>
    <n v="4"/>
    <n v="20"/>
    <x v="0"/>
    <n v="80"/>
    <x v="9"/>
    <x v="9"/>
  </r>
  <r>
    <s v="TXN01539"/>
    <d v="2025-10-14T00:00:00"/>
    <x v="7"/>
    <s v="Vitamin B-Complex"/>
    <x v="4"/>
    <x v="0"/>
    <s v="Pfizer"/>
    <n v="4"/>
    <n v="46"/>
    <x v="1"/>
    <n v="184"/>
    <x v="9"/>
    <x v="9"/>
  </r>
  <r>
    <s v="TXN01540"/>
    <d v="2025-10-15T00:00:00"/>
    <x v="12"/>
    <s v="Amoxicillin+Clavulanate 625mg"/>
    <x v="5"/>
    <x v="1"/>
    <s v="Jan Aushadhi"/>
    <n v="1"/>
    <n v="95"/>
    <x v="0"/>
    <n v="95"/>
    <x v="9"/>
    <x v="9"/>
  </r>
  <r>
    <s v="TXN01541"/>
    <d v="2025-10-15T00:00:00"/>
    <x v="17"/>
    <s v="Rosuvastatin 10mg"/>
    <x v="3"/>
    <x v="1"/>
    <s v="Jan Aushadhi"/>
    <n v="6"/>
    <n v="58"/>
    <x v="0"/>
    <n v="348"/>
    <x v="9"/>
    <x v="9"/>
  </r>
  <r>
    <s v="TXN01542"/>
    <d v="2025-10-15T00:00:00"/>
    <x v="2"/>
    <s v="Omeprazole 20mg"/>
    <x v="2"/>
    <x v="0"/>
    <s v="Dr. Reddy's"/>
    <n v="1"/>
    <n v="58.58"/>
    <x v="0"/>
    <n v="58.58"/>
    <x v="9"/>
    <x v="9"/>
  </r>
  <r>
    <s v="TXN01543"/>
    <d v="2025-10-15T00:00:00"/>
    <x v="10"/>
    <s v="Cetirizine 10mg"/>
    <x v="6"/>
    <x v="0"/>
    <s v="Cipla"/>
    <n v="3"/>
    <n v="26.26"/>
    <x v="0"/>
    <n v="78.78"/>
    <x v="9"/>
    <x v="9"/>
  </r>
  <r>
    <s v="TXN01544"/>
    <d v="2025-10-15T00:00:00"/>
    <x v="9"/>
    <s v="Ibuprofen 400mg"/>
    <x v="0"/>
    <x v="0"/>
    <s v="Abbott"/>
    <n v="4"/>
    <n v="42.42"/>
    <x v="3"/>
    <n v="169.68"/>
    <x v="9"/>
    <x v="9"/>
  </r>
  <r>
    <s v="TXN01545"/>
    <d v="2025-10-16T00:00:00"/>
    <x v="16"/>
    <s v="Azithromycin 500mg"/>
    <x v="5"/>
    <x v="0"/>
    <s v="Alembic"/>
    <n v="1"/>
    <n v="126.25"/>
    <x v="0"/>
    <n v="126.25"/>
    <x v="9"/>
    <x v="9"/>
  </r>
  <r>
    <s v="TXN01546"/>
    <d v="2025-10-17T00:00:00"/>
    <x v="18"/>
    <s v="Paracetamol 650mg"/>
    <x v="0"/>
    <x v="1"/>
    <s v="Jan Aushadhi"/>
    <n v="2"/>
    <n v="14"/>
    <x v="2"/>
    <n v="28"/>
    <x v="9"/>
    <x v="9"/>
  </r>
  <r>
    <s v="TXN01547"/>
    <d v="2025-10-17T00:00:00"/>
    <x v="11"/>
    <s v="Amoxicillin+Clavulanate 625mg"/>
    <x v="5"/>
    <x v="0"/>
    <s v="GSK"/>
    <n v="1"/>
    <n v="207.05"/>
    <x v="0"/>
    <n v="207.05"/>
    <x v="9"/>
    <x v="9"/>
  </r>
  <r>
    <s v="TXN01548"/>
    <d v="2025-10-17T00:00:00"/>
    <x v="26"/>
    <s v="Atorvastatin 10mg"/>
    <x v="3"/>
    <x v="1"/>
    <s v="Jan Aushadhi"/>
    <n v="1"/>
    <n v="35.35"/>
    <x v="2"/>
    <n v="35.35"/>
    <x v="9"/>
    <x v="9"/>
  </r>
  <r>
    <s v="TXN01549"/>
    <d v="2025-10-17T00:00:00"/>
    <x v="5"/>
    <s v="Rosuvastatin 10mg"/>
    <x v="3"/>
    <x v="0"/>
    <s v="Sun Pharma"/>
    <n v="1"/>
    <n v="166.65"/>
    <x v="0"/>
    <n v="166.65"/>
    <x v="9"/>
    <x v="9"/>
  </r>
  <r>
    <s v="TXN01550"/>
    <d v="2025-10-17T00:00:00"/>
    <x v="25"/>
    <s v="Amlodipine 5mg"/>
    <x v="1"/>
    <x v="0"/>
    <s v="Mankind"/>
    <n v="6"/>
    <n v="45.45"/>
    <x v="3"/>
    <n v="272.70000000000005"/>
    <x v="9"/>
    <x v="9"/>
  </r>
  <r>
    <s v="TXN01551"/>
    <d v="2025-10-17T00:00:00"/>
    <x v="2"/>
    <s v="Omeprazole 20mg"/>
    <x v="2"/>
    <x v="0"/>
    <s v="Dr. Reddy's"/>
    <n v="5"/>
    <n v="58.58"/>
    <x v="0"/>
    <n v="292.89999999999998"/>
    <x v="9"/>
    <x v="9"/>
  </r>
  <r>
    <s v="TXN01552"/>
    <d v="2025-10-17T00:00:00"/>
    <x v="31"/>
    <s v="Montelukast+Levocetirizine"/>
    <x v="8"/>
    <x v="1"/>
    <s v="Jan Aushadhi"/>
    <n v="1"/>
    <n v="70.7"/>
    <x v="3"/>
    <n v="70.7"/>
    <x v="9"/>
    <x v="9"/>
  </r>
  <r>
    <s v="TXN01553"/>
    <d v="2025-10-17T00:00:00"/>
    <x v="9"/>
    <s v="Ibuprofen 400mg"/>
    <x v="0"/>
    <x v="0"/>
    <s v="Abbott"/>
    <n v="2"/>
    <n v="42.42"/>
    <x v="0"/>
    <n v="84.84"/>
    <x v="9"/>
    <x v="9"/>
  </r>
  <r>
    <s v="TXN01554"/>
    <d v="2025-10-18T00:00:00"/>
    <x v="0"/>
    <s v="Paracetamol 650mg"/>
    <x v="0"/>
    <x v="0"/>
    <s v="Micro Labs"/>
    <n v="2"/>
    <n v="32.32"/>
    <x v="0"/>
    <n v="64.64"/>
    <x v="9"/>
    <x v="9"/>
  </r>
  <r>
    <s v="TXN01555"/>
    <d v="2025-10-18T00:00:00"/>
    <x v="19"/>
    <s v="Metformin 500mg"/>
    <x v="7"/>
    <x v="1"/>
    <s v="Jan Aushadhi"/>
    <n v="6"/>
    <n v="12"/>
    <x v="0"/>
    <n v="72"/>
    <x v="9"/>
    <x v="9"/>
  </r>
  <r>
    <s v="TXN01556"/>
    <d v="2025-10-18T00:00:00"/>
    <x v="26"/>
    <s v="Atorvastatin 10mg"/>
    <x v="3"/>
    <x v="1"/>
    <s v="Jan Aushadhi"/>
    <n v="6"/>
    <n v="35.35"/>
    <x v="2"/>
    <n v="212.10000000000002"/>
    <x v="9"/>
    <x v="9"/>
  </r>
  <r>
    <s v="TXN01557"/>
    <d v="2025-10-18T00:00:00"/>
    <x v="30"/>
    <s v="Telmisartan 40mg"/>
    <x v="1"/>
    <x v="0"/>
    <s v="Glenmark"/>
    <n v="1"/>
    <n v="142"/>
    <x v="0"/>
    <n v="142"/>
    <x v="9"/>
    <x v="9"/>
  </r>
  <r>
    <s v="TXN01558"/>
    <d v="2025-10-19T00:00:00"/>
    <x v="0"/>
    <s v="Paracetamol 650mg"/>
    <x v="0"/>
    <x v="0"/>
    <s v="Micro Labs"/>
    <n v="1"/>
    <n v="32"/>
    <x v="0"/>
    <n v="32"/>
    <x v="9"/>
    <x v="9"/>
  </r>
  <r>
    <s v="TXN01559"/>
    <d v="2025-10-19T00:00:00"/>
    <x v="6"/>
    <s v="Telmisartan 40mg"/>
    <x v="1"/>
    <x v="1"/>
    <s v="Jan Aushadhi"/>
    <n v="3"/>
    <n v="46.46"/>
    <x v="2"/>
    <n v="139.38"/>
    <x v="9"/>
    <x v="9"/>
  </r>
  <r>
    <s v="TXN01560"/>
    <d v="2025-10-19T00:00:00"/>
    <x v="14"/>
    <s v="Pantoprazole 40mg"/>
    <x v="2"/>
    <x v="0"/>
    <s v="Alkem"/>
    <n v="3"/>
    <n v="152"/>
    <x v="2"/>
    <n v="456"/>
    <x v="9"/>
    <x v="9"/>
  </r>
  <r>
    <s v="TXN01561"/>
    <d v="2025-10-19T00:00:00"/>
    <x v="20"/>
    <s v="Pantoprazole 40mg"/>
    <x v="2"/>
    <x v="1"/>
    <s v="Jan Aushadhi"/>
    <n v="3"/>
    <n v="50"/>
    <x v="3"/>
    <n v="150"/>
    <x v="9"/>
    <x v="9"/>
  </r>
  <r>
    <s v="TXN01562"/>
    <d v="2025-10-19T00:00:00"/>
    <x v="10"/>
    <s v="Cetirizine 10mg"/>
    <x v="6"/>
    <x v="0"/>
    <s v="Cipla"/>
    <n v="3"/>
    <n v="26.26"/>
    <x v="3"/>
    <n v="78.78"/>
    <x v="9"/>
    <x v="9"/>
  </r>
  <r>
    <s v="TXN01563"/>
    <d v="2025-10-19T00:00:00"/>
    <x v="15"/>
    <s v="Cetirizine 10mg"/>
    <x v="6"/>
    <x v="1"/>
    <s v="Jan Aushadhi"/>
    <n v="3"/>
    <n v="8.08"/>
    <x v="2"/>
    <n v="24.240000000000002"/>
    <x v="9"/>
    <x v="9"/>
  </r>
  <r>
    <s v="TXN01564"/>
    <d v="2025-10-20T00:00:00"/>
    <x v="13"/>
    <s v="Metformin 500mg"/>
    <x v="7"/>
    <x v="0"/>
    <s v="USV"/>
    <n v="12"/>
    <n v="32"/>
    <x v="0"/>
    <n v="384"/>
    <x v="9"/>
    <x v="9"/>
  </r>
  <r>
    <s v="TXN01565"/>
    <d v="2025-10-20T00:00:00"/>
    <x v="24"/>
    <s v="Glimepiride 2mg"/>
    <x v="7"/>
    <x v="0"/>
    <s v="Sanofi"/>
    <n v="6"/>
    <n v="191.9"/>
    <x v="3"/>
    <n v="1151.4000000000001"/>
    <x v="9"/>
    <x v="9"/>
  </r>
  <r>
    <s v="TXN01566"/>
    <d v="2025-10-20T00:00:00"/>
    <x v="25"/>
    <s v="Amlodipine 5mg"/>
    <x v="1"/>
    <x v="0"/>
    <s v="Mankind"/>
    <n v="1"/>
    <n v="45.45"/>
    <x v="0"/>
    <n v="45.45"/>
    <x v="9"/>
    <x v="9"/>
  </r>
  <r>
    <s v="TXN01567"/>
    <d v="2025-10-20T00:00:00"/>
    <x v="14"/>
    <s v="Pantoprazole 40mg"/>
    <x v="2"/>
    <x v="0"/>
    <s v="Alkem"/>
    <n v="1"/>
    <n v="153.52000000000001"/>
    <x v="1"/>
    <n v="153.52000000000001"/>
    <x v="9"/>
    <x v="9"/>
  </r>
  <r>
    <s v="TXN01568"/>
    <d v="2025-10-20T00:00:00"/>
    <x v="20"/>
    <s v="Pantoprazole 40mg"/>
    <x v="2"/>
    <x v="1"/>
    <s v="Jan Aushadhi"/>
    <n v="1"/>
    <n v="50"/>
    <x v="3"/>
    <n v="50"/>
    <x v="9"/>
    <x v="9"/>
  </r>
  <r>
    <s v="TXN01569"/>
    <d v="2025-10-20T00:00:00"/>
    <x v="7"/>
    <s v="Vitamin B-Complex"/>
    <x v="4"/>
    <x v="0"/>
    <s v="Pfizer"/>
    <n v="5"/>
    <n v="46.46"/>
    <x v="0"/>
    <n v="232.3"/>
    <x v="9"/>
    <x v="9"/>
  </r>
  <r>
    <s v="TXN01570"/>
    <d v="2025-10-21T00:00:00"/>
    <x v="0"/>
    <s v="Paracetamol 650mg"/>
    <x v="0"/>
    <x v="0"/>
    <s v="Micro Labs"/>
    <n v="1"/>
    <n v="32.32"/>
    <x v="1"/>
    <n v="32.32"/>
    <x v="9"/>
    <x v="9"/>
  </r>
  <r>
    <s v="TXN01571"/>
    <d v="2025-10-21T00:00:00"/>
    <x v="0"/>
    <s v="Paracetamol 650mg"/>
    <x v="0"/>
    <x v="0"/>
    <s v="Micro Labs"/>
    <n v="2"/>
    <n v="32.32"/>
    <x v="3"/>
    <n v="64.64"/>
    <x v="9"/>
    <x v="9"/>
  </r>
  <r>
    <s v="TXN01572"/>
    <d v="2025-10-21T00:00:00"/>
    <x v="18"/>
    <s v="Paracetamol 650mg"/>
    <x v="0"/>
    <x v="1"/>
    <s v="Jan Aushadhi"/>
    <n v="1"/>
    <n v="14.14"/>
    <x v="0"/>
    <n v="14.14"/>
    <x v="9"/>
    <x v="9"/>
  </r>
  <r>
    <s v="TXN01573"/>
    <d v="2025-10-21T00:00:00"/>
    <x v="19"/>
    <s v="Metformin 500mg"/>
    <x v="7"/>
    <x v="1"/>
    <s v="Jan Aushadhi"/>
    <n v="2"/>
    <n v="12.12"/>
    <x v="1"/>
    <n v="24.24"/>
    <x v="9"/>
    <x v="9"/>
  </r>
  <r>
    <s v="TXN01574"/>
    <d v="2025-10-21T00:00:00"/>
    <x v="19"/>
    <s v="Metformin 500mg"/>
    <x v="7"/>
    <x v="1"/>
    <s v="Jan Aushadhi"/>
    <n v="3"/>
    <n v="12.12"/>
    <x v="2"/>
    <n v="36.36"/>
    <x v="9"/>
    <x v="9"/>
  </r>
  <r>
    <s v="TXN01575"/>
    <d v="2025-10-22T00:00:00"/>
    <x v="11"/>
    <s v="Amoxicillin+Clavulanate 625mg"/>
    <x v="5"/>
    <x v="0"/>
    <s v="GSK"/>
    <n v="3"/>
    <n v="205"/>
    <x v="2"/>
    <n v="615"/>
    <x v="9"/>
    <x v="9"/>
  </r>
  <r>
    <s v="TXN01576"/>
    <d v="2025-10-22T00:00:00"/>
    <x v="22"/>
    <s v="Atorvastatin 10mg"/>
    <x v="3"/>
    <x v="0"/>
    <s v="Zydus"/>
    <n v="1"/>
    <n v="92"/>
    <x v="0"/>
    <n v="92"/>
    <x v="9"/>
    <x v="9"/>
  </r>
  <r>
    <s v="TXN01577"/>
    <d v="2025-10-22T00:00:00"/>
    <x v="30"/>
    <s v="Telmisartan 40mg"/>
    <x v="1"/>
    <x v="0"/>
    <s v="Glenmark"/>
    <n v="3"/>
    <n v="143.41999999999999"/>
    <x v="0"/>
    <n v="430.26"/>
    <x v="9"/>
    <x v="9"/>
  </r>
  <r>
    <s v="TXN01578"/>
    <d v="2025-10-22T00:00:00"/>
    <x v="9"/>
    <s v="Ibuprofen 400mg"/>
    <x v="0"/>
    <x v="0"/>
    <s v="Abbott"/>
    <n v="1"/>
    <n v="42.42"/>
    <x v="0"/>
    <n v="42.42"/>
    <x v="9"/>
    <x v="9"/>
  </r>
  <r>
    <s v="TXN01579"/>
    <d v="2025-10-23T00:00:00"/>
    <x v="19"/>
    <s v="Metformin 500mg"/>
    <x v="7"/>
    <x v="1"/>
    <s v="Jan Aushadhi"/>
    <n v="3"/>
    <n v="12.12"/>
    <x v="0"/>
    <n v="36.36"/>
    <x v="9"/>
    <x v="9"/>
  </r>
  <r>
    <s v="TXN01580"/>
    <d v="2025-10-23T00:00:00"/>
    <x v="25"/>
    <s v="Amlodipine 5mg"/>
    <x v="1"/>
    <x v="0"/>
    <s v="Mankind"/>
    <n v="6"/>
    <n v="45"/>
    <x v="2"/>
    <n v="270"/>
    <x v="9"/>
    <x v="9"/>
  </r>
  <r>
    <s v="TXN01581"/>
    <d v="2025-10-23T00:00:00"/>
    <x v="25"/>
    <s v="Amlodipine 5mg"/>
    <x v="1"/>
    <x v="0"/>
    <s v="Mankind"/>
    <n v="6"/>
    <n v="45.45"/>
    <x v="2"/>
    <n v="272.70000000000005"/>
    <x v="9"/>
    <x v="9"/>
  </r>
  <r>
    <s v="TXN01582"/>
    <d v="2025-10-23T00:00:00"/>
    <x v="20"/>
    <s v="Pantoprazole 40mg"/>
    <x v="2"/>
    <x v="1"/>
    <s v="Jan Aushadhi"/>
    <n v="2"/>
    <n v="50.5"/>
    <x v="3"/>
    <n v="101"/>
    <x v="9"/>
    <x v="9"/>
  </r>
  <r>
    <s v="TXN01583"/>
    <d v="2025-10-24T00:00:00"/>
    <x v="0"/>
    <s v="Paracetamol 650mg"/>
    <x v="0"/>
    <x v="0"/>
    <s v="Micro Labs"/>
    <n v="4"/>
    <n v="32.32"/>
    <x v="3"/>
    <n v="129.28"/>
    <x v="9"/>
    <x v="9"/>
  </r>
  <r>
    <s v="TXN01584"/>
    <d v="2025-10-24T00:00:00"/>
    <x v="0"/>
    <s v="Paracetamol 650mg"/>
    <x v="0"/>
    <x v="0"/>
    <s v="Micro Labs"/>
    <n v="1"/>
    <n v="32.32"/>
    <x v="0"/>
    <n v="32.32"/>
    <x v="9"/>
    <x v="9"/>
  </r>
  <r>
    <s v="TXN01585"/>
    <d v="2025-10-24T00:00:00"/>
    <x v="16"/>
    <s v="Azithromycin 500mg"/>
    <x v="5"/>
    <x v="0"/>
    <s v="Alembic"/>
    <n v="2"/>
    <n v="125"/>
    <x v="3"/>
    <n v="250"/>
    <x v="9"/>
    <x v="9"/>
  </r>
  <r>
    <s v="TXN01586"/>
    <d v="2025-10-24T00:00:00"/>
    <x v="19"/>
    <s v="Metformin 500mg"/>
    <x v="7"/>
    <x v="1"/>
    <s v="Jan Aushadhi"/>
    <n v="12"/>
    <n v="12.12"/>
    <x v="0"/>
    <n v="145.44"/>
    <x v="9"/>
    <x v="9"/>
  </r>
  <r>
    <s v="TXN01587"/>
    <d v="2025-10-24T00:00:00"/>
    <x v="26"/>
    <s v="Atorvastatin 10mg"/>
    <x v="3"/>
    <x v="1"/>
    <s v="Jan Aushadhi"/>
    <n v="2"/>
    <n v="35.35"/>
    <x v="3"/>
    <n v="70.7"/>
    <x v="9"/>
    <x v="9"/>
  </r>
  <r>
    <s v="TXN01588"/>
    <d v="2025-10-24T00:00:00"/>
    <x v="20"/>
    <s v="Pantoprazole 40mg"/>
    <x v="2"/>
    <x v="1"/>
    <s v="Jan Aushadhi"/>
    <n v="1"/>
    <n v="50.5"/>
    <x v="1"/>
    <n v="50.5"/>
    <x v="9"/>
    <x v="9"/>
  </r>
  <r>
    <s v="TXN01589"/>
    <d v="2025-10-24T00:00:00"/>
    <x v="4"/>
    <s v="Ibuprofen 400mg"/>
    <x v="0"/>
    <x v="1"/>
    <s v="Jan Aushadhi"/>
    <n v="2"/>
    <n v="15"/>
    <x v="3"/>
    <n v="30"/>
    <x v="9"/>
    <x v="9"/>
  </r>
  <r>
    <s v="TXN01590"/>
    <d v="2025-10-25T00:00:00"/>
    <x v="22"/>
    <s v="Atorvastatin 10mg"/>
    <x v="3"/>
    <x v="0"/>
    <s v="Zydus"/>
    <n v="2"/>
    <n v="92.92"/>
    <x v="0"/>
    <n v="185.84"/>
    <x v="9"/>
    <x v="9"/>
  </r>
  <r>
    <s v="TXN01591"/>
    <d v="2025-10-25T00:00:00"/>
    <x v="26"/>
    <s v="Atorvastatin 10mg"/>
    <x v="3"/>
    <x v="1"/>
    <s v="Jan Aushadhi"/>
    <n v="6"/>
    <n v="35"/>
    <x v="0"/>
    <n v="210"/>
    <x v="9"/>
    <x v="9"/>
  </r>
  <r>
    <s v="TXN01592"/>
    <d v="2025-10-25T00:00:00"/>
    <x v="14"/>
    <s v="Pantoprazole 40mg"/>
    <x v="2"/>
    <x v="0"/>
    <s v="Alkem"/>
    <n v="2"/>
    <n v="153.52000000000001"/>
    <x v="0"/>
    <n v="307.04000000000002"/>
    <x v="9"/>
    <x v="9"/>
  </r>
  <r>
    <s v="TXN01593"/>
    <d v="2025-10-25T00:00:00"/>
    <x v="31"/>
    <s v="Montelukast+Levocetirizine"/>
    <x v="8"/>
    <x v="1"/>
    <s v="Jan Aushadhi"/>
    <n v="2"/>
    <n v="70"/>
    <x v="0"/>
    <n v="140"/>
    <x v="9"/>
    <x v="9"/>
  </r>
  <r>
    <s v="TXN01594"/>
    <d v="2025-10-25T00:00:00"/>
    <x v="9"/>
    <s v="Ibuprofen 400mg"/>
    <x v="0"/>
    <x v="0"/>
    <s v="Abbott"/>
    <n v="1"/>
    <n v="42.42"/>
    <x v="1"/>
    <n v="42.42"/>
    <x v="9"/>
    <x v="9"/>
  </r>
  <r>
    <s v="TXN01595"/>
    <d v="2025-10-25T00:00:00"/>
    <x v="4"/>
    <s v="Ibuprofen 400mg"/>
    <x v="0"/>
    <x v="1"/>
    <s v="Jan Aushadhi"/>
    <n v="2"/>
    <n v="15.15"/>
    <x v="0"/>
    <n v="30.3"/>
    <x v="9"/>
    <x v="9"/>
  </r>
  <r>
    <s v="TXN01596"/>
    <d v="2025-10-26T00:00:00"/>
    <x v="19"/>
    <s v="Metformin 500mg"/>
    <x v="7"/>
    <x v="1"/>
    <s v="Jan Aushadhi"/>
    <n v="1"/>
    <n v="12.12"/>
    <x v="1"/>
    <n v="12.12"/>
    <x v="9"/>
    <x v="9"/>
  </r>
  <r>
    <s v="TXN01597"/>
    <d v="2025-10-26T00:00:00"/>
    <x v="1"/>
    <s v="Amlodipine 5mg"/>
    <x v="1"/>
    <x v="1"/>
    <s v="Jan Aushadhi"/>
    <n v="2"/>
    <n v="15.15"/>
    <x v="0"/>
    <n v="30.3"/>
    <x v="9"/>
    <x v="9"/>
  </r>
  <r>
    <s v="TXN01598"/>
    <d v="2025-10-26T00:00:00"/>
    <x v="29"/>
    <s v="Diclofenac 50mg"/>
    <x v="0"/>
    <x v="1"/>
    <s v="Jan Aushadhi"/>
    <n v="2"/>
    <n v="20.2"/>
    <x v="0"/>
    <n v="40.4"/>
    <x v="9"/>
    <x v="9"/>
  </r>
  <r>
    <s v="TXN01599"/>
    <d v="2025-10-26T00:00:00"/>
    <x v="27"/>
    <s v="Vitamin B-Complex"/>
    <x v="4"/>
    <x v="1"/>
    <s v="Jan Aushadhi"/>
    <n v="1"/>
    <n v="18.18"/>
    <x v="3"/>
    <n v="18.18"/>
    <x v="9"/>
    <x v="9"/>
  </r>
  <r>
    <s v="TXN01600"/>
    <d v="2025-10-27T00:00:00"/>
    <x v="14"/>
    <s v="Pantoprazole 40mg"/>
    <x v="2"/>
    <x v="0"/>
    <s v="Alkem"/>
    <n v="1"/>
    <n v="153.52000000000001"/>
    <x v="0"/>
    <n v="153.52000000000001"/>
    <x v="9"/>
    <x v="9"/>
  </r>
  <r>
    <s v="TXN01601"/>
    <d v="2025-10-27T00:00:00"/>
    <x v="21"/>
    <s v="Montelukast+Levocetirizine"/>
    <x v="8"/>
    <x v="0"/>
    <s v="Sun Pharma"/>
    <n v="2"/>
    <n v="182"/>
    <x v="3"/>
    <n v="364"/>
    <x v="9"/>
    <x v="9"/>
  </r>
  <r>
    <s v="TXN01602"/>
    <d v="2025-10-28T00:00:00"/>
    <x v="0"/>
    <s v="Paracetamol 650mg"/>
    <x v="0"/>
    <x v="0"/>
    <s v="Micro Labs"/>
    <n v="1"/>
    <n v="32"/>
    <x v="1"/>
    <n v="32"/>
    <x v="9"/>
    <x v="9"/>
  </r>
  <r>
    <s v="TXN01603"/>
    <d v="2025-10-28T00:00:00"/>
    <x v="11"/>
    <s v="Amoxicillin+Clavulanate 625mg"/>
    <x v="5"/>
    <x v="0"/>
    <s v="GSK"/>
    <n v="1"/>
    <n v="205"/>
    <x v="0"/>
    <n v="205"/>
    <x v="9"/>
    <x v="9"/>
  </r>
  <r>
    <s v="TXN01604"/>
    <d v="2025-10-28T00:00:00"/>
    <x v="28"/>
    <s v="Glimepiride 2mg"/>
    <x v="7"/>
    <x v="1"/>
    <s v="Jan Aushadhi"/>
    <n v="3"/>
    <n v="42.42"/>
    <x v="1"/>
    <n v="127.26"/>
    <x v="9"/>
    <x v="9"/>
  </r>
  <r>
    <s v="TXN01605"/>
    <d v="2025-10-28T00:00:00"/>
    <x v="20"/>
    <s v="Pantoprazole 40mg"/>
    <x v="2"/>
    <x v="1"/>
    <s v="Jan Aushadhi"/>
    <n v="3"/>
    <n v="50.5"/>
    <x v="3"/>
    <n v="151.5"/>
    <x v="9"/>
    <x v="9"/>
  </r>
  <r>
    <s v="TXN01606"/>
    <d v="2025-10-28T00:00:00"/>
    <x v="15"/>
    <s v="Cetirizine 10mg"/>
    <x v="6"/>
    <x v="1"/>
    <s v="Jan Aushadhi"/>
    <n v="2"/>
    <n v="8.08"/>
    <x v="0"/>
    <n v="16.16"/>
    <x v="9"/>
    <x v="9"/>
  </r>
  <r>
    <s v="TXN01607"/>
    <d v="2025-10-29T00:00:00"/>
    <x v="8"/>
    <s v="Azithromycin 500mg"/>
    <x v="5"/>
    <x v="1"/>
    <s v="Jan Aushadhi"/>
    <n v="1"/>
    <n v="55.55"/>
    <x v="0"/>
    <n v="55.55"/>
    <x v="9"/>
    <x v="9"/>
  </r>
  <r>
    <s v="TXN01608"/>
    <d v="2025-10-29T00:00:00"/>
    <x v="13"/>
    <s v="Metformin 500mg"/>
    <x v="7"/>
    <x v="0"/>
    <s v="USV"/>
    <n v="2"/>
    <n v="32.32"/>
    <x v="0"/>
    <n v="64.64"/>
    <x v="9"/>
    <x v="9"/>
  </r>
  <r>
    <s v="TXN01609"/>
    <d v="2025-10-29T00:00:00"/>
    <x v="19"/>
    <s v="Metformin 500mg"/>
    <x v="7"/>
    <x v="1"/>
    <s v="Jan Aushadhi"/>
    <n v="3"/>
    <n v="12.12"/>
    <x v="0"/>
    <n v="36.36"/>
    <x v="9"/>
    <x v="9"/>
  </r>
  <r>
    <s v="TXN01610"/>
    <d v="2025-10-29T00:00:00"/>
    <x v="26"/>
    <s v="Atorvastatin 10mg"/>
    <x v="3"/>
    <x v="1"/>
    <s v="Jan Aushadhi"/>
    <n v="2"/>
    <n v="35.35"/>
    <x v="0"/>
    <n v="70.7"/>
    <x v="9"/>
    <x v="9"/>
  </r>
  <r>
    <s v="TXN01611"/>
    <d v="2025-10-29T00:00:00"/>
    <x v="5"/>
    <s v="Rosuvastatin 10mg"/>
    <x v="3"/>
    <x v="0"/>
    <s v="Sun Pharma"/>
    <n v="3"/>
    <n v="166.65"/>
    <x v="0"/>
    <n v="499.95000000000005"/>
    <x v="9"/>
    <x v="9"/>
  </r>
  <r>
    <s v="TXN01612"/>
    <d v="2025-10-29T00:00:00"/>
    <x v="30"/>
    <s v="Telmisartan 40mg"/>
    <x v="1"/>
    <x v="0"/>
    <s v="Glenmark"/>
    <n v="3"/>
    <n v="143.41999999999999"/>
    <x v="1"/>
    <n v="430.26"/>
    <x v="9"/>
    <x v="9"/>
  </r>
  <r>
    <s v="TXN01613"/>
    <d v="2025-10-29T00:00:00"/>
    <x v="14"/>
    <s v="Pantoprazole 40mg"/>
    <x v="2"/>
    <x v="0"/>
    <s v="Alkem"/>
    <n v="4"/>
    <n v="152"/>
    <x v="0"/>
    <n v="608"/>
    <x v="9"/>
    <x v="9"/>
  </r>
  <r>
    <s v="TXN01614"/>
    <d v="2025-10-29T00:00:00"/>
    <x v="2"/>
    <s v="Omeprazole 20mg"/>
    <x v="2"/>
    <x v="0"/>
    <s v="Dr. Reddy's"/>
    <n v="2"/>
    <n v="58.58"/>
    <x v="0"/>
    <n v="117.16"/>
    <x v="9"/>
    <x v="9"/>
  </r>
  <r>
    <s v="TXN01615"/>
    <d v="2025-10-29T00:00:00"/>
    <x v="21"/>
    <s v="Montelukast+Levocetirizine"/>
    <x v="8"/>
    <x v="0"/>
    <s v="Sun Pharma"/>
    <n v="2"/>
    <n v="183.82"/>
    <x v="0"/>
    <n v="367.64"/>
    <x v="9"/>
    <x v="9"/>
  </r>
  <r>
    <s v="TXN01616"/>
    <d v="2025-10-29T00:00:00"/>
    <x v="9"/>
    <s v="Ibuprofen 400mg"/>
    <x v="0"/>
    <x v="0"/>
    <s v="Abbott"/>
    <n v="1"/>
    <n v="42"/>
    <x v="3"/>
    <n v="42"/>
    <x v="9"/>
    <x v="9"/>
  </r>
  <r>
    <s v="TXN01617"/>
    <d v="2025-10-29T00:00:00"/>
    <x v="29"/>
    <s v="Diclofenac 50mg"/>
    <x v="0"/>
    <x v="1"/>
    <s v="Jan Aushadhi"/>
    <n v="3"/>
    <n v="20.2"/>
    <x v="0"/>
    <n v="60.599999999999994"/>
    <x v="9"/>
    <x v="9"/>
  </r>
  <r>
    <s v="TXN01618"/>
    <d v="2025-10-30T00:00:00"/>
    <x v="18"/>
    <s v="Paracetamol 650mg"/>
    <x v="0"/>
    <x v="1"/>
    <s v="Jan Aushadhi"/>
    <n v="1"/>
    <n v="14"/>
    <x v="1"/>
    <n v="14"/>
    <x v="9"/>
    <x v="9"/>
  </r>
  <r>
    <s v="TXN01619"/>
    <d v="2025-10-30T00:00:00"/>
    <x v="16"/>
    <s v="Azithromycin 500mg"/>
    <x v="5"/>
    <x v="0"/>
    <s v="Alembic"/>
    <n v="2"/>
    <n v="125"/>
    <x v="1"/>
    <n v="250"/>
    <x v="9"/>
    <x v="9"/>
  </r>
  <r>
    <s v="TXN01620"/>
    <d v="2025-10-30T00:00:00"/>
    <x v="16"/>
    <s v="Azithromycin 500mg"/>
    <x v="5"/>
    <x v="0"/>
    <s v="Alembic"/>
    <n v="1"/>
    <n v="126.25"/>
    <x v="2"/>
    <n v="126.25"/>
    <x v="9"/>
    <x v="9"/>
  </r>
  <r>
    <s v="TXN01621"/>
    <d v="2025-10-30T00:00:00"/>
    <x v="12"/>
    <s v="Amoxicillin+Clavulanate 625mg"/>
    <x v="5"/>
    <x v="1"/>
    <s v="Jan Aushadhi"/>
    <n v="2"/>
    <n v="95.95"/>
    <x v="0"/>
    <n v="191.9"/>
    <x v="9"/>
    <x v="9"/>
  </r>
  <r>
    <s v="TXN01622"/>
    <d v="2025-10-30T00:00:00"/>
    <x v="13"/>
    <s v="Metformin 500mg"/>
    <x v="7"/>
    <x v="0"/>
    <s v="USV"/>
    <n v="3"/>
    <n v="32.32"/>
    <x v="3"/>
    <n v="96.960000000000008"/>
    <x v="9"/>
    <x v="9"/>
  </r>
  <r>
    <s v="TXN01623"/>
    <d v="2025-10-30T00:00:00"/>
    <x v="22"/>
    <s v="Atorvastatin 10mg"/>
    <x v="3"/>
    <x v="0"/>
    <s v="Zydus"/>
    <n v="3"/>
    <n v="92"/>
    <x v="1"/>
    <n v="276"/>
    <x v="9"/>
    <x v="9"/>
  </r>
  <r>
    <s v="TXN01624"/>
    <d v="2025-10-30T00:00:00"/>
    <x v="22"/>
    <s v="Atorvastatin 10mg"/>
    <x v="3"/>
    <x v="0"/>
    <s v="Zydus"/>
    <n v="6"/>
    <n v="92.92"/>
    <x v="1"/>
    <n v="557.52"/>
    <x v="9"/>
    <x v="9"/>
  </r>
  <r>
    <s v="TXN01625"/>
    <d v="2025-10-30T00:00:00"/>
    <x v="10"/>
    <s v="Cetirizine 10mg"/>
    <x v="6"/>
    <x v="0"/>
    <s v="Cipla"/>
    <n v="5"/>
    <n v="26"/>
    <x v="1"/>
    <n v="130"/>
    <x v="9"/>
    <x v="9"/>
  </r>
  <r>
    <s v="TXN01626"/>
    <d v="2025-10-30T00:00:00"/>
    <x v="10"/>
    <s v="Cetirizine 10mg"/>
    <x v="6"/>
    <x v="0"/>
    <s v="Cipla"/>
    <n v="1"/>
    <n v="26.26"/>
    <x v="0"/>
    <n v="26.26"/>
    <x v="9"/>
    <x v="9"/>
  </r>
  <r>
    <s v="TXN01627"/>
    <d v="2025-10-31T00:00:00"/>
    <x v="17"/>
    <s v="Rosuvastatin 10mg"/>
    <x v="3"/>
    <x v="1"/>
    <s v="Jan Aushadhi"/>
    <n v="12"/>
    <n v="58"/>
    <x v="0"/>
    <n v="696"/>
    <x v="9"/>
    <x v="9"/>
  </r>
  <r>
    <s v="TXN01628"/>
    <d v="2025-10-31T00:00:00"/>
    <x v="1"/>
    <s v="Amlodipine 5mg"/>
    <x v="1"/>
    <x v="1"/>
    <s v="Jan Aushadhi"/>
    <n v="1"/>
    <n v="15.15"/>
    <x v="0"/>
    <n v="15.15"/>
    <x v="9"/>
    <x v="9"/>
  </r>
  <r>
    <s v="TXN01629"/>
    <d v="2025-11-01T00:00:00"/>
    <x v="11"/>
    <s v="Amoxicillin+Clavulanate 625mg"/>
    <x v="5"/>
    <x v="0"/>
    <s v="GSK"/>
    <n v="4"/>
    <n v="205"/>
    <x v="0"/>
    <n v="820"/>
    <x v="10"/>
    <x v="10"/>
  </r>
  <r>
    <s v="TXN01630"/>
    <d v="2025-11-01T00:00:00"/>
    <x v="11"/>
    <s v="Amoxicillin+Clavulanate 625mg"/>
    <x v="5"/>
    <x v="0"/>
    <s v="GSK"/>
    <n v="3"/>
    <n v="205"/>
    <x v="0"/>
    <n v="615"/>
    <x v="10"/>
    <x v="10"/>
  </r>
  <r>
    <s v="TXN01631"/>
    <d v="2025-11-01T00:00:00"/>
    <x v="19"/>
    <s v="Metformin 500mg"/>
    <x v="7"/>
    <x v="1"/>
    <s v="Jan Aushadhi"/>
    <n v="3"/>
    <n v="12.12"/>
    <x v="0"/>
    <n v="36.36"/>
    <x v="10"/>
    <x v="10"/>
  </r>
  <r>
    <s v="TXN01632"/>
    <d v="2025-11-01T00:00:00"/>
    <x v="25"/>
    <s v="Amlodipine 5mg"/>
    <x v="1"/>
    <x v="0"/>
    <s v="Mankind"/>
    <n v="3"/>
    <n v="45.45"/>
    <x v="1"/>
    <n v="136.35000000000002"/>
    <x v="10"/>
    <x v="10"/>
  </r>
  <r>
    <s v="TXN01633"/>
    <d v="2025-11-01T00:00:00"/>
    <x v="20"/>
    <s v="Pantoprazole 40mg"/>
    <x v="2"/>
    <x v="1"/>
    <s v="Jan Aushadhi"/>
    <n v="5"/>
    <n v="50.5"/>
    <x v="0"/>
    <n v="252.5"/>
    <x v="10"/>
    <x v="10"/>
  </r>
  <r>
    <s v="TXN01634"/>
    <d v="2025-11-01T00:00:00"/>
    <x v="20"/>
    <s v="Pantoprazole 40mg"/>
    <x v="2"/>
    <x v="1"/>
    <s v="Jan Aushadhi"/>
    <n v="4"/>
    <n v="50.5"/>
    <x v="0"/>
    <n v="202"/>
    <x v="10"/>
    <x v="10"/>
  </r>
  <r>
    <s v="TXN01635"/>
    <d v="2025-11-01T00:00:00"/>
    <x v="10"/>
    <s v="Cetirizine 10mg"/>
    <x v="6"/>
    <x v="0"/>
    <s v="Cipla"/>
    <n v="5"/>
    <n v="26.26"/>
    <x v="2"/>
    <n v="131.30000000000001"/>
    <x v="10"/>
    <x v="10"/>
  </r>
  <r>
    <s v="TXN01636"/>
    <d v="2025-11-01T00:00:00"/>
    <x v="31"/>
    <s v="Montelukast+Levocetirizine"/>
    <x v="8"/>
    <x v="1"/>
    <s v="Jan Aushadhi"/>
    <n v="1"/>
    <n v="70"/>
    <x v="1"/>
    <n v="70"/>
    <x v="10"/>
    <x v="10"/>
  </r>
  <r>
    <s v="TXN01637"/>
    <d v="2025-11-01T00:00:00"/>
    <x v="7"/>
    <s v="Vitamin B-Complex"/>
    <x v="4"/>
    <x v="0"/>
    <s v="Pfizer"/>
    <n v="5"/>
    <n v="46.46"/>
    <x v="2"/>
    <n v="232.3"/>
    <x v="10"/>
    <x v="10"/>
  </r>
  <r>
    <s v="TXN01638"/>
    <d v="2025-11-02T00:00:00"/>
    <x v="11"/>
    <s v="Amoxicillin+Clavulanate 625mg"/>
    <x v="5"/>
    <x v="0"/>
    <s v="GSK"/>
    <n v="3"/>
    <n v="207.05"/>
    <x v="2"/>
    <n v="621.15000000000009"/>
    <x v="10"/>
    <x v="10"/>
  </r>
  <r>
    <s v="TXN01639"/>
    <d v="2025-11-02T00:00:00"/>
    <x v="5"/>
    <s v="Rosuvastatin 10mg"/>
    <x v="3"/>
    <x v="0"/>
    <s v="Sun Pharma"/>
    <n v="6"/>
    <n v="165"/>
    <x v="2"/>
    <n v="990"/>
    <x v="10"/>
    <x v="10"/>
  </r>
  <r>
    <s v="TXN01640"/>
    <d v="2025-11-02T00:00:00"/>
    <x v="1"/>
    <s v="Amlodipine 5mg"/>
    <x v="1"/>
    <x v="1"/>
    <s v="Jan Aushadhi"/>
    <n v="6"/>
    <n v="15"/>
    <x v="3"/>
    <n v="90"/>
    <x v="10"/>
    <x v="10"/>
  </r>
  <r>
    <s v="TXN01641"/>
    <d v="2025-11-02T00:00:00"/>
    <x v="2"/>
    <s v="Omeprazole 20mg"/>
    <x v="2"/>
    <x v="0"/>
    <s v="Dr. Reddy's"/>
    <n v="1"/>
    <n v="58.58"/>
    <x v="3"/>
    <n v="58.58"/>
    <x v="10"/>
    <x v="10"/>
  </r>
  <r>
    <s v="TXN01642"/>
    <d v="2025-11-02T00:00:00"/>
    <x v="10"/>
    <s v="Cetirizine 10mg"/>
    <x v="6"/>
    <x v="0"/>
    <s v="Cipla"/>
    <n v="4"/>
    <n v="26"/>
    <x v="0"/>
    <n v="104"/>
    <x v="10"/>
    <x v="10"/>
  </r>
  <r>
    <s v="TXN01643"/>
    <d v="2025-11-02T00:00:00"/>
    <x v="23"/>
    <s v="Diclofenac 50mg"/>
    <x v="0"/>
    <x v="0"/>
    <s v="Novartis"/>
    <n v="2"/>
    <n v="62"/>
    <x v="0"/>
    <n v="124"/>
    <x v="10"/>
    <x v="10"/>
  </r>
  <r>
    <s v="TXN01644"/>
    <d v="2025-11-02T00:00:00"/>
    <x v="27"/>
    <s v="Vitamin B-Complex"/>
    <x v="4"/>
    <x v="1"/>
    <s v="Jan Aushadhi"/>
    <n v="4"/>
    <n v="18"/>
    <x v="0"/>
    <n v="72"/>
    <x v="10"/>
    <x v="10"/>
  </r>
  <r>
    <s v="TXN01645"/>
    <d v="2025-11-03T00:00:00"/>
    <x v="18"/>
    <s v="Paracetamol 650mg"/>
    <x v="0"/>
    <x v="1"/>
    <s v="Jan Aushadhi"/>
    <n v="5"/>
    <n v="14"/>
    <x v="3"/>
    <n v="70"/>
    <x v="10"/>
    <x v="10"/>
  </r>
  <r>
    <s v="TXN01646"/>
    <d v="2025-11-03T00:00:00"/>
    <x v="16"/>
    <s v="Azithromycin 500mg"/>
    <x v="5"/>
    <x v="0"/>
    <s v="Alembic"/>
    <n v="1"/>
    <n v="126.25"/>
    <x v="3"/>
    <n v="126.25"/>
    <x v="10"/>
    <x v="10"/>
  </r>
  <r>
    <s v="TXN01647"/>
    <d v="2025-11-03T00:00:00"/>
    <x v="13"/>
    <s v="Metformin 500mg"/>
    <x v="7"/>
    <x v="0"/>
    <s v="USV"/>
    <n v="6"/>
    <n v="32"/>
    <x v="1"/>
    <n v="192"/>
    <x v="10"/>
    <x v="10"/>
  </r>
  <r>
    <s v="TXN01648"/>
    <d v="2025-11-03T00:00:00"/>
    <x v="13"/>
    <s v="Metformin 500mg"/>
    <x v="7"/>
    <x v="0"/>
    <s v="USV"/>
    <n v="2"/>
    <n v="32.32"/>
    <x v="0"/>
    <n v="64.64"/>
    <x v="10"/>
    <x v="10"/>
  </r>
  <r>
    <s v="TXN01649"/>
    <d v="2025-11-03T00:00:00"/>
    <x v="22"/>
    <s v="Atorvastatin 10mg"/>
    <x v="3"/>
    <x v="0"/>
    <s v="Zydus"/>
    <n v="3"/>
    <n v="92"/>
    <x v="3"/>
    <n v="276"/>
    <x v="10"/>
    <x v="10"/>
  </r>
  <r>
    <s v="TXN01650"/>
    <d v="2025-11-03T00:00:00"/>
    <x v="14"/>
    <s v="Pantoprazole 40mg"/>
    <x v="2"/>
    <x v="0"/>
    <s v="Alkem"/>
    <n v="2"/>
    <n v="153.52000000000001"/>
    <x v="2"/>
    <n v="307.04000000000002"/>
    <x v="10"/>
    <x v="10"/>
  </r>
  <r>
    <s v="TXN01651"/>
    <d v="2025-11-03T00:00:00"/>
    <x v="10"/>
    <s v="Cetirizine 10mg"/>
    <x v="6"/>
    <x v="0"/>
    <s v="Cipla"/>
    <n v="2"/>
    <n v="26.26"/>
    <x v="3"/>
    <n v="52.52"/>
    <x v="10"/>
    <x v="10"/>
  </r>
  <r>
    <s v="TXN01652"/>
    <d v="2025-11-03T00:00:00"/>
    <x v="7"/>
    <s v="Vitamin B-Complex"/>
    <x v="4"/>
    <x v="0"/>
    <s v="Pfizer"/>
    <n v="2"/>
    <n v="46.46"/>
    <x v="0"/>
    <n v="92.92"/>
    <x v="10"/>
    <x v="10"/>
  </r>
  <r>
    <s v="TXN01653"/>
    <d v="2025-11-03T00:00:00"/>
    <x v="27"/>
    <s v="Vitamin B-Complex"/>
    <x v="4"/>
    <x v="1"/>
    <s v="Jan Aushadhi"/>
    <n v="5"/>
    <n v="18.18"/>
    <x v="0"/>
    <n v="90.9"/>
    <x v="10"/>
    <x v="10"/>
  </r>
  <r>
    <s v="TXN01654"/>
    <d v="2025-11-04T00:00:00"/>
    <x v="0"/>
    <s v="Paracetamol 650mg"/>
    <x v="0"/>
    <x v="0"/>
    <s v="Micro Labs"/>
    <n v="3"/>
    <n v="32.32"/>
    <x v="0"/>
    <n v="96.960000000000008"/>
    <x v="10"/>
    <x v="10"/>
  </r>
  <r>
    <s v="TXN01655"/>
    <d v="2025-11-04T00:00:00"/>
    <x v="1"/>
    <s v="Amlodipine 5mg"/>
    <x v="1"/>
    <x v="1"/>
    <s v="Jan Aushadhi"/>
    <n v="3"/>
    <n v="15.15"/>
    <x v="0"/>
    <n v="45.45"/>
    <x v="10"/>
    <x v="10"/>
  </r>
  <r>
    <s v="TXN01656"/>
    <d v="2025-11-04T00:00:00"/>
    <x v="20"/>
    <s v="Pantoprazole 40mg"/>
    <x v="2"/>
    <x v="1"/>
    <s v="Jan Aushadhi"/>
    <n v="3"/>
    <n v="50.5"/>
    <x v="1"/>
    <n v="151.5"/>
    <x v="10"/>
    <x v="10"/>
  </r>
  <r>
    <s v="TXN01657"/>
    <d v="2025-11-04T00:00:00"/>
    <x v="21"/>
    <s v="Montelukast+Levocetirizine"/>
    <x v="8"/>
    <x v="0"/>
    <s v="Sun Pharma"/>
    <n v="2"/>
    <n v="182"/>
    <x v="0"/>
    <n v="364"/>
    <x v="10"/>
    <x v="10"/>
  </r>
  <r>
    <s v="TXN01658"/>
    <d v="2025-11-04T00:00:00"/>
    <x v="4"/>
    <s v="Ibuprofen 400mg"/>
    <x v="0"/>
    <x v="1"/>
    <s v="Jan Aushadhi"/>
    <n v="3"/>
    <n v="15.15"/>
    <x v="3"/>
    <n v="45.45"/>
    <x v="10"/>
    <x v="10"/>
  </r>
  <r>
    <s v="TXN01659"/>
    <d v="2025-11-05T00:00:00"/>
    <x v="20"/>
    <s v="Pantoprazole 40mg"/>
    <x v="2"/>
    <x v="1"/>
    <s v="Jan Aushadhi"/>
    <n v="3"/>
    <n v="50.5"/>
    <x v="3"/>
    <n v="151.5"/>
    <x v="10"/>
    <x v="10"/>
  </r>
  <r>
    <s v="TXN01660"/>
    <d v="2025-11-05T00:00:00"/>
    <x v="3"/>
    <s v="Omeprazole 20mg"/>
    <x v="2"/>
    <x v="1"/>
    <s v="Jan Aushadhi"/>
    <n v="1"/>
    <n v="20"/>
    <x v="2"/>
    <n v="20"/>
    <x v="10"/>
    <x v="10"/>
  </r>
  <r>
    <s v="TXN01661"/>
    <d v="2025-11-05T00:00:00"/>
    <x v="10"/>
    <s v="Cetirizine 10mg"/>
    <x v="6"/>
    <x v="0"/>
    <s v="Cipla"/>
    <n v="2"/>
    <n v="26"/>
    <x v="2"/>
    <n v="52"/>
    <x v="10"/>
    <x v="10"/>
  </r>
  <r>
    <s v="TXN01662"/>
    <d v="2025-11-05T00:00:00"/>
    <x v="21"/>
    <s v="Montelukast+Levocetirizine"/>
    <x v="8"/>
    <x v="0"/>
    <s v="Sun Pharma"/>
    <n v="3"/>
    <n v="182"/>
    <x v="2"/>
    <n v="546"/>
    <x v="10"/>
    <x v="10"/>
  </r>
  <r>
    <s v="TXN01663"/>
    <d v="2025-11-06T00:00:00"/>
    <x v="13"/>
    <s v="Metformin 500mg"/>
    <x v="7"/>
    <x v="0"/>
    <s v="USV"/>
    <n v="3"/>
    <n v="32"/>
    <x v="3"/>
    <n v="96"/>
    <x v="10"/>
    <x v="10"/>
  </r>
  <r>
    <s v="TXN01664"/>
    <d v="2025-11-06T00:00:00"/>
    <x v="5"/>
    <s v="Rosuvastatin 10mg"/>
    <x v="3"/>
    <x v="0"/>
    <s v="Sun Pharma"/>
    <n v="2"/>
    <n v="166.65"/>
    <x v="0"/>
    <n v="333.3"/>
    <x v="10"/>
    <x v="10"/>
  </r>
  <r>
    <s v="TXN01665"/>
    <d v="2025-11-06T00:00:00"/>
    <x v="30"/>
    <s v="Telmisartan 40mg"/>
    <x v="1"/>
    <x v="0"/>
    <s v="Glenmark"/>
    <n v="3"/>
    <n v="143.41999999999999"/>
    <x v="1"/>
    <n v="430.26"/>
    <x v="10"/>
    <x v="10"/>
  </r>
  <r>
    <s v="TXN01666"/>
    <d v="2025-11-06T00:00:00"/>
    <x v="2"/>
    <s v="Omeprazole 20mg"/>
    <x v="2"/>
    <x v="0"/>
    <s v="Dr. Reddy's"/>
    <n v="1"/>
    <n v="58.58"/>
    <x v="1"/>
    <n v="58.58"/>
    <x v="10"/>
    <x v="10"/>
  </r>
  <r>
    <s v="TXN01667"/>
    <d v="2025-11-06T00:00:00"/>
    <x v="21"/>
    <s v="Montelukast+Levocetirizine"/>
    <x v="8"/>
    <x v="0"/>
    <s v="Sun Pharma"/>
    <n v="3"/>
    <n v="183.82"/>
    <x v="0"/>
    <n v="551.46"/>
    <x v="10"/>
    <x v="10"/>
  </r>
  <r>
    <s v="TXN01668"/>
    <d v="2025-11-06T00:00:00"/>
    <x v="9"/>
    <s v="Ibuprofen 400mg"/>
    <x v="0"/>
    <x v="0"/>
    <s v="Abbott"/>
    <n v="1"/>
    <n v="42.42"/>
    <x v="0"/>
    <n v="42.42"/>
    <x v="10"/>
    <x v="10"/>
  </r>
  <r>
    <s v="TXN01669"/>
    <d v="2025-11-06T00:00:00"/>
    <x v="23"/>
    <s v="Diclofenac 50mg"/>
    <x v="0"/>
    <x v="0"/>
    <s v="Novartis"/>
    <n v="1"/>
    <n v="62"/>
    <x v="1"/>
    <n v="62"/>
    <x v="10"/>
    <x v="10"/>
  </r>
  <r>
    <s v="TXN01670"/>
    <d v="2025-11-07T00:00:00"/>
    <x v="1"/>
    <s v="Amlodipine 5mg"/>
    <x v="1"/>
    <x v="1"/>
    <s v="Jan Aushadhi"/>
    <n v="1"/>
    <n v="15.15"/>
    <x v="2"/>
    <n v="15.15"/>
    <x v="10"/>
    <x v="10"/>
  </r>
  <r>
    <s v="TXN01671"/>
    <d v="2025-11-07T00:00:00"/>
    <x v="9"/>
    <s v="Ibuprofen 400mg"/>
    <x v="0"/>
    <x v="0"/>
    <s v="Abbott"/>
    <n v="1"/>
    <n v="42.42"/>
    <x v="0"/>
    <n v="42.42"/>
    <x v="10"/>
    <x v="10"/>
  </r>
  <r>
    <s v="TXN01672"/>
    <d v="2025-11-07T00:00:00"/>
    <x v="29"/>
    <s v="Diclofenac 50mg"/>
    <x v="0"/>
    <x v="1"/>
    <s v="Jan Aushadhi"/>
    <n v="4"/>
    <n v="20.2"/>
    <x v="0"/>
    <n v="80.8"/>
    <x v="10"/>
    <x v="10"/>
  </r>
  <r>
    <s v="TXN01673"/>
    <d v="2025-11-08T00:00:00"/>
    <x v="0"/>
    <s v="Paracetamol 650mg"/>
    <x v="0"/>
    <x v="0"/>
    <s v="Micro Labs"/>
    <n v="1"/>
    <n v="32.32"/>
    <x v="0"/>
    <n v="32.32"/>
    <x v="10"/>
    <x v="10"/>
  </r>
  <r>
    <s v="TXN01674"/>
    <d v="2025-11-08T00:00:00"/>
    <x v="0"/>
    <s v="Paracetamol 650mg"/>
    <x v="0"/>
    <x v="0"/>
    <s v="Micro Labs"/>
    <n v="2"/>
    <n v="32.32"/>
    <x v="0"/>
    <n v="64.64"/>
    <x v="10"/>
    <x v="10"/>
  </r>
  <r>
    <s v="TXN01675"/>
    <d v="2025-11-08T00:00:00"/>
    <x v="18"/>
    <s v="Paracetamol 650mg"/>
    <x v="0"/>
    <x v="1"/>
    <s v="Jan Aushadhi"/>
    <n v="1"/>
    <n v="14.14"/>
    <x v="1"/>
    <n v="14.14"/>
    <x v="10"/>
    <x v="10"/>
  </r>
  <r>
    <s v="TXN01676"/>
    <d v="2025-11-08T00:00:00"/>
    <x v="12"/>
    <s v="Amoxicillin+Clavulanate 625mg"/>
    <x v="5"/>
    <x v="1"/>
    <s v="Jan Aushadhi"/>
    <n v="4"/>
    <n v="95.95"/>
    <x v="3"/>
    <n v="383.8"/>
    <x v="10"/>
    <x v="10"/>
  </r>
  <r>
    <s v="TXN01677"/>
    <d v="2025-11-08T00:00:00"/>
    <x v="5"/>
    <s v="Rosuvastatin 10mg"/>
    <x v="3"/>
    <x v="0"/>
    <s v="Sun Pharma"/>
    <n v="6"/>
    <n v="166.65"/>
    <x v="1"/>
    <n v="999.90000000000009"/>
    <x v="10"/>
    <x v="10"/>
  </r>
  <r>
    <s v="TXN01678"/>
    <d v="2025-11-08T00:00:00"/>
    <x v="4"/>
    <s v="Ibuprofen 400mg"/>
    <x v="0"/>
    <x v="1"/>
    <s v="Jan Aushadhi"/>
    <n v="2"/>
    <n v="15"/>
    <x v="3"/>
    <n v="30"/>
    <x v="10"/>
    <x v="10"/>
  </r>
  <r>
    <s v="TXN01679"/>
    <d v="2025-11-08T00:00:00"/>
    <x v="4"/>
    <s v="Ibuprofen 400mg"/>
    <x v="0"/>
    <x v="1"/>
    <s v="Jan Aushadhi"/>
    <n v="5"/>
    <n v="15.15"/>
    <x v="1"/>
    <n v="75.75"/>
    <x v="10"/>
    <x v="10"/>
  </r>
  <r>
    <s v="TXN01680"/>
    <d v="2025-11-09T00:00:00"/>
    <x v="25"/>
    <s v="Amlodipine 5mg"/>
    <x v="1"/>
    <x v="0"/>
    <s v="Mankind"/>
    <n v="1"/>
    <n v="45.45"/>
    <x v="3"/>
    <n v="45.45"/>
    <x v="10"/>
    <x v="10"/>
  </r>
  <r>
    <s v="TXN01681"/>
    <d v="2025-11-09T00:00:00"/>
    <x v="30"/>
    <s v="Telmisartan 40mg"/>
    <x v="1"/>
    <x v="0"/>
    <s v="Glenmark"/>
    <n v="1"/>
    <n v="143.41999999999999"/>
    <x v="2"/>
    <n v="143.41999999999999"/>
    <x v="10"/>
    <x v="10"/>
  </r>
  <r>
    <s v="TXN01682"/>
    <d v="2025-11-09T00:00:00"/>
    <x v="14"/>
    <s v="Pantoprazole 40mg"/>
    <x v="2"/>
    <x v="0"/>
    <s v="Alkem"/>
    <n v="1"/>
    <n v="152"/>
    <x v="2"/>
    <n v="152"/>
    <x v="10"/>
    <x v="10"/>
  </r>
  <r>
    <s v="TXN01683"/>
    <d v="2025-11-10T00:00:00"/>
    <x v="22"/>
    <s v="Atorvastatin 10mg"/>
    <x v="3"/>
    <x v="0"/>
    <s v="Zydus"/>
    <n v="3"/>
    <n v="92"/>
    <x v="3"/>
    <n v="276"/>
    <x v="10"/>
    <x v="10"/>
  </r>
  <r>
    <s v="TXN01684"/>
    <d v="2025-11-11T00:00:00"/>
    <x v="25"/>
    <s v="Amlodipine 5mg"/>
    <x v="1"/>
    <x v="0"/>
    <s v="Mankind"/>
    <n v="6"/>
    <n v="45"/>
    <x v="2"/>
    <n v="270"/>
    <x v="10"/>
    <x v="10"/>
  </r>
  <r>
    <s v="TXN01685"/>
    <d v="2025-11-11T00:00:00"/>
    <x v="6"/>
    <s v="Telmisartan 40mg"/>
    <x v="1"/>
    <x v="1"/>
    <s v="Jan Aushadhi"/>
    <n v="1"/>
    <n v="46.46"/>
    <x v="0"/>
    <n v="46.46"/>
    <x v="10"/>
    <x v="10"/>
  </r>
  <r>
    <s v="TXN01686"/>
    <d v="2025-11-11T00:00:00"/>
    <x v="10"/>
    <s v="Cetirizine 10mg"/>
    <x v="6"/>
    <x v="0"/>
    <s v="Cipla"/>
    <n v="1"/>
    <n v="26.26"/>
    <x v="1"/>
    <n v="26.26"/>
    <x v="10"/>
    <x v="10"/>
  </r>
  <r>
    <s v="TXN01687"/>
    <d v="2025-11-11T00:00:00"/>
    <x v="7"/>
    <s v="Vitamin B-Complex"/>
    <x v="4"/>
    <x v="0"/>
    <s v="Pfizer"/>
    <n v="2"/>
    <n v="46"/>
    <x v="0"/>
    <n v="92"/>
    <x v="10"/>
    <x v="10"/>
  </r>
  <r>
    <s v="TXN01688"/>
    <d v="2025-11-12T00:00:00"/>
    <x v="19"/>
    <s v="Metformin 500mg"/>
    <x v="7"/>
    <x v="1"/>
    <s v="Jan Aushadhi"/>
    <n v="1"/>
    <n v="12.12"/>
    <x v="3"/>
    <n v="12.12"/>
    <x v="10"/>
    <x v="10"/>
  </r>
  <r>
    <s v="TXN01689"/>
    <d v="2025-11-12T00:00:00"/>
    <x v="1"/>
    <s v="Amlodipine 5mg"/>
    <x v="1"/>
    <x v="1"/>
    <s v="Jan Aushadhi"/>
    <n v="2"/>
    <n v="15.15"/>
    <x v="0"/>
    <n v="30.3"/>
    <x v="10"/>
    <x v="10"/>
  </r>
  <r>
    <s v="TXN01690"/>
    <d v="2025-11-13T00:00:00"/>
    <x v="0"/>
    <s v="Paracetamol 650mg"/>
    <x v="0"/>
    <x v="0"/>
    <s v="Micro Labs"/>
    <n v="1"/>
    <n v="32.32"/>
    <x v="3"/>
    <n v="32.32"/>
    <x v="10"/>
    <x v="10"/>
  </r>
  <r>
    <s v="TXN01691"/>
    <d v="2025-11-13T00:00:00"/>
    <x v="12"/>
    <s v="Amoxicillin+Clavulanate 625mg"/>
    <x v="5"/>
    <x v="1"/>
    <s v="Jan Aushadhi"/>
    <n v="3"/>
    <n v="95.95"/>
    <x v="0"/>
    <n v="287.85000000000002"/>
    <x v="10"/>
    <x v="10"/>
  </r>
  <r>
    <s v="TXN01692"/>
    <d v="2025-11-13T00:00:00"/>
    <x v="12"/>
    <s v="Amoxicillin+Clavulanate 625mg"/>
    <x v="5"/>
    <x v="1"/>
    <s v="Jan Aushadhi"/>
    <n v="4"/>
    <n v="95.95"/>
    <x v="3"/>
    <n v="383.8"/>
    <x v="10"/>
    <x v="10"/>
  </r>
  <r>
    <s v="TXN01693"/>
    <d v="2025-11-13T00:00:00"/>
    <x v="13"/>
    <s v="Metformin 500mg"/>
    <x v="7"/>
    <x v="0"/>
    <s v="USV"/>
    <n v="3"/>
    <n v="32"/>
    <x v="0"/>
    <n v="96"/>
    <x v="10"/>
    <x v="10"/>
  </r>
  <r>
    <s v="TXN01694"/>
    <d v="2025-11-13T00:00:00"/>
    <x v="17"/>
    <s v="Rosuvastatin 10mg"/>
    <x v="3"/>
    <x v="1"/>
    <s v="Jan Aushadhi"/>
    <n v="3"/>
    <n v="58.58"/>
    <x v="1"/>
    <n v="175.74"/>
    <x v="10"/>
    <x v="10"/>
  </r>
  <r>
    <s v="TXN01695"/>
    <d v="2025-11-13T00:00:00"/>
    <x v="25"/>
    <s v="Amlodipine 5mg"/>
    <x v="1"/>
    <x v="0"/>
    <s v="Mankind"/>
    <n v="6"/>
    <n v="45.45"/>
    <x v="0"/>
    <n v="272.70000000000005"/>
    <x v="10"/>
    <x v="10"/>
  </r>
  <r>
    <s v="TXN01696"/>
    <d v="2025-11-13T00:00:00"/>
    <x v="6"/>
    <s v="Telmisartan 40mg"/>
    <x v="1"/>
    <x v="1"/>
    <s v="Jan Aushadhi"/>
    <n v="2"/>
    <n v="46.46"/>
    <x v="2"/>
    <n v="92.92"/>
    <x v="10"/>
    <x v="10"/>
  </r>
  <r>
    <s v="TXN01697"/>
    <d v="2025-11-13T00:00:00"/>
    <x v="20"/>
    <s v="Pantoprazole 40mg"/>
    <x v="2"/>
    <x v="1"/>
    <s v="Jan Aushadhi"/>
    <n v="1"/>
    <n v="50.5"/>
    <x v="0"/>
    <n v="50.5"/>
    <x v="10"/>
    <x v="10"/>
  </r>
  <r>
    <s v="TXN01698"/>
    <d v="2025-11-13T00:00:00"/>
    <x v="15"/>
    <s v="Cetirizine 10mg"/>
    <x v="6"/>
    <x v="1"/>
    <s v="Jan Aushadhi"/>
    <n v="3"/>
    <n v="8"/>
    <x v="1"/>
    <n v="24"/>
    <x v="10"/>
    <x v="10"/>
  </r>
  <r>
    <s v="TXN01699"/>
    <d v="2025-11-14T00:00:00"/>
    <x v="28"/>
    <s v="Glimepiride 2mg"/>
    <x v="7"/>
    <x v="1"/>
    <s v="Jan Aushadhi"/>
    <n v="3"/>
    <n v="42.42"/>
    <x v="0"/>
    <n v="127.26"/>
    <x v="10"/>
    <x v="10"/>
  </r>
  <r>
    <s v="TXN01700"/>
    <d v="2025-11-14T00:00:00"/>
    <x v="15"/>
    <s v="Cetirizine 10mg"/>
    <x v="6"/>
    <x v="1"/>
    <s v="Jan Aushadhi"/>
    <n v="3"/>
    <n v="8.08"/>
    <x v="1"/>
    <n v="24.240000000000002"/>
    <x v="10"/>
    <x v="10"/>
  </r>
  <r>
    <s v="TXN01701"/>
    <d v="2025-11-15T00:00:00"/>
    <x v="0"/>
    <s v="Paracetamol 650mg"/>
    <x v="0"/>
    <x v="0"/>
    <s v="Micro Labs"/>
    <n v="4"/>
    <n v="32.32"/>
    <x v="0"/>
    <n v="129.28"/>
    <x v="10"/>
    <x v="10"/>
  </r>
  <r>
    <s v="TXN01702"/>
    <d v="2025-11-15T00:00:00"/>
    <x v="16"/>
    <s v="Azithromycin 500mg"/>
    <x v="5"/>
    <x v="0"/>
    <s v="Alembic"/>
    <n v="1"/>
    <n v="126.25"/>
    <x v="0"/>
    <n v="126.25"/>
    <x v="10"/>
    <x v="10"/>
  </r>
  <r>
    <s v="TXN01703"/>
    <d v="2025-11-15T00:00:00"/>
    <x v="8"/>
    <s v="Azithromycin 500mg"/>
    <x v="5"/>
    <x v="1"/>
    <s v="Jan Aushadhi"/>
    <n v="2"/>
    <n v="55.55"/>
    <x v="3"/>
    <n v="111.1"/>
    <x v="10"/>
    <x v="10"/>
  </r>
  <r>
    <s v="TXN01704"/>
    <d v="2025-11-15T00:00:00"/>
    <x v="6"/>
    <s v="Telmisartan 40mg"/>
    <x v="1"/>
    <x v="1"/>
    <s v="Jan Aushadhi"/>
    <n v="1"/>
    <n v="46"/>
    <x v="3"/>
    <n v="46"/>
    <x v="10"/>
    <x v="10"/>
  </r>
  <r>
    <s v="TXN01705"/>
    <d v="2025-11-15T00:00:00"/>
    <x v="15"/>
    <s v="Cetirizine 10mg"/>
    <x v="6"/>
    <x v="1"/>
    <s v="Jan Aushadhi"/>
    <n v="1"/>
    <n v="8.08"/>
    <x v="2"/>
    <n v="8.08"/>
    <x v="10"/>
    <x v="10"/>
  </r>
  <r>
    <s v="TXN01706"/>
    <d v="2025-11-15T00:00:00"/>
    <x v="21"/>
    <s v="Montelukast+Levocetirizine"/>
    <x v="8"/>
    <x v="0"/>
    <s v="Sun Pharma"/>
    <n v="2"/>
    <n v="183.82"/>
    <x v="2"/>
    <n v="367.64"/>
    <x v="10"/>
    <x v="10"/>
  </r>
  <r>
    <s v="TXN01707"/>
    <d v="2025-11-16T00:00:00"/>
    <x v="0"/>
    <s v="Paracetamol 650mg"/>
    <x v="0"/>
    <x v="0"/>
    <s v="Micro Labs"/>
    <n v="1"/>
    <n v="32"/>
    <x v="0"/>
    <n v="32"/>
    <x v="10"/>
    <x v="10"/>
  </r>
  <r>
    <s v="TXN01708"/>
    <d v="2025-11-16T00:00:00"/>
    <x v="0"/>
    <s v="Paracetamol 650mg"/>
    <x v="0"/>
    <x v="0"/>
    <s v="Micro Labs"/>
    <n v="4"/>
    <n v="32"/>
    <x v="0"/>
    <n v="128"/>
    <x v="10"/>
    <x v="10"/>
  </r>
  <r>
    <s v="TXN01709"/>
    <d v="2025-11-16T00:00:00"/>
    <x v="19"/>
    <s v="Metformin 500mg"/>
    <x v="7"/>
    <x v="1"/>
    <s v="Jan Aushadhi"/>
    <n v="6"/>
    <n v="12"/>
    <x v="3"/>
    <n v="72"/>
    <x v="10"/>
    <x v="10"/>
  </r>
  <r>
    <s v="TXN01710"/>
    <d v="2025-11-16T00:00:00"/>
    <x v="19"/>
    <s v="Metformin 500mg"/>
    <x v="7"/>
    <x v="1"/>
    <s v="Jan Aushadhi"/>
    <n v="6"/>
    <n v="12"/>
    <x v="1"/>
    <n v="72"/>
    <x v="10"/>
    <x v="10"/>
  </r>
  <r>
    <s v="TXN01711"/>
    <d v="2025-11-16T00:00:00"/>
    <x v="22"/>
    <s v="Atorvastatin 10mg"/>
    <x v="3"/>
    <x v="0"/>
    <s v="Zydus"/>
    <n v="3"/>
    <n v="92.92"/>
    <x v="2"/>
    <n v="278.76"/>
    <x v="10"/>
    <x v="10"/>
  </r>
  <r>
    <s v="TXN01712"/>
    <d v="2025-11-16T00:00:00"/>
    <x v="25"/>
    <s v="Amlodipine 5mg"/>
    <x v="1"/>
    <x v="0"/>
    <s v="Mankind"/>
    <n v="3"/>
    <n v="45.45"/>
    <x v="0"/>
    <n v="136.35000000000002"/>
    <x v="10"/>
    <x v="10"/>
  </r>
  <r>
    <s v="TXN01713"/>
    <d v="2025-11-17T00:00:00"/>
    <x v="19"/>
    <s v="Metformin 500mg"/>
    <x v="7"/>
    <x v="1"/>
    <s v="Jan Aushadhi"/>
    <n v="6"/>
    <n v="12.12"/>
    <x v="0"/>
    <n v="72.72"/>
    <x v="10"/>
    <x v="10"/>
  </r>
  <r>
    <s v="TXN01714"/>
    <d v="2025-11-17T00:00:00"/>
    <x v="28"/>
    <s v="Glimepiride 2mg"/>
    <x v="7"/>
    <x v="1"/>
    <s v="Jan Aushadhi"/>
    <n v="6"/>
    <n v="42.42"/>
    <x v="0"/>
    <n v="254.52"/>
    <x v="10"/>
    <x v="10"/>
  </r>
  <r>
    <s v="TXN01715"/>
    <d v="2025-11-17T00:00:00"/>
    <x v="9"/>
    <s v="Ibuprofen 400mg"/>
    <x v="0"/>
    <x v="0"/>
    <s v="Abbott"/>
    <n v="5"/>
    <n v="42.42"/>
    <x v="0"/>
    <n v="212.10000000000002"/>
    <x v="10"/>
    <x v="10"/>
  </r>
  <r>
    <s v="TXN01716"/>
    <d v="2025-11-19T00:00:00"/>
    <x v="8"/>
    <s v="Azithromycin 500mg"/>
    <x v="5"/>
    <x v="1"/>
    <s v="Jan Aushadhi"/>
    <n v="5"/>
    <n v="55"/>
    <x v="0"/>
    <n v="275"/>
    <x v="10"/>
    <x v="10"/>
  </r>
  <r>
    <s v="TXN01717"/>
    <d v="2025-11-19T00:00:00"/>
    <x v="19"/>
    <s v="Metformin 500mg"/>
    <x v="7"/>
    <x v="1"/>
    <s v="Jan Aushadhi"/>
    <n v="3"/>
    <n v="12"/>
    <x v="3"/>
    <n v="36"/>
    <x v="10"/>
    <x v="10"/>
  </r>
  <r>
    <s v="TXN01718"/>
    <d v="2025-11-19T00:00:00"/>
    <x v="1"/>
    <s v="Amlodipine 5mg"/>
    <x v="1"/>
    <x v="1"/>
    <s v="Jan Aushadhi"/>
    <n v="2"/>
    <n v="15.15"/>
    <x v="1"/>
    <n v="30.3"/>
    <x v="10"/>
    <x v="10"/>
  </r>
  <r>
    <s v="TXN01719"/>
    <d v="2025-11-19T00:00:00"/>
    <x v="10"/>
    <s v="Cetirizine 10mg"/>
    <x v="6"/>
    <x v="0"/>
    <s v="Cipla"/>
    <n v="2"/>
    <n v="26.26"/>
    <x v="0"/>
    <n v="52.52"/>
    <x v="10"/>
    <x v="10"/>
  </r>
  <r>
    <s v="TXN01720"/>
    <d v="2025-11-19T00:00:00"/>
    <x v="21"/>
    <s v="Montelukast+Levocetirizine"/>
    <x v="8"/>
    <x v="0"/>
    <s v="Sun Pharma"/>
    <n v="1"/>
    <n v="183.82"/>
    <x v="2"/>
    <n v="183.82"/>
    <x v="10"/>
    <x v="10"/>
  </r>
  <r>
    <s v="TXN01721"/>
    <d v="2025-11-19T00:00:00"/>
    <x v="7"/>
    <s v="Vitamin B-Complex"/>
    <x v="4"/>
    <x v="0"/>
    <s v="Pfizer"/>
    <n v="3"/>
    <n v="46.46"/>
    <x v="0"/>
    <n v="139.38"/>
    <x v="10"/>
    <x v="10"/>
  </r>
  <r>
    <s v="TXN01722"/>
    <d v="2025-11-20T00:00:00"/>
    <x v="0"/>
    <s v="Paracetamol 650mg"/>
    <x v="0"/>
    <x v="0"/>
    <s v="Micro Labs"/>
    <n v="1"/>
    <n v="32.32"/>
    <x v="2"/>
    <n v="32.32"/>
    <x v="10"/>
    <x v="10"/>
  </r>
  <r>
    <s v="TXN01723"/>
    <d v="2025-11-20T00:00:00"/>
    <x v="18"/>
    <s v="Paracetamol 650mg"/>
    <x v="0"/>
    <x v="1"/>
    <s v="Jan Aushadhi"/>
    <n v="5"/>
    <n v="14.14"/>
    <x v="3"/>
    <n v="70.7"/>
    <x v="10"/>
    <x v="10"/>
  </r>
  <r>
    <s v="TXN01724"/>
    <d v="2025-11-20T00:00:00"/>
    <x v="24"/>
    <s v="Glimepiride 2mg"/>
    <x v="7"/>
    <x v="0"/>
    <s v="Sanofi"/>
    <n v="1"/>
    <n v="191.9"/>
    <x v="2"/>
    <n v="191.9"/>
    <x v="10"/>
    <x v="10"/>
  </r>
  <r>
    <s v="TXN01725"/>
    <d v="2025-11-20T00:00:00"/>
    <x v="26"/>
    <s v="Atorvastatin 10mg"/>
    <x v="3"/>
    <x v="1"/>
    <s v="Jan Aushadhi"/>
    <n v="2"/>
    <n v="35.35"/>
    <x v="0"/>
    <n v="70.7"/>
    <x v="10"/>
    <x v="10"/>
  </r>
  <r>
    <s v="TXN01726"/>
    <d v="2025-11-20T00:00:00"/>
    <x v="5"/>
    <s v="Rosuvastatin 10mg"/>
    <x v="3"/>
    <x v="0"/>
    <s v="Sun Pharma"/>
    <n v="1"/>
    <n v="166.65"/>
    <x v="0"/>
    <n v="166.65"/>
    <x v="10"/>
    <x v="10"/>
  </r>
  <r>
    <s v="TXN01727"/>
    <d v="2025-11-20T00:00:00"/>
    <x v="25"/>
    <s v="Amlodipine 5mg"/>
    <x v="1"/>
    <x v="0"/>
    <s v="Mankind"/>
    <n v="6"/>
    <n v="45.45"/>
    <x v="0"/>
    <n v="272.70000000000005"/>
    <x v="10"/>
    <x v="10"/>
  </r>
  <r>
    <s v="TXN01728"/>
    <d v="2025-11-20T00:00:00"/>
    <x v="15"/>
    <s v="Cetirizine 10mg"/>
    <x v="6"/>
    <x v="1"/>
    <s v="Jan Aushadhi"/>
    <n v="2"/>
    <n v="8"/>
    <x v="0"/>
    <n v="16"/>
    <x v="10"/>
    <x v="10"/>
  </r>
  <r>
    <s v="TXN01729"/>
    <d v="2025-11-20T00:00:00"/>
    <x v="29"/>
    <s v="Diclofenac 50mg"/>
    <x v="0"/>
    <x v="1"/>
    <s v="Jan Aushadhi"/>
    <n v="5"/>
    <n v="20"/>
    <x v="2"/>
    <n v="100"/>
    <x v="10"/>
    <x v="10"/>
  </r>
  <r>
    <s v="TXN01730"/>
    <d v="2025-11-21T00:00:00"/>
    <x v="0"/>
    <s v="Paracetamol 650mg"/>
    <x v="0"/>
    <x v="0"/>
    <s v="Micro Labs"/>
    <n v="1"/>
    <n v="32.32"/>
    <x v="3"/>
    <n v="32.32"/>
    <x v="10"/>
    <x v="10"/>
  </r>
  <r>
    <s v="TXN01731"/>
    <d v="2025-11-21T00:00:00"/>
    <x v="16"/>
    <s v="Azithromycin 500mg"/>
    <x v="5"/>
    <x v="0"/>
    <s v="Alembic"/>
    <n v="1"/>
    <n v="125"/>
    <x v="0"/>
    <n v="125"/>
    <x v="10"/>
    <x v="10"/>
  </r>
  <r>
    <s v="TXN01732"/>
    <d v="2025-11-21T00:00:00"/>
    <x v="24"/>
    <s v="Glimepiride 2mg"/>
    <x v="7"/>
    <x v="0"/>
    <s v="Sanofi"/>
    <n v="12"/>
    <n v="191.9"/>
    <x v="2"/>
    <n v="2302.8000000000002"/>
    <x v="10"/>
    <x v="10"/>
  </r>
  <r>
    <s v="TXN01733"/>
    <d v="2025-11-21T00:00:00"/>
    <x v="1"/>
    <s v="Amlodipine 5mg"/>
    <x v="1"/>
    <x v="1"/>
    <s v="Jan Aushadhi"/>
    <n v="2"/>
    <n v="15"/>
    <x v="2"/>
    <n v="30"/>
    <x v="10"/>
    <x v="10"/>
  </r>
  <r>
    <s v="TXN01734"/>
    <d v="2025-11-21T00:00:00"/>
    <x v="30"/>
    <s v="Telmisartan 40mg"/>
    <x v="1"/>
    <x v="0"/>
    <s v="Glenmark"/>
    <n v="3"/>
    <n v="142"/>
    <x v="1"/>
    <n v="426"/>
    <x v="10"/>
    <x v="10"/>
  </r>
  <r>
    <s v="TXN01735"/>
    <d v="2025-11-21T00:00:00"/>
    <x v="14"/>
    <s v="Pantoprazole 40mg"/>
    <x v="2"/>
    <x v="0"/>
    <s v="Alkem"/>
    <n v="1"/>
    <n v="153.52000000000001"/>
    <x v="1"/>
    <n v="153.52000000000001"/>
    <x v="10"/>
    <x v="10"/>
  </r>
  <r>
    <s v="TXN01736"/>
    <d v="2025-11-21T00:00:00"/>
    <x v="14"/>
    <s v="Pantoprazole 40mg"/>
    <x v="2"/>
    <x v="0"/>
    <s v="Alkem"/>
    <n v="1"/>
    <n v="152"/>
    <x v="1"/>
    <n v="152"/>
    <x v="10"/>
    <x v="10"/>
  </r>
  <r>
    <s v="TXN01737"/>
    <d v="2025-11-21T00:00:00"/>
    <x v="15"/>
    <s v="Cetirizine 10mg"/>
    <x v="6"/>
    <x v="1"/>
    <s v="Jan Aushadhi"/>
    <n v="1"/>
    <n v="8"/>
    <x v="0"/>
    <n v="8"/>
    <x v="10"/>
    <x v="10"/>
  </r>
  <r>
    <s v="TXN01738"/>
    <d v="2025-11-21T00:00:00"/>
    <x v="15"/>
    <s v="Cetirizine 10mg"/>
    <x v="6"/>
    <x v="1"/>
    <s v="Jan Aushadhi"/>
    <n v="1"/>
    <n v="8.08"/>
    <x v="2"/>
    <n v="8.08"/>
    <x v="10"/>
    <x v="10"/>
  </r>
  <r>
    <s v="TXN01739"/>
    <d v="2025-11-21T00:00:00"/>
    <x v="9"/>
    <s v="Ibuprofen 400mg"/>
    <x v="0"/>
    <x v="0"/>
    <s v="Abbott"/>
    <n v="2"/>
    <n v="42.42"/>
    <x v="0"/>
    <n v="84.84"/>
    <x v="10"/>
    <x v="10"/>
  </r>
  <r>
    <s v="TXN01740"/>
    <d v="2025-11-22T00:00:00"/>
    <x v="8"/>
    <s v="Azithromycin 500mg"/>
    <x v="5"/>
    <x v="1"/>
    <s v="Jan Aushadhi"/>
    <n v="3"/>
    <n v="55.55"/>
    <x v="3"/>
    <n v="166.64999999999998"/>
    <x v="10"/>
    <x v="10"/>
  </r>
  <r>
    <s v="TXN01741"/>
    <d v="2025-11-22T00:00:00"/>
    <x v="11"/>
    <s v="Amoxicillin+Clavulanate 625mg"/>
    <x v="5"/>
    <x v="0"/>
    <s v="GSK"/>
    <n v="2"/>
    <n v="207.05"/>
    <x v="1"/>
    <n v="414.1"/>
    <x v="10"/>
    <x v="10"/>
  </r>
  <r>
    <s v="TXN01742"/>
    <d v="2025-11-22T00:00:00"/>
    <x v="24"/>
    <s v="Glimepiride 2mg"/>
    <x v="7"/>
    <x v="0"/>
    <s v="Sanofi"/>
    <n v="12"/>
    <n v="191.9"/>
    <x v="0"/>
    <n v="2302.8000000000002"/>
    <x v="10"/>
    <x v="10"/>
  </r>
  <r>
    <s v="TXN01743"/>
    <d v="2025-11-22T00:00:00"/>
    <x v="22"/>
    <s v="Atorvastatin 10mg"/>
    <x v="3"/>
    <x v="0"/>
    <s v="Zydus"/>
    <n v="6"/>
    <n v="92.92"/>
    <x v="2"/>
    <n v="557.52"/>
    <x v="10"/>
    <x v="10"/>
  </r>
  <r>
    <s v="TXN01744"/>
    <d v="2025-11-22T00:00:00"/>
    <x v="26"/>
    <s v="Atorvastatin 10mg"/>
    <x v="3"/>
    <x v="1"/>
    <s v="Jan Aushadhi"/>
    <n v="3"/>
    <n v="35"/>
    <x v="0"/>
    <n v="105"/>
    <x v="10"/>
    <x v="10"/>
  </r>
  <r>
    <s v="TXN01745"/>
    <d v="2025-11-22T00:00:00"/>
    <x v="1"/>
    <s v="Amlodipine 5mg"/>
    <x v="1"/>
    <x v="1"/>
    <s v="Jan Aushadhi"/>
    <n v="1"/>
    <n v="15"/>
    <x v="0"/>
    <n v="15"/>
    <x v="10"/>
    <x v="10"/>
  </r>
  <r>
    <s v="TXN01746"/>
    <d v="2025-11-22T00:00:00"/>
    <x v="23"/>
    <s v="Diclofenac 50mg"/>
    <x v="0"/>
    <x v="0"/>
    <s v="Novartis"/>
    <n v="5"/>
    <n v="62.62"/>
    <x v="0"/>
    <n v="313.09999999999997"/>
    <x v="10"/>
    <x v="10"/>
  </r>
  <r>
    <s v="TXN01747"/>
    <d v="2025-11-23T00:00:00"/>
    <x v="0"/>
    <s v="Paracetamol 650mg"/>
    <x v="0"/>
    <x v="0"/>
    <s v="Micro Labs"/>
    <n v="3"/>
    <n v="32.32"/>
    <x v="0"/>
    <n v="96.960000000000008"/>
    <x v="10"/>
    <x v="10"/>
  </r>
  <r>
    <s v="TXN01748"/>
    <d v="2025-11-23T00:00:00"/>
    <x v="18"/>
    <s v="Paracetamol 650mg"/>
    <x v="0"/>
    <x v="1"/>
    <s v="Jan Aushadhi"/>
    <n v="4"/>
    <n v="14.14"/>
    <x v="3"/>
    <n v="56.56"/>
    <x v="10"/>
    <x v="10"/>
  </r>
  <r>
    <s v="TXN01749"/>
    <d v="2025-11-23T00:00:00"/>
    <x v="19"/>
    <s v="Metformin 500mg"/>
    <x v="7"/>
    <x v="1"/>
    <s v="Jan Aushadhi"/>
    <n v="3"/>
    <n v="12.12"/>
    <x v="3"/>
    <n v="36.36"/>
    <x v="10"/>
    <x v="10"/>
  </r>
  <r>
    <s v="TXN01750"/>
    <d v="2025-11-23T00:00:00"/>
    <x v="1"/>
    <s v="Amlodipine 5mg"/>
    <x v="1"/>
    <x v="1"/>
    <s v="Jan Aushadhi"/>
    <n v="1"/>
    <n v="15.15"/>
    <x v="2"/>
    <n v="15.15"/>
    <x v="10"/>
    <x v="10"/>
  </r>
  <r>
    <s v="TXN01751"/>
    <d v="2025-11-23T00:00:00"/>
    <x v="3"/>
    <s v="Omeprazole 20mg"/>
    <x v="2"/>
    <x v="1"/>
    <s v="Jan Aushadhi"/>
    <n v="4"/>
    <n v="20"/>
    <x v="1"/>
    <n v="80"/>
    <x v="10"/>
    <x v="10"/>
  </r>
  <r>
    <s v="TXN01752"/>
    <d v="2025-11-23T00:00:00"/>
    <x v="3"/>
    <s v="Omeprazole 20mg"/>
    <x v="2"/>
    <x v="1"/>
    <s v="Jan Aushadhi"/>
    <n v="3"/>
    <n v="20.2"/>
    <x v="2"/>
    <n v="60.599999999999994"/>
    <x v="10"/>
    <x v="10"/>
  </r>
  <r>
    <s v="TXN01753"/>
    <d v="2025-11-23T00:00:00"/>
    <x v="9"/>
    <s v="Ibuprofen 400mg"/>
    <x v="0"/>
    <x v="0"/>
    <s v="Abbott"/>
    <n v="5"/>
    <n v="42.42"/>
    <x v="2"/>
    <n v="212.10000000000002"/>
    <x v="10"/>
    <x v="10"/>
  </r>
  <r>
    <s v="TXN01754"/>
    <d v="2025-11-24T00:00:00"/>
    <x v="19"/>
    <s v="Metformin 500mg"/>
    <x v="7"/>
    <x v="1"/>
    <s v="Jan Aushadhi"/>
    <n v="3"/>
    <n v="12.12"/>
    <x v="3"/>
    <n v="36.36"/>
    <x v="10"/>
    <x v="10"/>
  </r>
  <r>
    <s v="TXN01755"/>
    <d v="2025-11-24T00:00:00"/>
    <x v="10"/>
    <s v="Cetirizine 10mg"/>
    <x v="6"/>
    <x v="0"/>
    <s v="Cipla"/>
    <n v="1"/>
    <n v="26.26"/>
    <x v="1"/>
    <n v="26.26"/>
    <x v="10"/>
    <x v="10"/>
  </r>
  <r>
    <s v="TXN01756"/>
    <d v="2025-11-24T00:00:00"/>
    <x v="29"/>
    <s v="Diclofenac 50mg"/>
    <x v="0"/>
    <x v="1"/>
    <s v="Jan Aushadhi"/>
    <n v="1"/>
    <n v="20.2"/>
    <x v="0"/>
    <n v="20.2"/>
    <x v="10"/>
    <x v="10"/>
  </r>
  <r>
    <s v="TXN01757"/>
    <d v="2025-11-24T00:00:00"/>
    <x v="7"/>
    <s v="Vitamin B-Complex"/>
    <x v="4"/>
    <x v="0"/>
    <s v="Pfizer"/>
    <n v="3"/>
    <n v="46"/>
    <x v="2"/>
    <n v="138"/>
    <x v="10"/>
    <x v="10"/>
  </r>
  <r>
    <s v="TXN01758"/>
    <d v="2025-11-25T00:00:00"/>
    <x v="0"/>
    <s v="Paracetamol 650mg"/>
    <x v="0"/>
    <x v="0"/>
    <s v="Micro Labs"/>
    <n v="5"/>
    <n v="32.32"/>
    <x v="0"/>
    <n v="161.6"/>
    <x v="10"/>
    <x v="10"/>
  </r>
  <r>
    <s v="TXN01759"/>
    <d v="2025-11-25T00:00:00"/>
    <x v="16"/>
    <s v="Azithromycin 500mg"/>
    <x v="5"/>
    <x v="0"/>
    <s v="Alembic"/>
    <n v="4"/>
    <n v="126.25"/>
    <x v="0"/>
    <n v="505"/>
    <x v="10"/>
    <x v="10"/>
  </r>
  <r>
    <s v="TXN01760"/>
    <d v="2025-11-25T00:00:00"/>
    <x v="8"/>
    <s v="Azithromycin 500mg"/>
    <x v="5"/>
    <x v="1"/>
    <s v="Jan Aushadhi"/>
    <n v="1"/>
    <n v="55.55"/>
    <x v="0"/>
    <n v="55.55"/>
    <x v="10"/>
    <x v="10"/>
  </r>
  <r>
    <s v="TXN01761"/>
    <d v="2025-11-25T00:00:00"/>
    <x v="17"/>
    <s v="Rosuvastatin 10mg"/>
    <x v="3"/>
    <x v="1"/>
    <s v="Jan Aushadhi"/>
    <n v="3"/>
    <n v="58.58"/>
    <x v="1"/>
    <n v="175.74"/>
    <x v="10"/>
    <x v="10"/>
  </r>
  <r>
    <s v="TXN01762"/>
    <d v="2025-11-25T00:00:00"/>
    <x v="30"/>
    <s v="Telmisartan 40mg"/>
    <x v="1"/>
    <x v="0"/>
    <s v="Glenmark"/>
    <n v="6"/>
    <n v="143.41999999999999"/>
    <x v="0"/>
    <n v="860.52"/>
    <x v="10"/>
    <x v="10"/>
  </r>
  <r>
    <s v="TXN01763"/>
    <d v="2025-11-25T00:00:00"/>
    <x v="14"/>
    <s v="Pantoprazole 40mg"/>
    <x v="2"/>
    <x v="0"/>
    <s v="Alkem"/>
    <n v="4"/>
    <n v="152"/>
    <x v="3"/>
    <n v="608"/>
    <x v="10"/>
    <x v="10"/>
  </r>
  <r>
    <s v="TXN01764"/>
    <d v="2025-11-25T00:00:00"/>
    <x v="2"/>
    <s v="Omeprazole 20mg"/>
    <x v="2"/>
    <x v="0"/>
    <s v="Dr. Reddy's"/>
    <n v="2"/>
    <n v="58.58"/>
    <x v="0"/>
    <n v="117.16"/>
    <x v="10"/>
    <x v="10"/>
  </r>
  <r>
    <s v="TXN01765"/>
    <d v="2025-11-26T00:00:00"/>
    <x v="18"/>
    <s v="Paracetamol 650mg"/>
    <x v="0"/>
    <x v="1"/>
    <s v="Jan Aushadhi"/>
    <n v="3"/>
    <n v="14.14"/>
    <x v="1"/>
    <n v="42.42"/>
    <x v="10"/>
    <x v="10"/>
  </r>
  <r>
    <s v="TXN01766"/>
    <d v="2025-11-26T00:00:00"/>
    <x v="22"/>
    <s v="Atorvastatin 10mg"/>
    <x v="3"/>
    <x v="0"/>
    <s v="Zydus"/>
    <n v="3"/>
    <n v="92"/>
    <x v="1"/>
    <n v="276"/>
    <x v="10"/>
    <x v="10"/>
  </r>
  <r>
    <s v="TXN01767"/>
    <d v="2025-11-26T00:00:00"/>
    <x v="26"/>
    <s v="Atorvastatin 10mg"/>
    <x v="3"/>
    <x v="1"/>
    <s v="Jan Aushadhi"/>
    <n v="6"/>
    <n v="35.35"/>
    <x v="0"/>
    <n v="212.10000000000002"/>
    <x v="10"/>
    <x v="10"/>
  </r>
  <r>
    <s v="TXN01768"/>
    <d v="2025-11-26T00:00:00"/>
    <x v="26"/>
    <s v="Atorvastatin 10mg"/>
    <x v="3"/>
    <x v="1"/>
    <s v="Jan Aushadhi"/>
    <n v="3"/>
    <n v="35.35"/>
    <x v="2"/>
    <n v="106.05000000000001"/>
    <x v="10"/>
    <x v="10"/>
  </r>
  <r>
    <s v="TXN01769"/>
    <d v="2025-11-26T00:00:00"/>
    <x v="10"/>
    <s v="Cetirizine 10mg"/>
    <x v="6"/>
    <x v="0"/>
    <s v="Cipla"/>
    <n v="5"/>
    <n v="26.26"/>
    <x v="3"/>
    <n v="131.30000000000001"/>
    <x v="10"/>
    <x v="10"/>
  </r>
  <r>
    <s v="TXN01770"/>
    <d v="2025-11-26T00:00:00"/>
    <x v="31"/>
    <s v="Montelukast+Levocetirizine"/>
    <x v="8"/>
    <x v="1"/>
    <s v="Jan Aushadhi"/>
    <n v="4"/>
    <n v="70"/>
    <x v="2"/>
    <n v="280"/>
    <x v="10"/>
    <x v="10"/>
  </r>
  <r>
    <s v="TXN01771"/>
    <d v="2025-11-26T00:00:00"/>
    <x v="9"/>
    <s v="Ibuprofen 400mg"/>
    <x v="0"/>
    <x v="0"/>
    <s v="Abbott"/>
    <n v="5"/>
    <n v="42.42"/>
    <x v="0"/>
    <n v="212.10000000000002"/>
    <x v="10"/>
    <x v="10"/>
  </r>
  <r>
    <s v="TXN01772"/>
    <d v="2025-11-27T00:00:00"/>
    <x v="16"/>
    <s v="Azithromycin 500mg"/>
    <x v="5"/>
    <x v="0"/>
    <s v="Alembic"/>
    <n v="1"/>
    <n v="126.25"/>
    <x v="1"/>
    <n v="126.25"/>
    <x v="10"/>
    <x v="10"/>
  </r>
  <r>
    <s v="TXN01773"/>
    <d v="2025-11-27T00:00:00"/>
    <x v="10"/>
    <s v="Cetirizine 10mg"/>
    <x v="6"/>
    <x v="0"/>
    <s v="Cipla"/>
    <n v="5"/>
    <n v="26"/>
    <x v="2"/>
    <n v="130"/>
    <x v="10"/>
    <x v="10"/>
  </r>
  <r>
    <s v="TXN01774"/>
    <d v="2025-11-27T00:00:00"/>
    <x v="15"/>
    <s v="Cetirizine 10mg"/>
    <x v="6"/>
    <x v="1"/>
    <s v="Jan Aushadhi"/>
    <n v="1"/>
    <n v="8"/>
    <x v="0"/>
    <n v="8"/>
    <x v="10"/>
    <x v="10"/>
  </r>
  <r>
    <s v="TXN01775"/>
    <d v="2025-11-28T00:00:00"/>
    <x v="0"/>
    <s v="Paracetamol 650mg"/>
    <x v="0"/>
    <x v="0"/>
    <s v="Micro Labs"/>
    <n v="1"/>
    <n v="32.32"/>
    <x v="0"/>
    <n v="32.32"/>
    <x v="10"/>
    <x v="10"/>
  </r>
  <r>
    <s v="TXN01776"/>
    <d v="2025-11-28T00:00:00"/>
    <x v="13"/>
    <s v="Metformin 500mg"/>
    <x v="7"/>
    <x v="0"/>
    <s v="USV"/>
    <n v="6"/>
    <n v="32"/>
    <x v="2"/>
    <n v="192"/>
    <x v="10"/>
    <x v="10"/>
  </r>
  <r>
    <s v="TXN01777"/>
    <d v="2025-11-28T00:00:00"/>
    <x v="26"/>
    <s v="Atorvastatin 10mg"/>
    <x v="3"/>
    <x v="1"/>
    <s v="Jan Aushadhi"/>
    <n v="3"/>
    <n v="35.35"/>
    <x v="2"/>
    <n v="106.05000000000001"/>
    <x v="10"/>
    <x v="10"/>
  </r>
  <r>
    <s v="TXN01778"/>
    <d v="2025-11-28T00:00:00"/>
    <x v="1"/>
    <s v="Amlodipine 5mg"/>
    <x v="1"/>
    <x v="1"/>
    <s v="Jan Aushadhi"/>
    <n v="3"/>
    <n v="15.15"/>
    <x v="1"/>
    <n v="45.45"/>
    <x v="10"/>
    <x v="10"/>
  </r>
  <r>
    <s v="TXN01779"/>
    <d v="2025-11-28T00:00:00"/>
    <x v="2"/>
    <s v="Omeprazole 20mg"/>
    <x v="2"/>
    <x v="0"/>
    <s v="Dr. Reddy's"/>
    <n v="3"/>
    <n v="58"/>
    <x v="0"/>
    <n v="174"/>
    <x v="10"/>
    <x v="10"/>
  </r>
  <r>
    <s v="TXN01780"/>
    <d v="2025-11-28T00:00:00"/>
    <x v="27"/>
    <s v="Vitamin B-Complex"/>
    <x v="4"/>
    <x v="1"/>
    <s v="Jan Aushadhi"/>
    <n v="2"/>
    <n v="18.18"/>
    <x v="0"/>
    <n v="36.36"/>
    <x v="10"/>
    <x v="10"/>
  </r>
  <r>
    <s v="TXN01781"/>
    <d v="2025-11-29T00:00:00"/>
    <x v="13"/>
    <s v="Metformin 500mg"/>
    <x v="7"/>
    <x v="0"/>
    <s v="USV"/>
    <n v="6"/>
    <n v="32.32"/>
    <x v="0"/>
    <n v="193.92000000000002"/>
    <x v="10"/>
    <x v="10"/>
  </r>
  <r>
    <s v="TXN01782"/>
    <d v="2025-11-29T00:00:00"/>
    <x v="13"/>
    <s v="Metformin 500mg"/>
    <x v="7"/>
    <x v="0"/>
    <s v="USV"/>
    <n v="12"/>
    <n v="32.32"/>
    <x v="3"/>
    <n v="387.84000000000003"/>
    <x v="10"/>
    <x v="10"/>
  </r>
  <r>
    <s v="TXN01783"/>
    <d v="2025-11-29T00:00:00"/>
    <x v="24"/>
    <s v="Glimepiride 2mg"/>
    <x v="7"/>
    <x v="0"/>
    <s v="Sanofi"/>
    <n v="3"/>
    <n v="190"/>
    <x v="0"/>
    <n v="570"/>
    <x v="10"/>
    <x v="10"/>
  </r>
  <r>
    <s v="TXN01784"/>
    <d v="2025-11-29T00:00:00"/>
    <x v="14"/>
    <s v="Pantoprazole 40mg"/>
    <x v="2"/>
    <x v="0"/>
    <s v="Alkem"/>
    <n v="5"/>
    <n v="152"/>
    <x v="1"/>
    <n v="760"/>
    <x v="10"/>
    <x v="10"/>
  </r>
  <r>
    <s v="TXN01785"/>
    <d v="2025-11-29T00:00:00"/>
    <x v="3"/>
    <s v="Omeprazole 20mg"/>
    <x v="2"/>
    <x v="1"/>
    <s v="Jan Aushadhi"/>
    <n v="5"/>
    <n v="20.2"/>
    <x v="0"/>
    <n v="101"/>
    <x v="10"/>
    <x v="10"/>
  </r>
  <r>
    <s v="TXN01786"/>
    <d v="2025-11-29T00:00:00"/>
    <x v="31"/>
    <s v="Montelukast+Levocetirizine"/>
    <x v="8"/>
    <x v="1"/>
    <s v="Jan Aushadhi"/>
    <n v="5"/>
    <n v="70"/>
    <x v="2"/>
    <n v="350"/>
    <x v="10"/>
    <x v="10"/>
  </r>
  <r>
    <s v="TXN01787"/>
    <d v="2025-11-29T00:00:00"/>
    <x v="9"/>
    <s v="Ibuprofen 400mg"/>
    <x v="0"/>
    <x v="0"/>
    <s v="Abbott"/>
    <n v="2"/>
    <n v="42.42"/>
    <x v="1"/>
    <n v="84.84"/>
    <x v="10"/>
    <x v="10"/>
  </r>
  <r>
    <s v="TXN01788"/>
    <d v="2025-11-30T00:00:00"/>
    <x v="0"/>
    <s v="Paracetamol 650mg"/>
    <x v="0"/>
    <x v="0"/>
    <s v="Micro Labs"/>
    <n v="3"/>
    <n v="32.32"/>
    <x v="0"/>
    <n v="96.960000000000008"/>
    <x v="10"/>
    <x v="10"/>
  </r>
  <r>
    <s v="TXN01789"/>
    <d v="2025-11-30T00:00:00"/>
    <x v="11"/>
    <s v="Amoxicillin+Clavulanate 625mg"/>
    <x v="5"/>
    <x v="0"/>
    <s v="GSK"/>
    <n v="3"/>
    <n v="205"/>
    <x v="3"/>
    <n v="615"/>
    <x v="10"/>
    <x v="10"/>
  </r>
  <r>
    <s v="TXN01790"/>
    <d v="2025-11-30T00:00:00"/>
    <x v="22"/>
    <s v="Atorvastatin 10mg"/>
    <x v="3"/>
    <x v="0"/>
    <s v="Zydus"/>
    <n v="6"/>
    <n v="92.92"/>
    <x v="1"/>
    <n v="557.52"/>
    <x v="10"/>
    <x v="10"/>
  </r>
  <r>
    <s v="TXN01791"/>
    <d v="2025-11-30T00:00:00"/>
    <x v="25"/>
    <s v="Amlodipine 5mg"/>
    <x v="1"/>
    <x v="0"/>
    <s v="Mankind"/>
    <n v="6"/>
    <n v="45.45"/>
    <x v="0"/>
    <n v="272.70000000000005"/>
    <x v="10"/>
    <x v="10"/>
  </r>
  <r>
    <s v="TXN01792"/>
    <d v="2025-11-30T00:00:00"/>
    <x v="30"/>
    <s v="Telmisartan 40mg"/>
    <x v="1"/>
    <x v="0"/>
    <s v="Glenmark"/>
    <n v="2"/>
    <n v="143.41999999999999"/>
    <x v="0"/>
    <n v="286.83999999999997"/>
    <x v="10"/>
    <x v="10"/>
  </r>
  <r>
    <s v="TXN01793"/>
    <d v="2025-12-01T00:00:00"/>
    <x v="19"/>
    <s v="Metformin 500mg"/>
    <x v="7"/>
    <x v="1"/>
    <s v="Jan Aushadhi"/>
    <n v="2"/>
    <n v="12.12"/>
    <x v="0"/>
    <n v="24.24"/>
    <x v="11"/>
    <x v="11"/>
  </r>
  <r>
    <s v="TXN01794"/>
    <d v="2025-12-01T00:00:00"/>
    <x v="5"/>
    <s v="Rosuvastatin 10mg"/>
    <x v="3"/>
    <x v="0"/>
    <s v="Sun Pharma"/>
    <n v="6"/>
    <n v="165"/>
    <x v="0"/>
    <n v="990"/>
    <x v="11"/>
    <x v="11"/>
  </r>
  <r>
    <s v="TXN01795"/>
    <d v="2025-12-01T00:00:00"/>
    <x v="1"/>
    <s v="Amlodipine 5mg"/>
    <x v="1"/>
    <x v="1"/>
    <s v="Jan Aushadhi"/>
    <n v="1"/>
    <n v="15.15"/>
    <x v="0"/>
    <n v="15.15"/>
    <x v="11"/>
    <x v="11"/>
  </r>
  <r>
    <s v="TXN01796"/>
    <d v="2025-12-01T00:00:00"/>
    <x v="7"/>
    <s v="Vitamin B-Complex"/>
    <x v="4"/>
    <x v="0"/>
    <s v="Pfizer"/>
    <n v="1"/>
    <n v="46.46"/>
    <x v="2"/>
    <n v="46.46"/>
    <x v="11"/>
    <x v="11"/>
  </r>
  <r>
    <s v="TXN01797"/>
    <d v="2025-12-02T00:00:00"/>
    <x v="18"/>
    <s v="Paracetamol 650mg"/>
    <x v="0"/>
    <x v="1"/>
    <s v="Jan Aushadhi"/>
    <n v="1"/>
    <n v="14.14"/>
    <x v="1"/>
    <n v="14.14"/>
    <x v="11"/>
    <x v="11"/>
  </r>
  <r>
    <s v="TXN01798"/>
    <d v="2025-12-02T00:00:00"/>
    <x v="6"/>
    <s v="Telmisartan 40mg"/>
    <x v="1"/>
    <x v="1"/>
    <s v="Jan Aushadhi"/>
    <n v="1"/>
    <n v="46.46"/>
    <x v="1"/>
    <n v="46.46"/>
    <x v="11"/>
    <x v="11"/>
  </r>
  <r>
    <s v="TXN01799"/>
    <d v="2025-12-02T00:00:00"/>
    <x v="21"/>
    <s v="Montelukast+Levocetirizine"/>
    <x v="8"/>
    <x v="0"/>
    <s v="Sun Pharma"/>
    <n v="1"/>
    <n v="183.82"/>
    <x v="0"/>
    <n v="183.82"/>
    <x v="11"/>
    <x v="11"/>
  </r>
  <r>
    <s v="TXN01800"/>
    <d v="2025-12-03T00:00:00"/>
    <x v="1"/>
    <s v="Amlodipine 5mg"/>
    <x v="1"/>
    <x v="1"/>
    <s v="Jan Aushadhi"/>
    <n v="3"/>
    <n v="15"/>
    <x v="2"/>
    <n v="45"/>
    <x v="11"/>
    <x v="11"/>
  </r>
  <r>
    <s v="TXN01801"/>
    <d v="2025-12-03T00:00:00"/>
    <x v="31"/>
    <s v="Montelukast+Levocetirizine"/>
    <x v="8"/>
    <x v="1"/>
    <s v="Jan Aushadhi"/>
    <n v="5"/>
    <n v="70.7"/>
    <x v="0"/>
    <n v="353.5"/>
    <x v="11"/>
    <x v="11"/>
  </r>
  <r>
    <s v="TXN01802"/>
    <d v="2025-12-04T00:00:00"/>
    <x v="0"/>
    <s v="Paracetamol 650mg"/>
    <x v="0"/>
    <x v="0"/>
    <s v="Micro Labs"/>
    <n v="5"/>
    <n v="32.32"/>
    <x v="0"/>
    <n v="161.6"/>
    <x v="11"/>
    <x v="11"/>
  </r>
  <r>
    <s v="TXN01803"/>
    <d v="2025-12-04T00:00:00"/>
    <x v="19"/>
    <s v="Metformin 500mg"/>
    <x v="7"/>
    <x v="1"/>
    <s v="Jan Aushadhi"/>
    <n v="6"/>
    <n v="12.12"/>
    <x v="0"/>
    <n v="72.72"/>
    <x v="11"/>
    <x v="11"/>
  </r>
  <r>
    <s v="TXN01804"/>
    <d v="2025-12-04T00:00:00"/>
    <x v="22"/>
    <s v="Atorvastatin 10mg"/>
    <x v="3"/>
    <x v="0"/>
    <s v="Zydus"/>
    <n v="1"/>
    <n v="92.92"/>
    <x v="0"/>
    <n v="92.92"/>
    <x v="11"/>
    <x v="11"/>
  </r>
  <r>
    <s v="TXN01805"/>
    <d v="2025-12-04T00:00:00"/>
    <x v="30"/>
    <s v="Telmisartan 40mg"/>
    <x v="1"/>
    <x v="0"/>
    <s v="Glenmark"/>
    <n v="3"/>
    <n v="142"/>
    <x v="3"/>
    <n v="426"/>
    <x v="11"/>
    <x v="11"/>
  </r>
  <r>
    <s v="TXN01806"/>
    <d v="2025-12-04T00:00:00"/>
    <x v="21"/>
    <s v="Montelukast+Levocetirizine"/>
    <x v="8"/>
    <x v="0"/>
    <s v="Sun Pharma"/>
    <n v="4"/>
    <n v="183.82"/>
    <x v="0"/>
    <n v="735.28"/>
    <x v="11"/>
    <x v="11"/>
  </r>
  <r>
    <s v="TXN01807"/>
    <d v="2025-12-04T00:00:00"/>
    <x v="9"/>
    <s v="Ibuprofen 400mg"/>
    <x v="0"/>
    <x v="0"/>
    <s v="Abbott"/>
    <n v="1"/>
    <n v="42"/>
    <x v="0"/>
    <n v="42"/>
    <x v="11"/>
    <x v="11"/>
  </r>
  <r>
    <s v="TXN01808"/>
    <d v="2025-12-04T00:00:00"/>
    <x v="4"/>
    <s v="Ibuprofen 400mg"/>
    <x v="0"/>
    <x v="1"/>
    <s v="Jan Aushadhi"/>
    <n v="2"/>
    <n v="15.15"/>
    <x v="0"/>
    <n v="30.3"/>
    <x v="11"/>
    <x v="11"/>
  </r>
  <r>
    <s v="TXN01809"/>
    <d v="2025-12-05T00:00:00"/>
    <x v="0"/>
    <s v="Paracetamol 650mg"/>
    <x v="0"/>
    <x v="0"/>
    <s v="Micro Labs"/>
    <n v="5"/>
    <n v="32.32"/>
    <x v="0"/>
    <n v="161.6"/>
    <x v="11"/>
    <x v="11"/>
  </r>
  <r>
    <s v="TXN01810"/>
    <d v="2025-12-05T00:00:00"/>
    <x v="13"/>
    <s v="Metformin 500mg"/>
    <x v="7"/>
    <x v="0"/>
    <s v="USV"/>
    <n v="3"/>
    <n v="32.32"/>
    <x v="2"/>
    <n v="96.960000000000008"/>
    <x v="11"/>
    <x v="11"/>
  </r>
  <r>
    <s v="TXN01811"/>
    <d v="2025-12-05T00:00:00"/>
    <x v="24"/>
    <s v="Glimepiride 2mg"/>
    <x v="7"/>
    <x v="0"/>
    <s v="Sanofi"/>
    <n v="3"/>
    <n v="191.9"/>
    <x v="0"/>
    <n v="575.70000000000005"/>
    <x v="11"/>
    <x v="11"/>
  </r>
  <r>
    <s v="TXN01812"/>
    <d v="2025-12-05T00:00:00"/>
    <x v="25"/>
    <s v="Amlodipine 5mg"/>
    <x v="1"/>
    <x v="0"/>
    <s v="Mankind"/>
    <n v="6"/>
    <n v="45.45"/>
    <x v="0"/>
    <n v="272.70000000000005"/>
    <x v="11"/>
    <x v="11"/>
  </r>
  <r>
    <s v="TXN01813"/>
    <d v="2025-12-05T00:00:00"/>
    <x v="1"/>
    <s v="Amlodipine 5mg"/>
    <x v="1"/>
    <x v="1"/>
    <s v="Jan Aushadhi"/>
    <n v="6"/>
    <n v="15"/>
    <x v="0"/>
    <n v="90"/>
    <x v="11"/>
    <x v="11"/>
  </r>
  <r>
    <s v="TXN01814"/>
    <d v="2025-12-05T00:00:00"/>
    <x v="20"/>
    <s v="Pantoprazole 40mg"/>
    <x v="2"/>
    <x v="1"/>
    <s v="Jan Aushadhi"/>
    <n v="2"/>
    <n v="50.5"/>
    <x v="0"/>
    <n v="101"/>
    <x v="11"/>
    <x v="11"/>
  </r>
  <r>
    <s v="TXN01815"/>
    <d v="2025-12-05T00:00:00"/>
    <x v="10"/>
    <s v="Cetirizine 10mg"/>
    <x v="6"/>
    <x v="0"/>
    <s v="Cipla"/>
    <n v="2"/>
    <n v="26.26"/>
    <x v="0"/>
    <n v="52.52"/>
    <x v="11"/>
    <x v="11"/>
  </r>
  <r>
    <s v="TXN01816"/>
    <d v="2025-12-06T00:00:00"/>
    <x v="0"/>
    <s v="Paracetamol 650mg"/>
    <x v="0"/>
    <x v="0"/>
    <s v="Micro Labs"/>
    <n v="3"/>
    <n v="32"/>
    <x v="0"/>
    <n v="96"/>
    <x v="11"/>
    <x v="11"/>
  </r>
  <r>
    <s v="TXN01817"/>
    <d v="2025-12-06T00:00:00"/>
    <x v="28"/>
    <s v="Glimepiride 2mg"/>
    <x v="7"/>
    <x v="1"/>
    <s v="Jan Aushadhi"/>
    <n v="12"/>
    <n v="42.42"/>
    <x v="0"/>
    <n v="509.04"/>
    <x v="11"/>
    <x v="11"/>
  </r>
  <r>
    <s v="TXN01818"/>
    <d v="2025-12-06T00:00:00"/>
    <x v="28"/>
    <s v="Glimepiride 2mg"/>
    <x v="7"/>
    <x v="1"/>
    <s v="Jan Aushadhi"/>
    <n v="12"/>
    <n v="42.42"/>
    <x v="0"/>
    <n v="509.04"/>
    <x v="11"/>
    <x v="11"/>
  </r>
  <r>
    <s v="TXN01819"/>
    <d v="2025-12-06T00:00:00"/>
    <x v="22"/>
    <s v="Atorvastatin 10mg"/>
    <x v="3"/>
    <x v="0"/>
    <s v="Zydus"/>
    <n v="3"/>
    <n v="92"/>
    <x v="2"/>
    <n v="276"/>
    <x v="11"/>
    <x v="11"/>
  </r>
  <r>
    <s v="TXN01820"/>
    <d v="2025-12-06T00:00:00"/>
    <x v="14"/>
    <s v="Pantoprazole 40mg"/>
    <x v="2"/>
    <x v="0"/>
    <s v="Alkem"/>
    <n v="1"/>
    <n v="153.52000000000001"/>
    <x v="0"/>
    <n v="153.52000000000001"/>
    <x v="11"/>
    <x v="11"/>
  </r>
  <r>
    <s v="TXN01821"/>
    <d v="2025-12-06T00:00:00"/>
    <x v="10"/>
    <s v="Cetirizine 10mg"/>
    <x v="6"/>
    <x v="0"/>
    <s v="Cipla"/>
    <n v="3"/>
    <n v="26"/>
    <x v="2"/>
    <n v="78"/>
    <x v="11"/>
    <x v="11"/>
  </r>
  <r>
    <s v="TXN01822"/>
    <d v="2025-12-06T00:00:00"/>
    <x v="15"/>
    <s v="Cetirizine 10mg"/>
    <x v="6"/>
    <x v="1"/>
    <s v="Jan Aushadhi"/>
    <n v="5"/>
    <n v="8.08"/>
    <x v="2"/>
    <n v="40.4"/>
    <x v="11"/>
    <x v="11"/>
  </r>
  <r>
    <s v="TXN01823"/>
    <d v="2025-12-06T00:00:00"/>
    <x v="15"/>
    <s v="Cetirizine 10mg"/>
    <x v="6"/>
    <x v="1"/>
    <s v="Jan Aushadhi"/>
    <n v="3"/>
    <n v="8.08"/>
    <x v="0"/>
    <n v="24.240000000000002"/>
    <x v="11"/>
    <x v="11"/>
  </r>
  <r>
    <s v="TXN01824"/>
    <d v="2025-12-06T00:00:00"/>
    <x v="31"/>
    <s v="Montelukast+Levocetirizine"/>
    <x v="8"/>
    <x v="1"/>
    <s v="Jan Aushadhi"/>
    <n v="1"/>
    <n v="70.7"/>
    <x v="0"/>
    <n v="70.7"/>
    <x v="11"/>
    <x v="11"/>
  </r>
  <r>
    <s v="TXN01825"/>
    <d v="2025-12-07T00:00:00"/>
    <x v="16"/>
    <s v="Azithromycin 500mg"/>
    <x v="5"/>
    <x v="0"/>
    <s v="Alembic"/>
    <n v="1"/>
    <n v="126.25"/>
    <x v="0"/>
    <n v="126.25"/>
    <x v="11"/>
    <x v="11"/>
  </r>
  <r>
    <s v="TXN01826"/>
    <d v="2025-12-07T00:00:00"/>
    <x v="13"/>
    <s v="Metformin 500mg"/>
    <x v="7"/>
    <x v="0"/>
    <s v="USV"/>
    <n v="6"/>
    <n v="32.32"/>
    <x v="0"/>
    <n v="193.92000000000002"/>
    <x v="11"/>
    <x v="11"/>
  </r>
  <r>
    <s v="TXN01827"/>
    <d v="2025-12-07T00:00:00"/>
    <x v="1"/>
    <s v="Amlodipine 5mg"/>
    <x v="1"/>
    <x v="1"/>
    <s v="Jan Aushadhi"/>
    <n v="3"/>
    <n v="15.15"/>
    <x v="0"/>
    <n v="45.45"/>
    <x v="11"/>
    <x v="11"/>
  </r>
  <r>
    <s v="TXN01828"/>
    <d v="2025-12-07T00:00:00"/>
    <x v="1"/>
    <s v="Amlodipine 5mg"/>
    <x v="1"/>
    <x v="1"/>
    <s v="Jan Aushadhi"/>
    <n v="1"/>
    <n v="15.15"/>
    <x v="3"/>
    <n v="15.15"/>
    <x v="11"/>
    <x v="11"/>
  </r>
  <r>
    <s v="TXN01829"/>
    <d v="2025-12-07T00:00:00"/>
    <x v="20"/>
    <s v="Pantoprazole 40mg"/>
    <x v="2"/>
    <x v="1"/>
    <s v="Jan Aushadhi"/>
    <n v="1"/>
    <n v="50.5"/>
    <x v="0"/>
    <n v="50.5"/>
    <x v="11"/>
    <x v="11"/>
  </r>
  <r>
    <s v="TXN01830"/>
    <d v="2025-12-07T00:00:00"/>
    <x v="3"/>
    <s v="Omeprazole 20mg"/>
    <x v="2"/>
    <x v="1"/>
    <s v="Jan Aushadhi"/>
    <n v="1"/>
    <n v="20"/>
    <x v="0"/>
    <n v="20"/>
    <x v="11"/>
    <x v="11"/>
  </r>
  <r>
    <s v="TXN01831"/>
    <d v="2025-12-07T00:00:00"/>
    <x v="10"/>
    <s v="Cetirizine 10mg"/>
    <x v="6"/>
    <x v="0"/>
    <s v="Cipla"/>
    <n v="1"/>
    <n v="26"/>
    <x v="1"/>
    <n v="26"/>
    <x v="11"/>
    <x v="11"/>
  </r>
  <r>
    <s v="TXN01832"/>
    <d v="2025-12-07T00:00:00"/>
    <x v="15"/>
    <s v="Cetirizine 10mg"/>
    <x v="6"/>
    <x v="1"/>
    <s v="Jan Aushadhi"/>
    <n v="2"/>
    <n v="8.08"/>
    <x v="2"/>
    <n v="16.16"/>
    <x v="11"/>
    <x v="11"/>
  </r>
  <r>
    <s v="TXN01833"/>
    <d v="2025-12-07T00:00:00"/>
    <x v="9"/>
    <s v="Ibuprofen 400mg"/>
    <x v="0"/>
    <x v="0"/>
    <s v="Abbott"/>
    <n v="3"/>
    <n v="42"/>
    <x v="3"/>
    <n v="126"/>
    <x v="11"/>
    <x v="11"/>
  </r>
  <r>
    <s v="TXN01834"/>
    <d v="2025-12-08T00:00:00"/>
    <x v="0"/>
    <s v="Paracetamol 650mg"/>
    <x v="0"/>
    <x v="0"/>
    <s v="Micro Labs"/>
    <n v="3"/>
    <n v="32.32"/>
    <x v="3"/>
    <n v="96.960000000000008"/>
    <x v="11"/>
    <x v="11"/>
  </r>
  <r>
    <s v="TXN01835"/>
    <d v="2025-12-08T00:00:00"/>
    <x v="0"/>
    <s v="Paracetamol 650mg"/>
    <x v="0"/>
    <x v="0"/>
    <s v="Micro Labs"/>
    <n v="1"/>
    <n v="32.32"/>
    <x v="2"/>
    <n v="32.32"/>
    <x v="11"/>
    <x v="11"/>
  </r>
  <r>
    <s v="TXN01836"/>
    <d v="2025-12-08T00:00:00"/>
    <x v="16"/>
    <s v="Azithromycin 500mg"/>
    <x v="5"/>
    <x v="0"/>
    <s v="Alembic"/>
    <n v="1"/>
    <n v="125"/>
    <x v="0"/>
    <n v="125"/>
    <x v="11"/>
    <x v="11"/>
  </r>
  <r>
    <s v="TXN01837"/>
    <d v="2025-12-08T00:00:00"/>
    <x v="24"/>
    <s v="Glimepiride 2mg"/>
    <x v="7"/>
    <x v="0"/>
    <s v="Sanofi"/>
    <n v="3"/>
    <n v="191.9"/>
    <x v="2"/>
    <n v="575.70000000000005"/>
    <x v="11"/>
    <x v="11"/>
  </r>
  <r>
    <s v="TXN01838"/>
    <d v="2025-12-08T00:00:00"/>
    <x v="3"/>
    <s v="Omeprazole 20mg"/>
    <x v="2"/>
    <x v="1"/>
    <s v="Jan Aushadhi"/>
    <n v="1"/>
    <n v="20.2"/>
    <x v="0"/>
    <n v="20.2"/>
    <x v="11"/>
    <x v="11"/>
  </r>
  <r>
    <s v="TXN01839"/>
    <d v="2025-12-08T00:00:00"/>
    <x v="21"/>
    <s v="Montelukast+Levocetirizine"/>
    <x v="8"/>
    <x v="0"/>
    <s v="Sun Pharma"/>
    <n v="4"/>
    <n v="183.82"/>
    <x v="0"/>
    <n v="735.28"/>
    <x v="11"/>
    <x v="11"/>
  </r>
  <r>
    <s v="TXN01840"/>
    <d v="2025-12-09T00:00:00"/>
    <x v="13"/>
    <s v="Metformin 500mg"/>
    <x v="7"/>
    <x v="0"/>
    <s v="USV"/>
    <n v="1"/>
    <n v="32.32"/>
    <x v="0"/>
    <n v="32.32"/>
    <x v="11"/>
    <x v="11"/>
  </r>
  <r>
    <s v="TXN01841"/>
    <d v="2025-12-09T00:00:00"/>
    <x v="6"/>
    <s v="Telmisartan 40mg"/>
    <x v="1"/>
    <x v="1"/>
    <s v="Jan Aushadhi"/>
    <n v="12"/>
    <n v="46.46"/>
    <x v="1"/>
    <n v="557.52"/>
    <x v="11"/>
    <x v="11"/>
  </r>
  <r>
    <s v="TXN01842"/>
    <d v="2025-12-09T00:00:00"/>
    <x v="9"/>
    <s v="Ibuprofen 400mg"/>
    <x v="0"/>
    <x v="0"/>
    <s v="Abbott"/>
    <n v="2"/>
    <n v="42.42"/>
    <x v="0"/>
    <n v="84.84"/>
    <x v="11"/>
    <x v="11"/>
  </r>
  <r>
    <s v="TXN01843"/>
    <d v="2025-12-09T00:00:00"/>
    <x v="4"/>
    <s v="Ibuprofen 400mg"/>
    <x v="0"/>
    <x v="1"/>
    <s v="Jan Aushadhi"/>
    <n v="1"/>
    <n v="15.15"/>
    <x v="2"/>
    <n v="15.15"/>
    <x v="11"/>
    <x v="11"/>
  </r>
  <r>
    <s v="TXN01844"/>
    <d v="2025-12-10T00:00:00"/>
    <x v="19"/>
    <s v="Metformin 500mg"/>
    <x v="7"/>
    <x v="1"/>
    <s v="Jan Aushadhi"/>
    <n v="1"/>
    <n v="12"/>
    <x v="0"/>
    <n v="12"/>
    <x v="11"/>
    <x v="11"/>
  </r>
  <r>
    <s v="TXN01845"/>
    <d v="2025-12-10T00:00:00"/>
    <x v="19"/>
    <s v="Metformin 500mg"/>
    <x v="7"/>
    <x v="1"/>
    <s v="Jan Aushadhi"/>
    <n v="6"/>
    <n v="12.12"/>
    <x v="0"/>
    <n v="72.72"/>
    <x v="11"/>
    <x v="11"/>
  </r>
  <r>
    <s v="TXN01846"/>
    <d v="2025-12-10T00:00:00"/>
    <x v="25"/>
    <s v="Amlodipine 5mg"/>
    <x v="1"/>
    <x v="0"/>
    <s v="Mankind"/>
    <n v="6"/>
    <n v="45"/>
    <x v="0"/>
    <n v="270"/>
    <x v="11"/>
    <x v="11"/>
  </r>
  <r>
    <s v="TXN01847"/>
    <d v="2025-12-10T00:00:00"/>
    <x v="25"/>
    <s v="Amlodipine 5mg"/>
    <x v="1"/>
    <x v="0"/>
    <s v="Mankind"/>
    <n v="2"/>
    <n v="45.45"/>
    <x v="1"/>
    <n v="90.9"/>
    <x v="11"/>
    <x v="11"/>
  </r>
  <r>
    <s v="TXN01848"/>
    <d v="2025-12-10T00:00:00"/>
    <x v="14"/>
    <s v="Pantoprazole 40mg"/>
    <x v="2"/>
    <x v="0"/>
    <s v="Alkem"/>
    <n v="1"/>
    <n v="153.52000000000001"/>
    <x v="0"/>
    <n v="153.52000000000001"/>
    <x v="11"/>
    <x v="11"/>
  </r>
  <r>
    <s v="TXN01849"/>
    <d v="2025-12-10T00:00:00"/>
    <x v="2"/>
    <s v="Omeprazole 20mg"/>
    <x v="2"/>
    <x v="0"/>
    <s v="Dr. Reddy's"/>
    <n v="3"/>
    <n v="58"/>
    <x v="0"/>
    <n v="174"/>
    <x v="11"/>
    <x v="11"/>
  </r>
  <r>
    <s v="TXN01850"/>
    <d v="2025-12-10T00:00:00"/>
    <x v="3"/>
    <s v="Omeprazole 20mg"/>
    <x v="2"/>
    <x v="1"/>
    <s v="Jan Aushadhi"/>
    <n v="1"/>
    <n v="20.2"/>
    <x v="2"/>
    <n v="20.2"/>
    <x v="11"/>
    <x v="11"/>
  </r>
  <r>
    <s v="TXN01851"/>
    <d v="2025-12-10T00:00:00"/>
    <x v="10"/>
    <s v="Cetirizine 10mg"/>
    <x v="6"/>
    <x v="0"/>
    <s v="Cipla"/>
    <n v="1"/>
    <n v="26"/>
    <x v="2"/>
    <n v="26"/>
    <x v="11"/>
    <x v="11"/>
  </r>
  <r>
    <s v="TXN01852"/>
    <d v="2025-12-11T00:00:00"/>
    <x v="0"/>
    <s v="Paracetamol 650mg"/>
    <x v="0"/>
    <x v="0"/>
    <s v="Micro Labs"/>
    <n v="1"/>
    <n v="32"/>
    <x v="1"/>
    <n v="32"/>
    <x v="11"/>
    <x v="11"/>
  </r>
  <r>
    <s v="TXN01853"/>
    <d v="2025-12-11T00:00:00"/>
    <x v="26"/>
    <s v="Atorvastatin 10mg"/>
    <x v="3"/>
    <x v="1"/>
    <s v="Jan Aushadhi"/>
    <n v="6"/>
    <n v="35.35"/>
    <x v="0"/>
    <n v="212.10000000000002"/>
    <x v="11"/>
    <x v="11"/>
  </r>
  <r>
    <s v="TXN01854"/>
    <d v="2025-12-11T00:00:00"/>
    <x v="21"/>
    <s v="Montelukast+Levocetirizine"/>
    <x v="8"/>
    <x v="0"/>
    <s v="Sun Pharma"/>
    <n v="1"/>
    <n v="183.82"/>
    <x v="2"/>
    <n v="183.82"/>
    <x v="11"/>
    <x v="11"/>
  </r>
  <r>
    <s v="TXN01855"/>
    <d v="2025-12-11T00:00:00"/>
    <x v="29"/>
    <s v="Diclofenac 50mg"/>
    <x v="0"/>
    <x v="1"/>
    <s v="Jan Aushadhi"/>
    <n v="1"/>
    <n v="20.2"/>
    <x v="3"/>
    <n v="20.2"/>
    <x v="11"/>
    <x v="11"/>
  </r>
  <r>
    <s v="TXN01856"/>
    <d v="2025-12-12T00:00:00"/>
    <x v="12"/>
    <s v="Amoxicillin+Clavulanate 625mg"/>
    <x v="5"/>
    <x v="1"/>
    <s v="Jan Aushadhi"/>
    <n v="1"/>
    <n v="95.95"/>
    <x v="3"/>
    <n v="95.95"/>
    <x v="11"/>
    <x v="11"/>
  </r>
  <r>
    <s v="TXN01857"/>
    <d v="2025-12-12T00:00:00"/>
    <x v="22"/>
    <s v="Atorvastatin 10mg"/>
    <x v="3"/>
    <x v="0"/>
    <s v="Zydus"/>
    <n v="1"/>
    <n v="92.92"/>
    <x v="3"/>
    <n v="92.92"/>
    <x v="11"/>
    <x v="11"/>
  </r>
  <r>
    <s v="TXN01858"/>
    <d v="2025-12-12T00:00:00"/>
    <x v="5"/>
    <s v="Rosuvastatin 10mg"/>
    <x v="3"/>
    <x v="0"/>
    <s v="Sun Pharma"/>
    <n v="1"/>
    <n v="165"/>
    <x v="3"/>
    <n v="165"/>
    <x v="11"/>
    <x v="11"/>
  </r>
  <r>
    <s v="TXN01859"/>
    <d v="2025-12-12T00:00:00"/>
    <x v="25"/>
    <s v="Amlodipine 5mg"/>
    <x v="1"/>
    <x v="0"/>
    <s v="Mankind"/>
    <n v="1"/>
    <n v="45.45"/>
    <x v="0"/>
    <n v="45.45"/>
    <x v="11"/>
    <x v="11"/>
  </r>
  <r>
    <s v="TXN01860"/>
    <d v="2025-12-12T00:00:00"/>
    <x v="10"/>
    <s v="Cetirizine 10mg"/>
    <x v="6"/>
    <x v="0"/>
    <s v="Cipla"/>
    <n v="1"/>
    <n v="26.26"/>
    <x v="1"/>
    <n v="26.26"/>
    <x v="11"/>
    <x v="11"/>
  </r>
  <r>
    <s v="TXN01861"/>
    <d v="2025-12-13T00:00:00"/>
    <x v="18"/>
    <s v="Paracetamol 650mg"/>
    <x v="0"/>
    <x v="1"/>
    <s v="Jan Aushadhi"/>
    <n v="5"/>
    <n v="14.14"/>
    <x v="2"/>
    <n v="70.7"/>
    <x v="11"/>
    <x v="11"/>
  </r>
  <r>
    <s v="TXN01862"/>
    <d v="2025-12-13T00:00:00"/>
    <x v="8"/>
    <s v="Azithromycin 500mg"/>
    <x v="5"/>
    <x v="1"/>
    <s v="Jan Aushadhi"/>
    <n v="3"/>
    <n v="55.55"/>
    <x v="2"/>
    <n v="166.64999999999998"/>
    <x v="11"/>
    <x v="11"/>
  </r>
  <r>
    <s v="TXN01863"/>
    <d v="2025-12-13T00:00:00"/>
    <x v="11"/>
    <s v="Amoxicillin+Clavulanate 625mg"/>
    <x v="5"/>
    <x v="0"/>
    <s v="GSK"/>
    <n v="3"/>
    <n v="207.05"/>
    <x v="3"/>
    <n v="621.15000000000009"/>
    <x v="11"/>
    <x v="11"/>
  </r>
  <r>
    <s v="TXN01864"/>
    <d v="2025-12-13T00:00:00"/>
    <x v="22"/>
    <s v="Atorvastatin 10mg"/>
    <x v="3"/>
    <x v="0"/>
    <s v="Zydus"/>
    <n v="3"/>
    <n v="92.92"/>
    <x v="0"/>
    <n v="278.76"/>
    <x v="11"/>
    <x v="11"/>
  </r>
  <r>
    <s v="TXN01865"/>
    <d v="2025-12-13T00:00:00"/>
    <x v="9"/>
    <s v="Ibuprofen 400mg"/>
    <x v="0"/>
    <x v="0"/>
    <s v="Abbott"/>
    <n v="4"/>
    <n v="42.42"/>
    <x v="3"/>
    <n v="169.68"/>
    <x v="11"/>
    <x v="11"/>
  </r>
  <r>
    <s v="TXN01866"/>
    <d v="2025-12-13T00:00:00"/>
    <x v="7"/>
    <s v="Vitamin B-Complex"/>
    <x v="4"/>
    <x v="0"/>
    <s v="Pfizer"/>
    <n v="5"/>
    <n v="46.46"/>
    <x v="0"/>
    <n v="232.3"/>
    <x v="11"/>
    <x v="11"/>
  </r>
  <r>
    <s v="TXN01867"/>
    <d v="2025-12-14T00:00:00"/>
    <x v="19"/>
    <s v="Metformin 500mg"/>
    <x v="7"/>
    <x v="1"/>
    <s v="Jan Aushadhi"/>
    <n v="3"/>
    <n v="12.12"/>
    <x v="1"/>
    <n v="36.36"/>
    <x v="11"/>
    <x v="11"/>
  </r>
  <r>
    <s v="TXN01868"/>
    <d v="2025-12-14T00:00:00"/>
    <x v="1"/>
    <s v="Amlodipine 5mg"/>
    <x v="1"/>
    <x v="1"/>
    <s v="Jan Aushadhi"/>
    <n v="6"/>
    <n v="15.15"/>
    <x v="0"/>
    <n v="90.9"/>
    <x v="11"/>
    <x v="11"/>
  </r>
  <r>
    <s v="TXN01869"/>
    <d v="2025-12-14T00:00:00"/>
    <x v="14"/>
    <s v="Pantoprazole 40mg"/>
    <x v="2"/>
    <x v="0"/>
    <s v="Alkem"/>
    <n v="3"/>
    <n v="152"/>
    <x v="0"/>
    <n v="456"/>
    <x v="11"/>
    <x v="11"/>
  </r>
  <r>
    <s v="TXN01870"/>
    <d v="2025-12-14T00:00:00"/>
    <x v="20"/>
    <s v="Pantoprazole 40mg"/>
    <x v="2"/>
    <x v="1"/>
    <s v="Jan Aushadhi"/>
    <n v="3"/>
    <n v="50"/>
    <x v="2"/>
    <n v="150"/>
    <x v="11"/>
    <x v="11"/>
  </r>
  <r>
    <s v="TXN01871"/>
    <d v="2025-12-15T00:00:00"/>
    <x v="0"/>
    <s v="Paracetamol 650mg"/>
    <x v="0"/>
    <x v="0"/>
    <s v="Micro Labs"/>
    <n v="1"/>
    <n v="32.32"/>
    <x v="0"/>
    <n v="32.32"/>
    <x v="11"/>
    <x v="11"/>
  </r>
  <r>
    <s v="TXN01872"/>
    <d v="2025-12-15T00:00:00"/>
    <x v="18"/>
    <s v="Paracetamol 650mg"/>
    <x v="0"/>
    <x v="1"/>
    <s v="Jan Aushadhi"/>
    <n v="5"/>
    <n v="14"/>
    <x v="2"/>
    <n v="70"/>
    <x v="11"/>
    <x v="11"/>
  </r>
  <r>
    <s v="TXN01873"/>
    <d v="2025-12-15T00:00:00"/>
    <x v="16"/>
    <s v="Azithromycin 500mg"/>
    <x v="5"/>
    <x v="0"/>
    <s v="Alembic"/>
    <n v="1"/>
    <n v="126.25"/>
    <x v="0"/>
    <n v="126.25"/>
    <x v="11"/>
    <x v="11"/>
  </r>
  <r>
    <s v="TXN01874"/>
    <d v="2025-12-15T00:00:00"/>
    <x v="13"/>
    <s v="Metformin 500mg"/>
    <x v="7"/>
    <x v="0"/>
    <s v="USV"/>
    <n v="6"/>
    <n v="32.32"/>
    <x v="2"/>
    <n v="193.92000000000002"/>
    <x v="11"/>
    <x v="11"/>
  </r>
  <r>
    <s v="TXN01875"/>
    <d v="2025-12-15T00:00:00"/>
    <x v="19"/>
    <s v="Metformin 500mg"/>
    <x v="7"/>
    <x v="1"/>
    <s v="Jan Aushadhi"/>
    <n v="1"/>
    <n v="12.12"/>
    <x v="0"/>
    <n v="12.12"/>
    <x v="11"/>
    <x v="11"/>
  </r>
  <r>
    <s v="TXN01876"/>
    <d v="2025-12-15T00:00:00"/>
    <x v="22"/>
    <s v="Atorvastatin 10mg"/>
    <x v="3"/>
    <x v="0"/>
    <s v="Zydus"/>
    <n v="3"/>
    <n v="92"/>
    <x v="0"/>
    <n v="276"/>
    <x v="11"/>
    <x v="11"/>
  </r>
  <r>
    <s v="TXN01877"/>
    <d v="2025-12-15T00:00:00"/>
    <x v="7"/>
    <s v="Vitamin B-Complex"/>
    <x v="4"/>
    <x v="0"/>
    <s v="Pfizer"/>
    <n v="5"/>
    <n v="46"/>
    <x v="2"/>
    <n v="230"/>
    <x v="11"/>
    <x v="11"/>
  </r>
  <r>
    <s v="TXN01878"/>
    <d v="2025-12-16T00:00:00"/>
    <x v="0"/>
    <s v="Paracetamol 650mg"/>
    <x v="0"/>
    <x v="0"/>
    <s v="Micro Labs"/>
    <n v="5"/>
    <n v="32.32"/>
    <x v="2"/>
    <n v="161.6"/>
    <x v="11"/>
    <x v="11"/>
  </r>
  <r>
    <s v="TXN01879"/>
    <d v="2025-12-16T00:00:00"/>
    <x v="13"/>
    <s v="Metformin 500mg"/>
    <x v="7"/>
    <x v="0"/>
    <s v="USV"/>
    <n v="12"/>
    <n v="32.32"/>
    <x v="3"/>
    <n v="387.84000000000003"/>
    <x v="11"/>
    <x v="11"/>
  </r>
  <r>
    <s v="TXN01880"/>
    <d v="2025-12-16T00:00:00"/>
    <x v="19"/>
    <s v="Metformin 500mg"/>
    <x v="7"/>
    <x v="1"/>
    <s v="Jan Aushadhi"/>
    <n v="3"/>
    <n v="12.12"/>
    <x v="1"/>
    <n v="36.36"/>
    <x v="11"/>
    <x v="11"/>
  </r>
  <r>
    <s v="TXN01881"/>
    <d v="2025-12-16T00:00:00"/>
    <x v="1"/>
    <s v="Amlodipine 5mg"/>
    <x v="1"/>
    <x v="1"/>
    <s v="Jan Aushadhi"/>
    <n v="1"/>
    <n v="15.15"/>
    <x v="0"/>
    <n v="15.15"/>
    <x v="11"/>
    <x v="11"/>
  </r>
  <r>
    <s v="TXN01882"/>
    <d v="2025-12-16T00:00:00"/>
    <x v="1"/>
    <s v="Amlodipine 5mg"/>
    <x v="1"/>
    <x v="1"/>
    <s v="Jan Aushadhi"/>
    <n v="6"/>
    <n v="15.15"/>
    <x v="0"/>
    <n v="90.9"/>
    <x v="11"/>
    <x v="11"/>
  </r>
  <r>
    <s v="TXN01883"/>
    <d v="2025-12-16T00:00:00"/>
    <x v="15"/>
    <s v="Cetirizine 10mg"/>
    <x v="6"/>
    <x v="1"/>
    <s v="Jan Aushadhi"/>
    <n v="3"/>
    <n v="8.08"/>
    <x v="3"/>
    <n v="24.240000000000002"/>
    <x v="11"/>
    <x v="11"/>
  </r>
  <r>
    <s v="TXN01884"/>
    <d v="2025-12-16T00:00:00"/>
    <x v="7"/>
    <s v="Vitamin B-Complex"/>
    <x v="4"/>
    <x v="0"/>
    <s v="Pfizer"/>
    <n v="5"/>
    <n v="46.46"/>
    <x v="0"/>
    <n v="232.3"/>
    <x v="11"/>
    <x v="11"/>
  </r>
  <r>
    <s v="TXN01885"/>
    <d v="2025-12-16T00:00:00"/>
    <x v="27"/>
    <s v="Vitamin B-Complex"/>
    <x v="4"/>
    <x v="1"/>
    <s v="Jan Aushadhi"/>
    <n v="4"/>
    <n v="18"/>
    <x v="0"/>
    <n v="72"/>
    <x v="11"/>
    <x v="11"/>
  </r>
  <r>
    <s v="TXN01886"/>
    <d v="2025-12-17T00:00:00"/>
    <x v="11"/>
    <s v="Amoxicillin+Clavulanate 625mg"/>
    <x v="5"/>
    <x v="0"/>
    <s v="GSK"/>
    <n v="3"/>
    <n v="205"/>
    <x v="2"/>
    <n v="615"/>
    <x v="11"/>
    <x v="11"/>
  </r>
  <r>
    <s v="TXN01887"/>
    <d v="2025-12-17T00:00:00"/>
    <x v="17"/>
    <s v="Rosuvastatin 10mg"/>
    <x v="3"/>
    <x v="1"/>
    <s v="Jan Aushadhi"/>
    <n v="3"/>
    <n v="58.58"/>
    <x v="0"/>
    <n v="175.74"/>
    <x v="11"/>
    <x v="11"/>
  </r>
  <r>
    <s v="TXN01888"/>
    <d v="2025-12-17T00:00:00"/>
    <x v="25"/>
    <s v="Amlodipine 5mg"/>
    <x v="1"/>
    <x v="0"/>
    <s v="Mankind"/>
    <n v="2"/>
    <n v="45.45"/>
    <x v="0"/>
    <n v="90.9"/>
    <x v="11"/>
    <x v="11"/>
  </r>
  <r>
    <s v="TXN01889"/>
    <d v="2025-12-17T00:00:00"/>
    <x v="10"/>
    <s v="Cetirizine 10mg"/>
    <x v="6"/>
    <x v="0"/>
    <s v="Cipla"/>
    <n v="1"/>
    <n v="26.26"/>
    <x v="2"/>
    <n v="26.26"/>
    <x v="11"/>
    <x v="11"/>
  </r>
  <r>
    <s v="TXN01890"/>
    <d v="2025-12-17T00:00:00"/>
    <x v="21"/>
    <s v="Montelukast+Levocetirizine"/>
    <x v="8"/>
    <x v="0"/>
    <s v="Sun Pharma"/>
    <n v="1"/>
    <n v="183.82"/>
    <x v="0"/>
    <n v="183.82"/>
    <x v="11"/>
    <x v="11"/>
  </r>
  <r>
    <s v="TXN01891"/>
    <d v="2025-12-18T00:00:00"/>
    <x v="18"/>
    <s v="Paracetamol 650mg"/>
    <x v="0"/>
    <x v="1"/>
    <s v="Jan Aushadhi"/>
    <n v="1"/>
    <n v="14.14"/>
    <x v="1"/>
    <n v="14.14"/>
    <x v="11"/>
    <x v="11"/>
  </r>
  <r>
    <s v="TXN01892"/>
    <d v="2025-12-18T00:00:00"/>
    <x v="11"/>
    <s v="Amoxicillin+Clavulanate 625mg"/>
    <x v="5"/>
    <x v="0"/>
    <s v="GSK"/>
    <n v="2"/>
    <n v="207.05"/>
    <x v="2"/>
    <n v="414.1"/>
    <x v="11"/>
    <x v="11"/>
  </r>
  <r>
    <s v="TXN01893"/>
    <d v="2025-12-18T00:00:00"/>
    <x v="22"/>
    <s v="Atorvastatin 10mg"/>
    <x v="3"/>
    <x v="0"/>
    <s v="Zydus"/>
    <n v="6"/>
    <n v="92.92"/>
    <x v="0"/>
    <n v="557.52"/>
    <x v="11"/>
    <x v="11"/>
  </r>
  <r>
    <s v="TXN01894"/>
    <d v="2025-12-18T00:00:00"/>
    <x v="17"/>
    <s v="Rosuvastatin 10mg"/>
    <x v="3"/>
    <x v="1"/>
    <s v="Jan Aushadhi"/>
    <n v="6"/>
    <n v="58.58"/>
    <x v="2"/>
    <n v="351.48"/>
    <x v="11"/>
    <x v="11"/>
  </r>
  <r>
    <s v="TXN01895"/>
    <d v="2025-12-18T00:00:00"/>
    <x v="1"/>
    <s v="Amlodipine 5mg"/>
    <x v="1"/>
    <x v="1"/>
    <s v="Jan Aushadhi"/>
    <n v="6"/>
    <n v="15.15"/>
    <x v="0"/>
    <n v="90.9"/>
    <x v="11"/>
    <x v="11"/>
  </r>
  <r>
    <s v="TXN01896"/>
    <d v="2025-12-18T00:00:00"/>
    <x v="7"/>
    <s v="Vitamin B-Complex"/>
    <x v="4"/>
    <x v="0"/>
    <s v="Pfizer"/>
    <n v="3"/>
    <n v="46.46"/>
    <x v="3"/>
    <n v="139.38"/>
    <x v="11"/>
    <x v="11"/>
  </r>
  <r>
    <s v="TXN01897"/>
    <d v="2025-12-19T00:00:00"/>
    <x v="0"/>
    <s v="Paracetamol 650mg"/>
    <x v="0"/>
    <x v="0"/>
    <s v="Micro Labs"/>
    <n v="1"/>
    <n v="32.32"/>
    <x v="0"/>
    <n v="32.32"/>
    <x v="11"/>
    <x v="11"/>
  </r>
  <r>
    <s v="TXN01898"/>
    <d v="2025-12-19T00:00:00"/>
    <x v="24"/>
    <s v="Glimepiride 2mg"/>
    <x v="7"/>
    <x v="0"/>
    <s v="Sanofi"/>
    <n v="1"/>
    <n v="190"/>
    <x v="0"/>
    <n v="190"/>
    <x v="11"/>
    <x v="11"/>
  </r>
  <r>
    <s v="TXN01899"/>
    <d v="2025-12-19T00:00:00"/>
    <x v="6"/>
    <s v="Telmisartan 40mg"/>
    <x v="1"/>
    <x v="1"/>
    <s v="Jan Aushadhi"/>
    <n v="1"/>
    <n v="46"/>
    <x v="3"/>
    <n v="46"/>
    <x v="11"/>
    <x v="11"/>
  </r>
  <r>
    <s v="TXN01900"/>
    <d v="2025-12-19T00:00:00"/>
    <x v="20"/>
    <s v="Pantoprazole 40mg"/>
    <x v="2"/>
    <x v="1"/>
    <s v="Jan Aushadhi"/>
    <n v="3"/>
    <n v="50"/>
    <x v="2"/>
    <n v="150"/>
    <x v="11"/>
    <x v="11"/>
  </r>
  <r>
    <s v="TXN01901"/>
    <d v="2025-12-20T00:00:00"/>
    <x v="0"/>
    <s v="Paracetamol 650mg"/>
    <x v="0"/>
    <x v="0"/>
    <s v="Micro Labs"/>
    <n v="1"/>
    <n v="32.32"/>
    <x v="3"/>
    <n v="32.32"/>
    <x v="11"/>
    <x v="11"/>
  </r>
  <r>
    <s v="TXN01902"/>
    <d v="2025-12-20T00:00:00"/>
    <x v="11"/>
    <s v="Amoxicillin+Clavulanate 625mg"/>
    <x v="5"/>
    <x v="0"/>
    <s v="GSK"/>
    <n v="3"/>
    <n v="207.05"/>
    <x v="2"/>
    <n v="621.15000000000009"/>
    <x v="11"/>
    <x v="11"/>
  </r>
  <r>
    <s v="TXN01903"/>
    <d v="2025-12-20T00:00:00"/>
    <x v="3"/>
    <s v="Omeprazole 20mg"/>
    <x v="2"/>
    <x v="1"/>
    <s v="Jan Aushadhi"/>
    <n v="3"/>
    <n v="20"/>
    <x v="1"/>
    <n v="60"/>
    <x v="11"/>
    <x v="11"/>
  </r>
  <r>
    <s v="TXN01904"/>
    <d v="2025-12-20T00:00:00"/>
    <x v="10"/>
    <s v="Cetirizine 10mg"/>
    <x v="6"/>
    <x v="0"/>
    <s v="Cipla"/>
    <n v="2"/>
    <n v="26.26"/>
    <x v="3"/>
    <n v="52.52"/>
    <x v="11"/>
    <x v="11"/>
  </r>
  <r>
    <s v="TXN01905"/>
    <d v="2025-12-20T00:00:00"/>
    <x v="21"/>
    <s v="Montelukast+Levocetirizine"/>
    <x v="8"/>
    <x v="0"/>
    <s v="Sun Pharma"/>
    <n v="2"/>
    <n v="183.82"/>
    <x v="0"/>
    <n v="367.64"/>
    <x v="11"/>
    <x v="11"/>
  </r>
  <r>
    <s v="TXN01906"/>
    <d v="2025-12-20T00:00:00"/>
    <x v="29"/>
    <s v="Diclofenac 50mg"/>
    <x v="0"/>
    <x v="1"/>
    <s v="Jan Aushadhi"/>
    <n v="1"/>
    <n v="20"/>
    <x v="1"/>
    <n v="20"/>
    <x v="11"/>
    <x v="11"/>
  </r>
  <r>
    <s v="TXN01907"/>
    <d v="2025-12-21T00:00:00"/>
    <x v="0"/>
    <s v="Paracetamol 650mg"/>
    <x v="0"/>
    <x v="0"/>
    <s v="Micro Labs"/>
    <n v="3"/>
    <n v="32.32"/>
    <x v="0"/>
    <n v="96.960000000000008"/>
    <x v="11"/>
    <x v="11"/>
  </r>
  <r>
    <s v="TXN01908"/>
    <d v="2025-12-21T00:00:00"/>
    <x v="13"/>
    <s v="Metformin 500mg"/>
    <x v="7"/>
    <x v="0"/>
    <s v="USV"/>
    <n v="6"/>
    <n v="32.32"/>
    <x v="1"/>
    <n v="193.92000000000002"/>
    <x v="11"/>
    <x v="11"/>
  </r>
  <r>
    <s v="TXN01909"/>
    <d v="2025-12-21T00:00:00"/>
    <x v="19"/>
    <s v="Metformin 500mg"/>
    <x v="7"/>
    <x v="1"/>
    <s v="Jan Aushadhi"/>
    <n v="1"/>
    <n v="12"/>
    <x v="2"/>
    <n v="12"/>
    <x v="11"/>
    <x v="11"/>
  </r>
  <r>
    <s v="TXN01910"/>
    <d v="2025-12-21T00:00:00"/>
    <x v="5"/>
    <s v="Rosuvastatin 10mg"/>
    <x v="3"/>
    <x v="0"/>
    <s v="Sun Pharma"/>
    <n v="2"/>
    <n v="166.65"/>
    <x v="0"/>
    <n v="333.3"/>
    <x v="11"/>
    <x v="11"/>
  </r>
  <r>
    <s v="TXN01911"/>
    <d v="2025-12-22T00:00:00"/>
    <x v="16"/>
    <s v="Azithromycin 500mg"/>
    <x v="5"/>
    <x v="0"/>
    <s v="Alembic"/>
    <n v="2"/>
    <n v="125"/>
    <x v="1"/>
    <n v="250"/>
    <x v="11"/>
    <x v="11"/>
  </r>
  <r>
    <s v="TXN01912"/>
    <d v="2025-12-22T00:00:00"/>
    <x v="26"/>
    <s v="Atorvastatin 10mg"/>
    <x v="3"/>
    <x v="1"/>
    <s v="Jan Aushadhi"/>
    <n v="2"/>
    <n v="35.35"/>
    <x v="0"/>
    <n v="70.7"/>
    <x v="11"/>
    <x v="11"/>
  </r>
  <r>
    <s v="TXN01913"/>
    <d v="2025-12-22T00:00:00"/>
    <x v="30"/>
    <s v="Telmisartan 40mg"/>
    <x v="1"/>
    <x v="0"/>
    <s v="Glenmark"/>
    <n v="3"/>
    <n v="142"/>
    <x v="0"/>
    <n v="426"/>
    <x v="11"/>
    <x v="11"/>
  </r>
  <r>
    <s v="TXN01914"/>
    <d v="2025-12-22T00:00:00"/>
    <x v="31"/>
    <s v="Montelukast+Levocetirizine"/>
    <x v="8"/>
    <x v="1"/>
    <s v="Jan Aushadhi"/>
    <n v="1"/>
    <n v="70.7"/>
    <x v="0"/>
    <n v="70.7"/>
    <x v="11"/>
    <x v="11"/>
  </r>
  <r>
    <s v="TXN01915"/>
    <d v="2025-12-22T00:00:00"/>
    <x v="9"/>
    <s v="Ibuprofen 400mg"/>
    <x v="0"/>
    <x v="0"/>
    <s v="Abbott"/>
    <n v="1"/>
    <n v="42"/>
    <x v="0"/>
    <n v="42"/>
    <x v="11"/>
    <x v="11"/>
  </r>
  <r>
    <s v="TXN01916"/>
    <d v="2025-12-22T00:00:00"/>
    <x v="4"/>
    <s v="Ibuprofen 400mg"/>
    <x v="0"/>
    <x v="1"/>
    <s v="Jan Aushadhi"/>
    <n v="4"/>
    <n v="15.15"/>
    <x v="3"/>
    <n v="60.6"/>
    <x v="11"/>
    <x v="11"/>
  </r>
  <r>
    <s v="TXN01917"/>
    <d v="2025-12-22T00:00:00"/>
    <x v="23"/>
    <s v="Diclofenac 50mg"/>
    <x v="0"/>
    <x v="0"/>
    <s v="Novartis"/>
    <n v="1"/>
    <n v="62"/>
    <x v="0"/>
    <n v="62"/>
    <x v="11"/>
    <x v="11"/>
  </r>
  <r>
    <s v="TXN01918"/>
    <d v="2025-12-22T00:00:00"/>
    <x v="27"/>
    <s v="Vitamin B-Complex"/>
    <x v="4"/>
    <x v="1"/>
    <s v="Jan Aushadhi"/>
    <n v="2"/>
    <n v="18.18"/>
    <x v="0"/>
    <n v="36.36"/>
    <x v="11"/>
    <x v="11"/>
  </r>
  <r>
    <s v="TXN01919"/>
    <d v="2025-12-23T00:00:00"/>
    <x v="8"/>
    <s v="Azithromycin 500mg"/>
    <x v="5"/>
    <x v="1"/>
    <s v="Jan Aushadhi"/>
    <n v="1"/>
    <n v="55.55"/>
    <x v="2"/>
    <n v="55.55"/>
    <x v="11"/>
    <x v="11"/>
  </r>
  <r>
    <s v="TXN01920"/>
    <d v="2025-12-23T00:00:00"/>
    <x v="12"/>
    <s v="Amoxicillin+Clavulanate 625mg"/>
    <x v="5"/>
    <x v="1"/>
    <s v="Jan Aushadhi"/>
    <n v="1"/>
    <n v="95.95"/>
    <x v="1"/>
    <n v="95.95"/>
    <x v="11"/>
    <x v="11"/>
  </r>
  <r>
    <s v="TXN01921"/>
    <d v="2025-12-23T00:00:00"/>
    <x v="26"/>
    <s v="Atorvastatin 10mg"/>
    <x v="3"/>
    <x v="1"/>
    <s v="Jan Aushadhi"/>
    <n v="3"/>
    <n v="35.35"/>
    <x v="3"/>
    <n v="106.05000000000001"/>
    <x v="11"/>
    <x v="11"/>
  </r>
  <r>
    <s v="TXN01922"/>
    <d v="2025-12-23T00:00:00"/>
    <x v="20"/>
    <s v="Pantoprazole 40mg"/>
    <x v="2"/>
    <x v="1"/>
    <s v="Jan Aushadhi"/>
    <n v="3"/>
    <n v="50"/>
    <x v="3"/>
    <n v="150"/>
    <x v="11"/>
    <x v="11"/>
  </r>
  <r>
    <s v="TXN01923"/>
    <d v="2025-12-23T00:00:00"/>
    <x v="3"/>
    <s v="Omeprazole 20mg"/>
    <x v="2"/>
    <x v="1"/>
    <s v="Jan Aushadhi"/>
    <n v="2"/>
    <n v="20.2"/>
    <x v="0"/>
    <n v="40.4"/>
    <x v="11"/>
    <x v="11"/>
  </r>
  <r>
    <s v="TXN01924"/>
    <d v="2025-12-23T00:00:00"/>
    <x v="15"/>
    <s v="Cetirizine 10mg"/>
    <x v="6"/>
    <x v="1"/>
    <s v="Jan Aushadhi"/>
    <n v="2"/>
    <n v="8.08"/>
    <x v="0"/>
    <n v="16.16"/>
    <x v="11"/>
    <x v="11"/>
  </r>
  <r>
    <s v="TXN01925"/>
    <d v="2025-12-23T00:00:00"/>
    <x v="21"/>
    <s v="Montelukast+Levocetirizine"/>
    <x v="8"/>
    <x v="0"/>
    <s v="Sun Pharma"/>
    <n v="2"/>
    <n v="183.82"/>
    <x v="1"/>
    <n v="367.64"/>
    <x v="11"/>
    <x v="11"/>
  </r>
  <r>
    <s v="TXN01926"/>
    <d v="2025-12-24T00:00:00"/>
    <x v="0"/>
    <s v="Paracetamol 650mg"/>
    <x v="0"/>
    <x v="0"/>
    <s v="Micro Labs"/>
    <n v="4"/>
    <n v="32.32"/>
    <x v="0"/>
    <n v="129.28"/>
    <x v="11"/>
    <x v="11"/>
  </r>
  <r>
    <s v="TXN01927"/>
    <d v="2025-12-24T00:00:00"/>
    <x v="26"/>
    <s v="Atorvastatin 10mg"/>
    <x v="3"/>
    <x v="1"/>
    <s v="Jan Aushadhi"/>
    <n v="6"/>
    <n v="35.35"/>
    <x v="1"/>
    <n v="212.10000000000002"/>
    <x v="11"/>
    <x v="11"/>
  </r>
  <r>
    <s v="TXN01928"/>
    <d v="2025-12-24T00:00:00"/>
    <x v="25"/>
    <s v="Amlodipine 5mg"/>
    <x v="1"/>
    <x v="0"/>
    <s v="Mankind"/>
    <n v="6"/>
    <n v="45.45"/>
    <x v="0"/>
    <n v="272.70000000000005"/>
    <x v="11"/>
    <x v="11"/>
  </r>
  <r>
    <s v="TXN01929"/>
    <d v="2025-12-24T00:00:00"/>
    <x v="30"/>
    <s v="Telmisartan 40mg"/>
    <x v="1"/>
    <x v="0"/>
    <s v="Glenmark"/>
    <n v="6"/>
    <n v="143.41999999999999"/>
    <x v="3"/>
    <n v="860.52"/>
    <x v="11"/>
    <x v="11"/>
  </r>
  <r>
    <s v="TXN01930"/>
    <d v="2025-12-24T00:00:00"/>
    <x v="23"/>
    <s v="Diclofenac 50mg"/>
    <x v="0"/>
    <x v="0"/>
    <s v="Novartis"/>
    <n v="1"/>
    <n v="62"/>
    <x v="0"/>
    <n v="62"/>
    <x v="11"/>
    <x v="11"/>
  </r>
  <r>
    <s v="TXN01931"/>
    <d v="2025-12-25T00:00:00"/>
    <x v="18"/>
    <s v="Paracetamol 650mg"/>
    <x v="0"/>
    <x v="1"/>
    <s v="Jan Aushadhi"/>
    <n v="1"/>
    <n v="14.14"/>
    <x v="3"/>
    <n v="14.14"/>
    <x v="11"/>
    <x v="11"/>
  </r>
  <r>
    <s v="TXN01932"/>
    <d v="2025-12-25T00:00:00"/>
    <x v="16"/>
    <s v="Azithromycin 500mg"/>
    <x v="5"/>
    <x v="0"/>
    <s v="Alembic"/>
    <n v="1"/>
    <n v="126.25"/>
    <x v="0"/>
    <n v="126.25"/>
    <x v="11"/>
    <x v="11"/>
  </r>
  <r>
    <s v="TXN01933"/>
    <d v="2025-12-25T00:00:00"/>
    <x v="11"/>
    <s v="Amoxicillin+Clavulanate 625mg"/>
    <x v="5"/>
    <x v="0"/>
    <s v="GSK"/>
    <n v="2"/>
    <n v="207.05"/>
    <x v="3"/>
    <n v="414.1"/>
    <x v="11"/>
    <x v="11"/>
  </r>
  <r>
    <s v="TXN01934"/>
    <d v="2025-12-25T00:00:00"/>
    <x v="17"/>
    <s v="Rosuvastatin 10mg"/>
    <x v="3"/>
    <x v="1"/>
    <s v="Jan Aushadhi"/>
    <n v="3"/>
    <n v="58"/>
    <x v="2"/>
    <n v="174"/>
    <x v="11"/>
    <x v="11"/>
  </r>
  <r>
    <s v="TXN01935"/>
    <d v="2025-12-25T00:00:00"/>
    <x v="14"/>
    <s v="Pantoprazole 40mg"/>
    <x v="2"/>
    <x v="0"/>
    <s v="Alkem"/>
    <n v="1"/>
    <n v="152"/>
    <x v="3"/>
    <n v="152"/>
    <x v="11"/>
    <x v="11"/>
  </r>
  <r>
    <s v="TXN01936"/>
    <d v="2025-12-25T00:00:00"/>
    <x v="14"/>
    <s v="Pantoprazole 40mg"/>
    <x v="2"/>
    <x v="0"/>
    <s v="Alkem"/>
    <n v="1"/>
    <n v="153.52000000000001"/>
    <x v="0"/>
    <n v="153.52000000000001"/>
    <x v="11"/>
    <x v="11"/>
  </r>
  <r>
    <s v="TXN01937"/>
    <d v="2025-12-25T00:00:00"/>
    <x v="10"/>
    <s v="Cetirizine 10mg"/>
    <x v="6"/>
    <x v="0"/>
    <s v="Cipla"/>
    <n v="5"/>
    <n v="26.26"/>
    <x v="2"/>
    <n v="131.30000000000001"/>
    <x v="11"/>
    <x v="11"/>
  </r>
  <r>
    <s v="TXN01938"/>
    <d v="2025-12-25T00:00:00"/>
    <x v="29"/>
    <s v="Diclofenac 50mg"/>
    <x v="0"/>
    <x v="1"/>
    <s v="Jan Aushadhi"/>
    <n v="5"/>
    <n v="20.2"/>
    <x v="0"/>
    <n v="101"/>
    <x v="11"/>
    <x v="11"/>
  </r>
  <r>
    <s v="TXN01939"/>
    <d v="2025-12-26T00:00:00"/>
    <x v="13"/>
    <s v="Metformin 500mg"/>
    <x v="7"/>
    <x v="0"/>
    <s v="USV"/>
    <n v="12"/>
    <n v="32"/>
    <x v="0"/>
    <n v="384"/>
    <x v="11"/>
    <x v="11"/>
  </r>
  <r>
    <s v="TXN01940"/>
    <d v="2025-12-26T00:00:00"/>
    <x v="19"/>
    <s v="Metformin 500mg"/>
    <x v="7"/>
    <x v="1"/>
    <s v="Jan Aushadhi"/>
    <n v="3"/>
    <n v="12.12"/>
    <x v="1"/>
    <n v="36.36"/>
    <x v="11"/>
    <x v="11"/>
  </r>
  <r>
    <s v="TXN01941"/>
    <d v="2025-12-26T00:00:00"/>
    <x v="2"/>
    <s v="Omeprazole 20mg"/>
    <x v="2"/>
    <x v="0"/>
    <s v="Dr. Reddy's"/>
    <n v="1"/>
    <n v="58.58"/>
    <x v="0"/>
    <n v="58.58"/>
    <x v="11"/>
    <x v="11"/>
  </r>
  <r>
    <s v="TXN01942"/>
    <d v="2025-12-26T00:00:00"/>
    <x v="10"/>
    <s v="Cetirizine 10mg"/>
    <x v="6"/>
    <x v="0"/>
    <s v="Cipla"/>
    <n v="1"/>
    <n v="26"/>
    <x v="2"/>
    <n v="26"/>
    <x v="11"/>
    <x v="11"/>
  </r>
  <r>
    <s v="TXN01943"/>
    <d v="2025-12-27T00:00:00"/>
    <x v="24"/>
    <s v="Glimepiride 2mg"/>
    <x v="7"/>
    <x v="0"/>
    <s v="Sanofi"/>
    <n v="3"/>
    <n v="191.9"/>
    <x v="0"/>
    <n v="575.70000000000005"/>
    <x v="11"/>
    <x v="11"/>
  </r>
  <r>
    <s v="TXN01944"/>
    <d v="2025-12-27T00:00:00"/>
    <x v="30"/>
    <s v="Telmisartan 40mg"/>
    <x v="1"/>
    <x v="0"/>
    <s v="Glenmark"/>
    <n v="6"/>
    <n v="142"/>
    <x v="1"/>
    <n v="852"/>
    <x v="11"/>
    <x v="11"/>
  </r>
  <r>
    <s v="TXN01945"/>
    <d v="2025-12-27T00:00:00"/>
    <x v="6"/>
    <s v="Telmisartan 40mg"/>
    <x v="1"/>
    <x v="1"/>
    <s v="Jan Aushadhi"/>
    <n v="1"/>
    <n v="46.46"/>
    <x v="1"/>
    <n v="46.46"/>
    <x v="11"/>
    <x v="11"/>
  </r>
  <r>
    <s v="TXN01946"/>
    <d v="2025-12-27T00:00:00"/>
    <x v="15"/>
    <s v="Cetirizine 10mg"/>
    <x v="6"/>
    <x v="1"/>
    <s v="Jan Aushadhi"/>
    <n v="1"/>
    <n v="8.08"/>
    <x v="0"/>
    <n v="8.08"/>
    <x v="11"/>
    <x v="11"/>
  </r>
  <r>
    <s v="TXN01947"/>
    <d v="2025-12-27T00:00:00"/>
    <x v="9"/>
    <s v="Ibuprofen 400mg"/>
    <x v="0"/>
    <x v="0"/>
    <s v="Abbott"/>
    <n v="4"/>
    <n v="42.42"/>
    <x v="0"/>
    <n v="169.68"/>
    <x v="11"/>
    <x v="11"/>
  </r>
  <r>
    <s v="TXN01948"/>
    <d v="2025-12-28T00:00:00"/>
    <x v="0"/>
    <s v="Paracetamol 650mg"/>
    <x v="0"/>
    <x v="0"/>
    <s v="Micro Labs"/>
    <n v="2"/>
    <n v="32"/>
    <x v="0"/>
    <n v="64"/>
    <x v="11"/>
    <x v="11"/>
  </r>
  <r>
    <s v="TXN01949"/>
    <d v="2025-12-28T00:00:00"/>
    <x v="0"/>
    <s v="Paracetamol 650mg"/>
    <x v="0"/>
    <x v="0"/>
    <s v="Micro Labs"/>
    <n v="5"/>
    <n v="32"/>
    <x v="3"/>
    <n v="160"/>
    <x v="11"/>
    <x v="11"/>
  </r>
  <r>
    <s v="TXN01950"/>
    <d v="2025-12-28T00:00:00"/>
    <x v="8"/>
    <s v="Azithromycin 500mg"/>
    <x v="5"/>
    <x v="1"/>
    <s v="Jan Aushadhi"/>
    <n v="3"/>
    <n v="55.55"/>
    <x v="0"/>
    <n v="166.64999999999998"/>
    <x v="11"/>
    <x v="11"/>
  </r>
  <r>
    <s v="TXN01951"/>
    <d v="2025-12-28T00:00:00"/>
    <x v="19"/>
    <s v="Metformin 500mg"/>
    <x v="7"/>
    <x v="1"/>
    <s v="Jan Aushadhi"/>
    <n v="2"/>
    <n v="12.12"/>
    <x v="2"/>
    <n v="24.24"/>
    <x v="11"/>
    <x v="11"/>
  </r>
  <r>
    <s v="TXN01952"/>
    <d v="2025-12-28T00:00:00"/>
    <x v="14"/>
    <s v="Pantoprazole 40mg"/>
    <x v="2"/>
    <x v="0"/>
    <s v="Alkem"/>
    <n v="3"/>
    <n v="153.52000000000001"/>
    <x v="0"/>
    <n v="460.56000000000006"/>
    <x v="11"/>
    <x v="11"/>
  </r>
  <r>
    <s v="TXN01953"/>
    <d v="2025-12-28T00:00:00"/>
    <x v="9"/>
    <s v="Ibuprofen 400mg"/>
    <x v="0"/>
    <x v="0"/>
    <s v="Abbott"/>
    <n v="4"/>
    <n v="42"/>
    <x v="0"/>
    <n v="168"/>
    <x v="11"/>
    <x v="11"/>
  </r>
  <r>
    <s v="TXN01954"/>
    <d v="2025-12-29T00:00:00"/>
    <x v="0"/>
    <s v="Paracetamol 650mg"/>
    <x v="0"/>
    <x v="0"/>
    <s v="Micro Labs"/>
    <n v="1"/>
    <n v="32.32"/>
    <x v="3"/>
    <n v="32.32"/>
    <x v="11"/>
    <x v="11"/>
  </r>
  <r>
    <s v="TXN01955"/>
    <d v="2025-12-29T00:00:00"/>
    <x v="13"/>
    <s v="Metformin 500mg"/>
    <x v="7"/>
    <x v="0"/>
    <s v="USV"/>
    <n v="6"/>
    <n v="32.32"/>
    <x v="0"/>
    <n v="193.92000000000002"/>
    <x v="11"/>
    <x v="11"/>
  </r>
  <r>
    <s v="TXN01956"/>
    <d v="2025-12-29T00:00:00"/>
    <x v="13"/>
    <s v="Metformin 500mg"/>
    <x v="7"/>
    <x v="0"/>
    <s v="USV"/>
    <n v="3"/>
    <n v="32.32"/>
    <x v="0"/>
    <n v="96.960000000000008"/>
    <x v="11"/>
    <x v="11"/>
  </r>
  <r>
    <s v="TXN01957"/>
    <d v="2025-12-29T00:00:00"/>
    <x v="26"/>
    <s v="Atorvastatin 10mg"/>
    <x v="3"/>
    <x v="1"/>
    <s v="Jan Aushadhi"/>
    <n v="1"/>
    <n v="35.35"/>
    <x v="3"/>
    <n v="35.35"/>
    <x v="11"/>
    <x v="11"/>
  </r>
  <r>
    <s v="TXN01958"/>
    <d v="2025-12-29T00:00:00"/>
    <x v="15"/>
    <s v="Cetirizine 10mg"/>
    <x v="6"/>
    <x v="1"/>
    <s v="Jan Aushadhi"/>
    <n v="1"/>
    <n v="8.08"/>
    <x v="2"/>
    <n v="8.08"/>
    <x v="11"/>
    <x v="11"/>
  </r>
  <r>
    <s v="TXN01959"/>
    <d v="2025-12-30T00:00:00"/>
    <x v="30"/>
    <s v="Telmisartan 40mg"/>
    <x v="1"/>
    <x v="0"/>
    <s v="Glenmark"/>
    <n v="12"/>
    <n v="142"/>
    <x v="2"/>
    <n v="1704"/>
    <x v="11"/>
    <x v="11"/>
  </r>
  <r>
    <s v="TXN01960"/>
    <d v="2025-12-30T00:00:00"/>
    <x v="2"/>
    <s v="Omeprazole 20mg"/>
    <x v="2"/>
    <x v="0"/>
    <s v="Dr. Reddy's"/>
    <n v="1"/>
    <n v="58"/>
    <x v="0"/>
    <n v="58"/>
    <x v="11"/>
    <x v="11"/>
  </r>
  <r>
    <s v="TXN01961"/>
    <d v="2025-12-30T00:00:00"/>
    <x v="2"/>
    <s v="Omeprazole 20mg"/>
    <x v="2"/>
    <x v="0"/>
    <s v="Dr. Reddy's"/>
    <n v="1"/>
    <n v="58.58"/>
    <x v="0"/>
    <n v="58.58"/>
    <x v="11"/>
    <x v="11"/>
  </r>
  <r>
    <s v="TXN01962"/>
    <d v="2025-12-30T00:00:00"/>
    <x v="10"/>
    <s v="Cetirizine 10mg"/>
    <x v="6"/>
    <x v="0"/>
    <s v="Cipla"/>
    <n v="2"/>
    <n v="26"/>
    <x v="2"/>
    <n v="52"/>
    <x v="11"/>
    <x v="11"/>
  </r>
  <r>
    <s v="TXN01963"/>
    <d v="2025-12-30T00:00:00"/>
    <x v="10"/>
    <s v="Cetirizine 10mg"/>
    <x v="6"/>
    <x v="0"/>
    <s v="Cipla"/>
    <n v="2"/>
    <n v="26.26"/>
    <x v="0"/>
    <n v="52.52"/>
    <x v="11"/>
    <x v="11"/>
  </r>
  <r>
    <s v="TXN01964"/>
    <d v="2025-12-30T00:00:00"/>
    <x v="15"/>
    <s v="Cetirizine 10mg"/>
    <x v="6"/>
    <x v="1"/>
    <s v="Jan Aushadhi"/>
    <n v="2"/>
    <n v="8.08"/>
    <x v="1"/>
    <n v="16.16"/>
    <x v="11"/>
    <x v="11"/>
  </r>
  <r>
    <s v="TXN01965"/>
    <d v="2025-12-31T00:00:00"/>
    <x v="23"/>
    <s v="Diclofenac 50mg"/>
    <x v="0"/>
    <x v="0"/>
    <s v="Novartis"/>
    <n v="1"/>
    <n v="62"/>
    <x v="2"/>
    <n v="62"/>
    <x v="11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1A20C-E799-47D6-B77C-962456C96358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1:B34" firstHeaderRow="1" firstDataRow="1" firstDataCol="1"/>
  <pivotFields count="13">
    <pivotField showAll="0"/>
    <pivotField numFmtId="165" showAll="0"/>
    <pivotField axis="axisRow" showAll="0" sortType="descending">
      <items count="33">
        <item x="23"/>
        <item x="27"/>
        <item x="6"/>
        <item x="30"/>
        <item x="17"/>
        <item x="5"/>
        <item x="18"/>
        <item x="20"/>
        <item x="14"/>
        <item x="2"/>
        <item x="3"/>
        <item x="10"/>
        <item x="31"/>
        <item x="21"/>
        <item x="19"/>
        <item x="4"/>
        <item x="13"/>
        <item x="28"/>
        <item x="0"/>
        <item x="29"/>
        <item x="15"/>
        <item x="9"/>
        <item x="7"/>
        <item x="8"/>
        <item x="16"/>
        <item x="11"/>
        <item x="26"/>
        <item x="22"/>
        <item x="12"/>
        <item x="25"/>
        <item x="1"/>
        <item x="24"/>
        <item t="default"/>
      </items>
    </pivotField>
    <pivotField showAll="0"/>
    <pivotField showAll="0"/>
    <pivotField showAll="0"/>
    <pivotField showAll="0"/>
    <pivotField dataField="1" showAll="0"/>
    <pivotField numFmtId="4" showAll="0"/>
    <pivotField showAll="0"/>
    <pivotField showAll="0"/>
    <pivotField showAll="0"/>
    <pivotField showAll="0"/>
  </pivotFields>
  <rowFields count="1">
    <field x="2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Sum of Quantity" fld="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FEBE5D-BA9A-4605-941F-0C9F2543D8F7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26" firstHeaderRow="1" firstDataRow="1" firstDataCol="1"/>
  <pivotFields count="13">
    <pivotField showAll="0"/>
    <pivotField numFmtId="165"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dataField="1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2">
    <field x="12"/>
    <field x="11"/>
  </rowFields>
  <rowItems count="25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>
      <x v="4"/>
    </i>
    <i r="1">
      <x v="4"/>
    </i>
    <i>
      <x v="5"/>
    </i>
    <i r="1">
      <x v="5"/>
    </i>
    <i>
      <x v="6"/>
    </i>
    <i r="1">
      <x v="6"/>
    </i>
    <i>
      <x v="7"/>
    </i>
    <i r="1">
      <x v="7"/>
    </i>
    <i>
      <x v="8"/>
    </i>
    <i r="1">
      <x v="8"/>
    </i>
    <i>
      <x v="9"/>
    </i>
    <i r="1">
      <x v="9"/>
    </i>
    <i>
      <x v="10"/>
    </i>
    <i r="1">
      <x v="10"/>
    </i>
    <i>
      <x v="11"/>
    </i>
    <i r="1">
      <x v="11"/>
    </i>
    <i t="grand">
      <x/>
    </i>
  </rowItems>
  <colItems count="1">
    <i/>
  </colItems>
  <dataFields count="1">
    <dataField name="Sum of Revenue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1F6D4B-4112-4617-A34F-195DB9F4E629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1:D4" firstHeaderRow="0" firstDataRow="1" firstDataCol="1"/>
  <pivotFields count="13">
    <pivotField showAll="0"/>
    <pivotField numFmtId="165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dataField="1" numFmtId="4" showAll="0"/>
    <pivotField showAll="0"/>
    <pivotField dataField="1"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10" baseField="0" baseItem="0"/>
    <dataField name="Sum of Unit_Price_INR" fld="8" baseField="0" baseItem="0" numFmtId="4"/>
    <dataField name="Sum of Quantity" fld="7" baseField="0" baseItem="0"/>
  </dataField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5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5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16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15" format="17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15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" format="19">
      <pivotArea type="data" outline="0" fieldPosition="0">
        <references count="2">
          <reference field="4294967294" count="1" selected="0">
            <x v="2"/>
          </reference>
          <reference field="5" count="1" selected="0">
            <x v="0"/>
          </reference>
        </references>
      </pivotArea>
    </chartFormat>
    <chartFormat chart="15" format="20">
      <pivotArea type="data" outline="0" fieldPosition="0">
        <references count="2">
          <reference field="4294967294" count="1" selected="0">
            <x v="2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32C028-AA26-45D1-B605-C90CA4AFA7FB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C11" firstHeaderRow="0" firstDataRow="1" firstDataCol="1"/>
  <pivotFields count="13">
    <pivotField showAll="0"/>
    <pivotField numFmtId="165" showAll="0"/>
    <pivotField showAll="0"/>
    <pivotField showAll="0"/>
    <pivotField axis="axisRow" showAll="0">
      <items count="10">
        <item x="0"/>
        <item x="5"/>
        <item x="7"/>
        <item x="6"/>
        <item x="1"/>
        <item x="3"/>
        <item x="2"/>
        <item x="8"/>
        <item x="4"/>
        <item t="default"/>
      </items>
    </pivotField>
    <pivotField showAll="0"/>
    <pivotField showAll="0"/>
    <pivotField dataField="1" showAll="0"/>
    <pivotField numFmtId="4" showAll="0"/>
    <pivotField showAll="0"/>
    <pivotField dataField="1" showAll="0"/>
    <pivotField showAll="0"/>
    <pivotField showAll="0"/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0" baseField="0" baseItem="0"/>
    <dataField name="Sum of Quantity" fld="7" baseField="0" baseItem="0"/>
  </dataFields>
  <chartFormats count="2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27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" format="28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" format="29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" format="30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2" format="3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2" format="3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33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2" format="34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2" format="35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2" format="36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2" format="37">
      <pivotArea type="data" outline="0" fieldPosition="0">
        <references count="2">
          <reference field="4294967294" count="1" selected="0">
            <x v="1"/>
          </reference>
          <reference field="4" count="1" selected="0">
            <x v="4"/>
          </reference>
        </references>
      </pivotArea>
    </chartFormat>
    <chartFormat chart="2" format="38">
      <pivotArea type="data" outline="0" fieldPosition="0">
        <references count="2">
          <reference field="4294967294" count="1" selected="0">
            <x v="1"/>
          </reference>
          <reference field="4" count="1" selected="0">
            <x v="5"/>
          </reference>
        </references>
      </pivotArea>
    </chartFormat>
    <chartFormat chart="2" format="39">
      <pivotArea type="data" outline="0" fieldPosition="0">
        <references count="2">
          <reference field="4294967294" count="1" selected="0">
            <x v="1"/>
          </reference>
          <reference field="4" count="1" selected="0">
            <x v="6"/>
          </reference>
        </references>
      </pivotArea>
    </chartFormat>
    <chartFormat chart="2" format="40">
      <pivotArea type="data" outline="0" fieldPosition="0">
        <references count="2">
          <reference field="4294967294" count="1" selected="0">
            <x v="1"/>
          </reference>
          <reference field="4" count="1" selected="0">
            <x v="7"/>
          </reference>
        </references>
      </pivotArea>
    </chartFormat>
    <chartFormat chart="2" format="41">
      <pivotArea type="data" outline="0" fieldPosition="0">
        <references count="2">
          <reference field="4294967294" count="1" selected="0">
            <x v="1"/>
          </reference>
          <reference field="4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FBCEA5-76BC-42C1-ABC1-1BC9701940EA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6" firstHeaderRow="1" firstDataRow="1" firstDataCol="1"/>
  <pivotFields count="13">
    <pivotField showAll="0"/>
    <pivotField numFmtId="165" showAll="0"/>
    <pivotField showAll="0"/>
    <pivotField showAll="0"/>
    <pivotField showAll="0"/>
    <pivotField showAll="0"/>
    <pivotField showAll="0"/>
    <pivotField showAll="0"/>
    <pivotField numFmtId="4" showAll="0"/>
    <pivotField axis="axisRow" showAll="0">
      <items count="5">
        <item x="3"/>
        <item x="2"/>
        <item x="1"/>
        <item x="0"/>
        <item t="default"/>
      </items>
    </pivotField>
    <pivotField dataField="1"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0" baseField="0" baseItem="0" numFmtId="9"/>
  </dataFields>
  <formats count="2">
    <format dxfId="1">
      <pivotArea dataOnly="0" labelOnly="1" outline="0" axis="axisValues" fieldPosition="0"/>
    </format>
    <format dxfId="0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9D336-F93B-418E-80DB-84220736897C}">
  <dimension ref="A1:C34"/>
  <sheetViews>
    <sheetView topLeftCell="D1" workbookViewId="0">
      <selection activeCell="C1" sqref="C1:C33"/>
    </sheetView>
  </sheetViews>
  <sheetFormatPr defaultRowHeight="15" x14ac:dyDescent="0.25"/>
  <cols>
    <col min="1" max="1" width="22.28515625" bestFit="1" customWidth="1"/>
    <col min="2" max="2" width="15.42578125" bestFit="1" customWidth="1"/>
  </cols>
  <sheetData>
    <row r="1" spans="1:3" x14ac:dyDescent="0.25">
      <c r="A1" s="7" t="s">
        <v>2049</v>
      </c>
      <c r="B1" t="s">
        <v>2051</v>
      </c>
      <c r="C1" t="s">
        <v>2066</v>
      </c>
    </row>
    <row r="2" spans="1:3" x14ac:dyDescent="0.25">
      <c r="A2" s="8" t="s">
        <v>108</v>
      </c>
      <c r="B2" s="9">
        <v>96</v>
      </c>
      <c r="C2">
        <f>(B3-B2)/B2</f>
        <v>-0.27083333333333331</v>
      </c>
    </row>
    <row r="3" spans="1:3" x14ac:dyDescent="0.25">
      <c r="A3" s="8" t="s">
        <v>43</v>
      </c>
      <c r="B3" s="9">
        <v>70</v>
      </c>
      <c r="C3">
        <f t="shared" ref="C3:C34" si="0">(B4-B3)/B3</f>
        <v>0.72857142857142854</v>
      </c>
    </row>
    <row r="4" spans="1:3" x14ac:dyDescent="0.25">
      <c r="A4" s="8" t="s">
        <v>40</v>
      </c>
      <c r="B4" s="9">
        <v>121</v>
      </c>
      <c r="C4">
        <f t="shared" si="0"/>
        <v>1.024793388429752</v>
      </c>
    </row>
    <row r="5" spans="1:3" x14ac:dyDescent="0.25">
      <c r="A5" s="8" t="s">
        <v>190</v>
      </c>
      <c r="B5" s="9">
        <v>245</v>
      </c>
      <c r="C5">
        <f t="shared" si="0"/>
        <v>-0.5714285714285714</v>
      </c>
    </row>
    <row r="6" spans="1:3" x14ac:dyDescent="0.25">
      <c r="A6" s="8" t="s">
        <v>35</v>
      </c>
      <c r="B6" s="9">
        <v>105</v>
      </c>
      <c r="C6">
        <f t="shared" si="0"/>
        <v>0.34285714285714286</v>
      </c>
    </row>
    <row r="7" spans="1:3" x14ac:dyDescent="0.25">
      <c r="A7" s="8" t="s">
        <v>34</v>
      </c>
      <c r="B7" s="9">
        <v>141</v>
      </c>
      <c r="C7">
        <f t="shared" si="0"/>
        <v>0.41843971631205673</v>
      </c>
    </row>
    <row r="8" spans="1:3" x14ac:dyDescent="0.25">
      <c r="A8" s="8" t="s">
        <v>12</v>
      </c>
      <c r="B8" s="9">
        <v>200</v>
      </c>
      <c r="C8">
        <f t="shared" si="0"/>
        <v>-0.33</v>
      </c>
    </row>
    <row r="9" spans="1:3" x14ac:dyDescent="0.25">
      <c r="A9" s="8" t="s">
        <v>80</v>
      </c>
      <c r="B9" s="9">
        <v>134</v>
      </c>
      <c r="C9">
        <f t="shared" si="0"/>
        <v>0.45522388059701491</v>
      </c>
    </row>
    <row r="10" spans="1:3" x14ac:dyDescent="0.25">
      <c r="A10" s="8" t="s">
        <v>79</v>
      </c>
      <c r="B10" s="9">
        <v>195</v>
      </c>
      <c r="C10">
        <f t="shared" si="0"/>
        <v>-0.46666666666666667</v>
      </c>
    </row>
    <row r="11" spans="1:3" x14ac:dyDescent="0.25">
      <c r="A11" s="8" t="s">
        <v>24</v>
      </c>
      <c r="B11" s="9">
        <v>104</v>
      </c>
      <c r="C11">
        <f t="shared" si="0"/>
        <v>9.6153846153846159E-2</v>
      </c>
    </row>
    <row r="12" spans="1:3" x14ac:dyDescent="0.25">
      <c r="A12" s="8" t="s">
        <v>25</v>
      </c>
      <c r="B12" s="9">
        <v>114</v>
      </c>
      <c r="C12">
        <f t="shared" si="0"/>
        <v>0.94736842105263153</v>
      </c>
    </row>
    <row r="13" spans="1:3" x14ac:dyDescent="0.25">
      <c r="A13" s="8" t="s">
        <v>60</v>
      </c>
      <c r="B13" s="9">
        <v>222</v>
      </c>
      <c r="C13">
        <f t="shared" si="0"/>
        <v>-0.66666666666666663</v>
      </c>
    </row>
    <row r="14" spans="1:3" x14ac:dyDescent="0.25">
      <c r="A14" s="8" t="s">
        <v>194</v>
      </c>
      <c r="B14" s="9">
        <v>74</v>
      </c>
      <c r="C14">
        <f t="shared" si="0"/>
        <v>0.63513513513513509</v>
      </c>
    </row>
    <row r="15" spans="1:3" x14ac:dyDescent="0.25">
      <c r="A15" s="8" t="s">
        <v>97</v>
      </c>
      <c r="B15" s="9">
        <v>121</v>
      </c>
      <c r="C15">
        <f t="shared" si="0"/>
        <v>2.1322314049586777</v>
      </c>
    </row>
    <row r="16" spans="1:3" x14ac:dyDescent="0.25">
      <c r="A16" s="8" t="s">
        <v>75</v>
      </c>
      <c r="B16" s="9">
        <v>379</v>
      </c>
      <c r="C16">
        <f t="shared" si="0"/>
        <v>-0.75989445910290232</v>
      </c>
    </row>
    <row r="17" spans="1:3" x14ac:dyDescent="0.25">
      <c r="A17" s="8" t="s">
        <v>30</v>
      </c>
      <c r="B17" s="9">
        <v>91</v>
      </c>
      <c r="C17">
        <f t="shared" si="0"/>
        <v>3.6813186813186811</v>
      </c>
    </row>
    <row r="18" spans="1:3" x14ac:dyDescent="0.25">
      <c r="A18" s="8" t="s">
        <v>74</v>
      </c>
      <c r="B18" s="9">
        <v>426</v>
      </c>
      <c r="C18">
        <f t="shared" si="0"/>
        <v>-0.79577464788732399</v>
      </c>
    </row>
    <row r="19" spans="1:3" x14ac:dyDescent="0.25">
      <c r="A19" s="8" t="s">
        <v>120</v>
      </c>
      <c r="B19" s="9">
        <v>87</v>
      </c>
      <c r="C19">
        <f t="shared" si="0"/>
        <v>4.0574712643678161</v>
      </c>
    </row>
    <row r="20" spans="1:3" x14ac:dyDescent="0.25">
      <c r="A20" s="8" t="s">
        <v>11</v>
      </c>
      <c r="B20" s="9">
        <v>440</v>
      </c>
      <c r="C20">
        <f t="shared" si="0"/>
        <v>-0.82727272727272727</v>
      </c>
    </row>
    <row r="21" spans="1:3" x14ac:dyDescent="0.25">
      <c r="A21" s="8" t="s">
        <v>109</v>
      </c>
      <c r="B21" s="9">
        <v>76</v>
      </c>
      <c r="C21">
        <f t="shared" si="0"/>
        <v>1</v>
      </c>
    </row>
    <row r="22" spans="1:3" x14ac:dyDescent="0.25">
      <c r="A22" s="8" t="s">
        <v>61</v>
      </c>
      <c r="B22" s="9">
        <v>152</v>
      </c>
      <c r="C22">
        <f t="shared" si="0"/>
        <v>0.38815789473684209</v>
      </c>
    </row>
    <row r="23" spans="1:3" x14ac:dyDescent="0.25">
      <c r="A23" s="8" t="s">
        <v>52</v>
      </c>
      <c r="B23" s="9">
        <v>211</v>
      </c>
      <c r="C23">
        <f t="shared" si="0"/>
        <v>-0.1895734597156398</v>
      </c>
    </row>
    <row r="24" spans="1:3" x14ac:dyDescent="0.25">
      <c r="A24" s="8" t="s">
        <v>42</v>
      </c>
      <c r="B24" s="9">
        <v>171</v>
      </c>
      <c r="C24">
        <f t="shared" si="0"/>
        <v>-0.33918128654970758</v>
      </c>
    </row>
    <row r="25" spans="1:3" x14ac:dyDescent="0.25">
      <c r="A25" s="8" t="s">
        <v>48</v>
      </c>
      <c r="B25" s="9">
        <v>113</v>
      </c>
      <c r="C25">
        <f t="shared" si="0"/>
        <v>0.53982300884955747</v>
      </c>
    </row>
    <row r="26" spans="1:3" x14ac:dyDescent="0.25">
      <c r="A26" s="8" t="s">
        <v>86</v>
      </c>
      <c r="B26" s="9">
        <v>174</v>
      </c>
      <c r="C26">
        <f t="shared" si="0"/>
        <v>9.1954022988505746E-2</v>
      </c>
    </row>
    <row r="27" spans="1:3" x14ac:dyDescent="0.25">
      <c r="A27" s="8" t="s">
        <v>67</v>
      </c>
      <c r="B27" s="9">
        <v>190</v>
      </c>
      <c r="C27">
        <f t="shared" si="0"/>
        <v>0.32631578947368423</v>
      </c>
    </row>
    <row r="28" spans="1:3" x14ac:dyDescent="0.25">
      <c r="A28" s="8" t="s">
        <v>102</v>
      </c>
      <c r="B28" s="9">
        <v>252</v>
      </c>
      <c r="C28">
        <f t="shared" si="0"/>
        <v>9.5238095238095233E-2</v>
      </c>
    </row>
    <row r="29" spans="1:3" x14ac:dyDescent="0.25">
      <c r="A29" s="8" t="s">
        <v>101</v>
      </c>
      <c r="B29" s="9">
        <v>276</v>
      </c>
      <c r="C29">
        <f t="shared" si="0"/>
        <v>-0.71376811594202894</v>
      </c>
    </row>
    <row r="30" spans="1:3" x14ac:dyDescent="0.25">
      <c r="A30" s="8" t="s">
        <v>72</v>
      </c>
      <c r="B30" s="9">
        <v>79</v>
      </c>
      <c r="C30">
        <f t="shared" si="0"/>
        <v>2.759493670886076</v>
      </c>
    </row>
    <row r="31" spans="1:3" x14ac:dyDescent="0.25">
      <c r="A31" s="8" t="s">
        <v>124</v>
      </c>
      <c r="B31" s="9">
        <v>297</v>
      </c>
      <c r="C31">
        <f t="shared" si="0"/>
        <v>6.7340067340067339E-2</v>
      </c>
    </row>
    <row r="32" spans="1:3" x14ac:dyDescent="0.25">
      <c r="A32" s="8" t="s">
        <v>18</v>
      </c>
      <c r="B32" s="9">
        <v>317</v>
      </c>
      <c r="C32">
        <f t="shared" si="0"/>
        <v>-0.45110410094637227</v>
      </c>
    </row>
    <row r="33" spans="1:3" x14ac:dyDescent="0.25">
      <c r="A33" s="8" t="s">
        <v>119</v>
      </c>
      <c r="B33" s="9">
        <v>174</v>
      </c>
      <c r="C33" s="11">
        <f t="shared" si="0"/>
        <v>32.603448275862071</v>
      </c>
    </row>
    <row r="34" spans="1:3" x14ac:dyDescent="0.25">
      <c r="A34" s="8" t="s">
        <v>2050</v>
      </c>
      <c r="B34" s="9">
        <v>5847</v>
      </c>
    </row>
  </sheetData>
  <conditionalFormatting sqref="C33">
    <cfRule type="cellIs" dxfId="6" priority="5" operator="greaterThan">
      <formula>32.60344828</formula>
    </cfRule>
    <cfRule type="cellIs" dxfId="5" priority="2" operator="greaterThan">
      <formula>32.60344828</formula>
    </cfRule>
  </conditionalFormatting>
  <conditionalFormatting sqref="C2:C34">
    <cfRule type="cellIs" dxfId="4" priority="4" operator="greaterThan">
      <formula>15.88808777</formula>
    </cfRule>
  </conditionalFormatting>
  <conditionalFormatting sqref="C1:C32">
    <cfRule type="cellIs" dxfId="3" priority="3" operator="lessThan">
      <formula>-0.8</formula>
    </cfRule>
  </conditionalFormatting>
  <conditionalFormatting sqref="C23:C33">
    <cfRule type="cellIs" dxfId="2" priority="1" operator="greaterThan">
      <formula>15.94484008</formula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E86BE-422F-4D69-A51A-7101BD89E03D}">
  <dimension ref="A1:C26"/>
  <sheetViews>
    <sheetView workbookViewId="0">
      <selection activeCell="C2" sqref="C2:C12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1" spans="1:3" x14ac:dyDescent="0.25">
      <c r="A1" s="7" t="s">
        <v>2049</v>
      </c>
      <c r="B1" t="s">
        <v>2064</v>
      </c>
      <c r="C1" t="s">
        <v>2065</v>
      </c>
    </row>
    <row r="2" spans="1:3" x14ac:dyDescent="0.25">
      <c r="A2" s="8">
        <v>1</v>
      </c>
      <c r="B2" s="9">
        <v>30413</v>
      </c>
      <c r="C2">
        <f ca="1">(C3-C2)/C2</f>
        <v>0</v>
      </c>
    </row>
    <row r="3" spans="1:3" x14ac:dyDescent="0.25">
      <c r="A3" s="10" t="s">
        <v>2052</v>
      </c>
      <c r="B3" s="9">
        <v>30413</v>
      </c>
      <c r="C3">
        <f t="shared" ref="C3:C27" ca="1" si="0">(C4-C3)/C3</f>
        <v>0</v>
      </c>
    </row>
    <row r="4" spans="1:3" x14ac:dyDescent="0.25">
      <c r="A4" s="8">
        <v>2</v>
      </c>
      <c r="B4" s="9">
        <v>29625</v>
      </c>
      <c r="C4">
        <f t="shared" ca="1" si="0"/>
        <v>0</v>
      </c>
    </row>
    <row r="5" spans="1:3" x14ac:dyDescent="0.25">
      <c r="A5" s="10" t="s">
        <v>2053</v>
      </c>
      <c r="B5" s="9">
        <v>29625</v>
      </c>
      <c r="C5">
        <f t="shared" ca="1" si="0"/>
        <v>0</v>
      </c>
    </row>
    <row r="6" spans="1:3" x14ac:dyDescent="0.25">
      <c r="A6" s="8">
        <v>3</v>
      </c>
      <c r="B6" s="9">
        <v>34735</v>
      </c>
      <c r="C6">
        <f t="shared" ca="1" si="0"/>
        <v>0</v>
      </c>
    </row>
    <row r="7" spans="1:3" x14ac:dyDescent="0.25">
      <c r="A7" s="10" t="s">
        <v>2054</v>
      </c>
      <c r="B7" s="9">
        <v>34735</v>
      </c>
      <c r="C7">
        <f t="shared" ca="1" si="0"/>
        <v>0</v>
      </c>
    </row>
    <row r="8" spans="1:3" x14ac:dyDescent="0.25">
      <c r="A8" s="8">
        <v>4</v>
      </c>
      <c r="B8" s="9">
        <v>27233</v>
      </c>
      <c r="C8">
        <f t="shared" ca="1" si="0"/>
        <v>0</v>
      </c>
    </row>
    <row r="9" spans="1:3" x14ac:dyDescent="0.25">
      <c r="A9" s="10" t="s">
        <v>2055</v>
      </c>
      <c r="B9" s="9">
        <v>27233</v>
      </c>
      <c r="C9">
        <f t="shared" ca="1" si="0"/>
        <v>0</v>
      </c>
    </row>
    <row r="10" spans="1:3" x14ac:dyDescent="0.25">
      <c r="A10" s="8">
        <v>5</v>
      </c>
      <c r="B10" s="9">
        <v>28841</v>
      </c>
      <c r="C10">
        <f t="shared" ca="1" si="0"/>
        <v>0</v>
      </c>
    </row>
    <row r="11" spans="1:3" x14ac:dyDescent="0.25">
      <c r="A11" s="10" t="s">
        <v>2056</v>
      </c>
      <c r="B11" s="9">
        <v>28841</v>
      </c>
      <c r="C11">
        <f t="shared" ca="1" si="0"/>
        <v>0</v>
      </c>
    </row>
    <row r="12" spans="1:3" x14ac:dyDescent="0.25">
      <c r="A12" s="8">
        <v>6</v>
      </c>
      <c r="B12" s="9">
        <v>28861</v>
      </c>
      <c r="C12">
        <f t="shared" ca="1" si="0"/>
        <v>0</v>
      </c>
    </row>
    <row r="13" spans="1:3" x14ac:dyDescent="0.25">
      <c r="A13" s="10" t="s">
        <v>2057</v>
      </c>
      <c r="B13" s="9">
        <v>28861</v>
      </c>
    </row>
    <row r="14" spans="1:3" x14ac:dyDescent="0.25">
      <c r="A14" s="8">
        <v>7</v>
      </c>
      <c r="B14" s="9">
        <v>30401.96</v>
      </c>
    </row>
    <row r="15" spans="1:3" x14ac:dyDescent="0.25">
      <c r="A15" s="10" t="s">
        <v>2058</v>
      </c>
      <c r="B15" s="9">
        <v>30401.96</v>
      </c>
    </row>
    <row r="16" spans="1:3" x14ac:dyDescent="0.25">
      <c r="A16" s="8">
        <v>8</v>
      </c>
      <c r="B16" s="9">
        <v>34792.609999999986</v>
      </c>
    </row>
    <row r="17" spans="1:2" x14ac:dyDescent="0.25">
      <c r="A17" s="10" t="s">
        <v>2059</v>
      </c>
      <c r="B17" s="9">
        <v>34792.609999999986</v>
      </c>
    </row>
    <row r="18" spans="1:2" x14ac:dyDescent="0.25">
      <c r="A18" s="8">
        <v>9</v>
      </c>
      <c r="B18" s="9">
        <v>35600.319999999992</v>
      </c>
    </row>
    <row r="19" spans="1:2" x14ac:dyDescent="0.25">
      <c r="A19" s="10" t="s">
        <v>2060</v>
      </c>
      <c r="B19" s="9">
        <v>35600.319999999992</v>
      </c>
    </row>
    <row r="20" spans="1:2" x14ac:dyDescent="0.25">
      <c r="A20" s="8">
        <v>10</v>
      </c>
      <c r="B20" s="9">
        <v>30567.519999999997</v>
      </c>
    </row>
    <row r="21" spans="1:2" x14ac:dyDescent="0.25">
      <c r="A21" s="10" t="s">
        <v>2061</v>
      </c>
      <c r="B21" s="9">
        <v>30567.519999999997</v>
      </c>
    </row>
    <row r="22" spans="1:2" x14ac:dyDescent="0.25">
      <c r="A22" s="8">
        <v>11</v>
      </c>
      <c r="B22" s="9">
        <v>33805.609999999979</v>
      </c>
    </row>
    <row r="23" spans="1:2" x14ac:dyDescent="0.25">
      <c r="A23" s="10" t="s">
        <v>2062</v>
      </c>
      <c r="B23" s="9">
        <v>33805.609999999979</v>
      </c>
    </row>
    <row r="24" spans="1:2" x14ac:dyDescent="0.25">
      <c r="A24" s="8">
        <v>12</v>
      </c>
      <c r="B24" s="9">
        <v>30298.860000000004</v>
      </c>
    </row>
    <row r="25" spans="1:2" x14ac:dyDescent="0.25">
      <c r="A25" s="10" t="s">
        <v>2063</v>
      </c>
      <c r="B25" s="9">
        <v>30298.860000000004</v>
      </c>
    </row>
    <row r="26" spans="1:2" x14ac:dyDescent="0.25">
      <c r="A26" s="8" t="s">
        <v>2050</v>
      </c>
      <c r="B26" s="9">
        <v>375174.87999999995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47182-7688-44A1-B699-196BF5C67461}">
  <dimension ref="A1:D4"/>
  <sheetViews>
    <sheetView workbookViewId="0">
      <selection activeCell="K20" sqref="K20"/>
    </sheetView>
  </sheetViews>
  <sheetFormatPr defaultRowHeight="15" x14ac:dyDescent="0.25"/>
  <cols>
    <col min="1" max="1" width="13.140625" bestFit="1" customWidth="1"/>
    <col min="2" max="2" width="15.5703125" bestFit="1" customWidth="1"/>
    <col min="3" max="3" width="21.42578125" bestFit="1" customWidth="1"/>
    <col min="4" max="4" width="15.42578125" bestFit="1" customWidth="1"/>
  </cols>
  <sheetData>
    <row r="1" spans="1:4" x14ac:dyDescent="0.25">
      <c r="A1" s="7" t="s">
        <v>2049</v>
      </c>
      <c r="B1" t="s">
        <v>2064</v>
      </c>
      <c r="C1" t="s">
        <v>2067</v>
      </c>
      <c r="D1" t="s">
        <v>2051</v>
      </c>
    </row>
    <row r="2" spans="1:4" x14ac:dyDescent="0.25">
      <c r="A2" s="8" t="s">
        <v>14</v>
      </c>
      <c r="B2" s="9">
        <v>305452.01000000106</v>
      </c>
      <c r="C2" s="12">
        <v>102240.98000000045</v>
      </c>
      <c r="D2" s="9">
        <v>3483</v>
      </c>
    </row>
    <row r="3" spans="1:4" x14ac:dyDescent="0.25">
      <c r="A3" s="8" t="s">
        <v>20</v>
      </c>
      <c r="B3" s="9">
        <v>69722.869999999981</v>
      </c>
      <c r="C3" s="12">
        <v>24307.840000000026</v>
      </c>
      <c r="D3" s="9">
        <v>2364</v>
      </c>
    </row>
    <row r="4" spans="1:4" x14ac:dyDescent="0.25">
      <c r="A4" s="8" t="s">
        <v>2050</v>
      </c>
      <c r="B4" s="9">
        <v>375174.88000000105</v>
      </c>
      <c r="C4" s="12">
        <v>126548.82000000047</v>
      </c>
      <c r="D4" s="9">
        <v>5847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7384D-7D93-4DBA-B732-A6D10CD5A47C}">
  <dimension ref="A1:C11"/>
  <sheetViews>
    <sheetView workbookViewId="0"/>
  </sheetViews>
  <sheetFormatPr defaultRowHeight="15" x14ac:dyDescent="0.25"/>
  <cols>
    <col min="1" max="1" width="20.42578125" bestFit="1" customWidth="1"/>
    <col min="2" max="2" width="15.5703125" bestFit="1" customWidth="1"/>
    <col min="3" max="3" width="15.42578125" bestFit="1" customWidth="1"/>
  </cols>
  <sheetData>
    <row r="1" spans="1:3" x14ac:dyDescent="0.25">
      <c r="A1" s="7" t="s">
        <v>2049</v>
      </c>
      <c r="B1" t="s">
        <v>2064</v>
      </c>
      <c r="C1" t="s">
        <v>2051</v>
      </c>
    </row>
    <row r="2" spans="1:3" x14ac:dyDescent="0.25">
      <c r="A2" s="8" t="s">
        <v>13</v>
      </c>
      <c r="B2" s="9">
        <v>34710.739999999896</v>
      </c>
      <c r="C2" s="9">
        <v>1114</v>
      </c>
    </row>
    <row r="3" spans="1:3" x14ac:dyDescent="0.25">
      <c r="A3" s="8" t="s">
        <v>49</v>
      </c>
      <c r="B3" s="9">
        <v>74683.750000000015</v>
      </c>
      <c r="C3" s="9">
        <v>556</v>
      </c>
    </row>
    <row r="4" spans="1:3" x14ac:dyDescent="0.25">
      <c r="A4" s="8" t="s">
        <v>76</v>
      </c>
      <c r="B4" s="9">
        <v>55081.119999999995</v>
      </c>
      <c r="C4" s="9">
        <v>1066</v>
      </c>
    </row>
    <row r="5" spans="1:3" x14ac:dyDescent="0.25">
      <c r="A5" s="8" t="s">
        <v>62</v>
      </c>
      <c r="B5" s="9">
        <v>7008.4800000000014</v>
      </c>
      <c r="C5" s="9">
        <v>374</v>
      </c>
    </row>
    <row r="6" spans="1:3" x14ac:dyDescent="0.25">
      <c r="A6" s="8" t="s">
        <v>19</v>
      </c>
      <c r="B6" s="9">
        <v>58651.029999999933</v>
      </c>
      <c r="C6" s="9">
        <v>980</v>
      </c>
    </row>
    <row r="7" spans="1:3" x14ac:dyDescent="0.25">
      <c r="A7" s="8" t="s">
        <v>36</v>
      </c>
      <c r="B7" s="9">
        <v>63822.739999999947</v>
      </c>
      <c r="C7" s="9">
        <v>774</v>
      </c>
    </row>
    <row r="8" spans="1:3" x14ac:dyDescent="0.25">
      <c r="A8" s="8" t="s">
        <v>26</v>
      </c>
      <c r="B8" s="9">
        <v>44770.280000000006</v>
      </c>
      <c r="C8" s="9">
        <v>547</v>
      </c>
    </row>
    <row r="9" spans="1:3" x14ac:dyDescent="0.25">
      <c r="A9" s="8" t="s">
        <v>99</v>
      </c>
      <c r="B9" s="9">
        <v>27293.979999999996</v>
      </c>
      <c r="C9" s="9">
        <v>195</v>
      </c>
    </row>
    <row r="10" spans="1:3" x14ac:dyDescent="0.25">
      <c r="A10" s="8" t="s">
        <v>44</v>
      </c>
      <c r="B10" s="9">
        <v>9152.7599999999984</v>
      </c>
      <c r="C10" s="9">
        <v>241</v>
      </c>
    </row>
    <row r="11" spans="1:3" x14ac:dyDescent="0.25">
      <c r="A11" s="8" t="s">
        <v>2050</v>
      </c>
      <c r="B11" s="9">
        <v>375174.87999999983</v>
      </c>
      <c r="C11" s="9">
        <v>5847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EA3ED-4129-41FE-AFB9-0324A2F72639}">
  <dimension ref="A1:B6"/>
  <sheetViews>
    <sheetView tabSelected="1" workbookViewId="0">
      <selection activeCell="C7" sqref="C7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1" spans="1:2" x14ac:dyDescent="0.25">
      <c r="A1" s="7" t="s">
        <v>2049</v>
      </c>
      <c r="B1" s="13" t="s">
        <v>2064</v>
      </c>
    </row>
    <row r="2" spans="1:2" x14ac:dyDescent="0.25">
      <c r="A2" s="8" t="s">
        <v>38</v>
      </c>
      <c r="B2" s="13">
        <v>63620.869999999959</v>
      </c>
    </row>
    <row r="3" spans="1:2" x14ac:dyDescent="0.25">
      <c r="A3" s="8" t="s">
        <v>31</v>
      </c>
      <c r="B3" s="13">
        <v>65592.609999999986</v>
      </c>
    </row>
    <row r="4" spans="1:2" x14ac:dyDescent="0.25">
      <c r="A4" s="8" t="s">
        <v>22</v>
      </c>
      <c r="B4" s="13">
        <v>61182.699999999953</v>
      </c>
    </row>
    <row r="5" spans="1:2" x14ac:dyDescent="0.25">
      <c r="A5" s="8" t="s">
        <v>16</v>
      </c>
      <c r="B5" s="13">
        <v>184778.70000000016</v>
      </c>
    </row>
    <row r="6" spans="1:2" x14ac:dyDescent="0.25">
      <c r="A6" s="8" t="s">
        <v>2050</v>
      </c>
      <c r="B6" s="13">
        <v>375174.88000000006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3A7F4-285F-41CF-BFF8-FE227389AA7E}">
  <dimension ref="A1"/>
  <sheetViews>
    <sheetView topLeftCell="H1" zoomScale="71" workbookViewId="0">
      <selection activeCell="AM12" sqref="AM1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66"/>
  <sheetViews>
    <sheetView workbookViewId="0">
      <pane ySplit="1" topLeftCell="A2" activePane="bottomLeft" state="frozen"/>
      <selection pane="bottomLeft" activeCell="D1954" sqref="D1954"/>
    </sheetView>
  </sheetViews>
  <sheetFormatPr defaultRowHeight="15" x14ac:dyDescent="0.25"/>
  <cols>
    <col min="1" max="1" width="14" customWidth="1"/>
    <col min="2" max="2" width="13" customWidth="1"/>
    <col min="3" max="3" width="26" customWidth="1"/>
    <col min="4" max="4" width="30" customWidth="1"/>
    <col min="5" max="5" width="24" customWidth="1"/>
    <col min="6" max="6" width="10" customWidth="1"/>
    <col min="7" max="7" width="16" customWidth="1"/>
    <col min="8" max="8" width="10" customWidth="1"/>
    <col min="9" max="9" width="15" customWidth="1"/>
    <col min="10" max="10" width="14" customWidth="1"/>
    <col min="11" max="11" width="1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2046</v>
      </c>
      <c r="L1" s="1" t="s">
        <v>2047</v>
      </c>
      <c r="M1" s="1" t="s">
        <v>2048</v>
      </c>
    </row>
    <row r="2" spans="1:13" x14ac:dyDescent="0.25">
      <c r="A2" s="2" t="s">
        <v>10</v>
      </c>
      <c r="B2" s="3">
        <v>45658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2</v>
      </c>
      <c r="I2" s="4">
        <v>32</v>
      </c>
      <c r="J2" s="2" t="s">
        <v>16</v>
      </c>
      <c r="K2">
        <f>H2*I2</f>
        <v>64</v>
      </c>
      <c r="L2" t="str">
        <f>TEXT(B2,"mmm")</f>
        <v>Jan</v>
      </c>
      <c r="M2">
        <f>MONTH(B2)</f>
        <v>1</v>
      </c>
    </row>
    <row r="3" spans="1:13" x14ac:dyDescent="0.25">
      <c r="A3" s="2" t="s">
        <v>17</v>
      </c>
      <c r="B3" s="3">
        <v>45658</v>
      </c>
      <c r="C3" s="2" t="s">
        <v>18</v>
      </c>
      <c r="D3" s="2" t="s">
        <v>18</v>
      </c>
      <c r="E3" s="2" t="s">
        <v>19</v>
      </c>
      <c r="F3" s="2" t="s">
        <v>20</v>
      </c>
      <c r="G3" s="2" t="s">
        <v>21</v>
      </c>
      <c r="H3" s="2">
        <v>12</v>
      </c>
      <c r="I3" s="4">
        <v>15</v>
      </c>
      <c r="J3" s="2" t="s">
        <v>22</v>
      </c>
      <c r="K3">
        <f>H3*I3</f>
        <v>180</v>
      </c>
      <c r="L3" t="str">
        <f t="shared" ref="L3:L66" si="0">TEXT(B3,"mmm")</f>
        <v>Jan</v>
      </c>
      <c r="M3">
        <f t="shared" ref="M3:M66" si="1">MONTH(B3)</f>
        <v>1</v>
      </c>
    </row>
    <row r="4" spans="1:13" x14ac:dyDescent="0.25">
      <c r="A4" s="2" t="s">
        <v>23</v>
      </c>
      <c r="B4" s="3">
        <v>45658</v>
      </c>
      <c r="C4" s="2" t="s">
        <v>24</v>
      </c>
      <c r="D4" s="2" t="s">
        <v>25</v>
      </c>
      <c r="E4" s="2" t="s">
        <v>26</v>
      </c>
      <c r="F4" s="2" t="s">
        <v>14</v>
      </c>
      <c r="G4" s="2" t="s">
        <v>27</v>
      </c>
      <c r="H4" s="2">
        <v>1</v>
      </c>
      <c r="I4" s="4">
        <v>58</v>
      </c>
      <c r="J4" s="2" t="s">
        <v>16</v>
      </c>
      <c r="K4">
        <f>H4*I4</f>
        <v>58</v>
      </c>
      <c r="L4" t="str">
        <f t="shared" si="0"/>
        <v>Jan</v>
      </c>
      <c r="M4">
        <f t="shared" si="1"/>
        <v>1</v>
      </c>
    </row>
    <row r="5" spans="1:13" x14ac:dyDescent="0.25">
      <c r="A5" s="2" t="s">
        <v>28</v>
      </c>
      <c r="B5" s="3">
        <v>45658</v>
      </c>
      <c r="C5" s="2" t="s">
        <v>25</v>
      </c>
      <c r="D5" s="2" t="s">
        <v>25</v>
      </c>
      <c r="E5" s="2" t="s">
        <v>26</v>
      </c>
      <c r="F5" s="2" t="s">
        <v>20</v>
      </c>
      <c r="G5" s="2" t="s">
        <v>21</v>
      </c>
      <c r="H5" s="2">
        <v>2</v>
      </c>
      <c r="I5" s="4">
        <v>20</v>
      </c>
      <c r="J5" s="2" t="s">
        <v>16</v>
      </c>
      <c r="K5">
        <f>H5*I5</f>
        <v>40</v>
      </c>
      <c r="L5" t="str">
        <f t="shared" si="0"/>
        <v>Jan</v>
      </c>
      <c r="M5">
        <f t="shared" si="1"/>
        <v>1</v>
      </c>
    </row>
    <row r="6" spans="1:13" x14ac:dyDescent="0.25">
      <c r="A6" s="2" t="s">
        <v>29</v>
      </c>
      <c r="B6" s="3">
        <v>45658</v>
      </c>
      <c r="C6" s="2" t="s">
        <v>30</v>
      </c>
      <c r="D6" s="2" t="s">
        <v>30</v>
      </c>
      <c r="E6" s="2" t="s">
        <v>13</v>
      </c>
      <c r="F6" s="2" t="s">
        <v>20</v>
      </c>
      <c r="G6" s="2" t="s">
        <v>21</v>
      </c>
      <c r="H6" s="2">
        <v>4</v>
      </c>
      <c r="I6" s="4">
        <v>15</v>
      </c>
      <c r="J6" s="2" t="s">
        <v>31</v>
      </c>
      <c r="K6">
        <f>H6*I6</f>
        <v>60</v>
      </c>
      <c r="L6" t="str">
        <f t="shared" si="0"/>
        <v>Jan</v>
      </c>
      <c r="M6">
        <f t="shared" si="1"/>
        <v>1</v>
      </c>
    </row>
    <row r="7" spans="1:13" x14ac:dyDescent="0.25">
      <c r="A7" s="2" t="s">
        <v>32</v>
      </c>
      <c r="B7" s="3">
        <v>45659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15</v>
      </c>
      <c r="H7" s="2">
        <v>1</v>
      </c>
      <c r="I7" s="4">
        <v>32</v>
      </c>
      <c r="J7" s="2" t="s">
        <v>16</v>
      </c>
      <c r="K7">
        <f>H7*I7</f>
        <v>32</v>
      </c>
      <c r="L7" t="str">
        <f t="shared" si="0"/>
        <v>Jan</v>
      </c>
      <c r="M7">
        <f t="shared" si="1"/>
        <v>1</v>
      </c>
    </row>
    <row r="8" spans="1:13" x14ac:dyDescent="0.25">
      <c r="A8" s="2" t="s">
        <v>33</v>
      </c>
      <c r="B8" s="3">
        <v>45659</v>
      </c>
      <c r="C8" s="2" t="s">
        <v>34</v>
      </c>
      <c r="D8" s="2" t="s">
        <v>35</v>
      </c>
      <c r="E8" s="2" t="s">
        <v>36</v>
      </c>
      <c r="F8" s="2" t="s">
        <v>14</v>
      </c>
      <c r="G8" s="2" t="s">
        <v>37</v>
      </c>
      <c r="H8" s="2">
        <v>2</v>
      </c>
      <c r="I8" s="4">
        <v>165</v>
      </c>
      <c r="J8" s="2" t="s">
        <v>38</v>
      </c>
      <c r="K8">
        <f>H8*I8</f>
        <v>330</v>
      </c>
      <c r="L8" t="str">
        <f t="shared" si="0"/>
        <v>Jan</v>
      </c>
      <c r="M8">
        <f t="shared" si="1"/>
        <v>1</v>
      </c>
    </row>
    <row r="9" spans="1:13" x14ac:dyDescent="0.25">
      <c r="A9" s="2" t="s">
        <v>39</v>
      </c>
      <c r="B9" s="3">
        <v>45659</v>
      </c>
      <c r="C9" s="2" t="s">
        <v>40</v>
      </c>
      <c r="D9" s="2" t="s">
        <v>40</v>
      </c>
      <c r="E9" s="2" t="s">
        <v>19</v>
      </c>
      <c r="F9" s="2" t="s">
        <v>20</v>
      </c>
      <c r="G9" s="2" t="s">
        <v>21</v>
      </c>
      <c r="H9" s="2">
        <v>6</v>
      </c>
      <c r="I9" s="4">
        <v>46</v>
      </c>
      <c r="J9" s="2" t="s">
        <v>16</v>
      </c>
      <c r="K9">
        <f>H9*I9</f>
        <v>276</v>
      </c>
      <c r="L9" t="str">
        <f t="shared" si="0"/>
        <v>Jan</v>
      </c>
      <c r="M9">
        <f t="shared" si="1"/>
        <v>1</v>
      </c>
    </row>
    <row r="10" spans="1:13" x14ac:dyDescent="0.25">
      <c r="A10" s="2" t="s">
        <v>41</v>
      </c>
      <c r="B10" s="3">
        <v>45659</v>
      </c>
      <c r="C10" s="2" t="s">
        <v>42</v>
      </c>
      <c r="D10" s="2" t="s">
        <v>43</v>
      </c>
      <c r="E10" s="2" t="s">
        <v>44</v>
      </c>
      <c r="F10" s="2" t="s">
        <v>14</v>
      </c>
      <c r="G10" s="2" t="s">
        <v>45</v>
      </c>
      <c r="H10" s="2">
        <v>2</v>
      </c>
      <c r="I10" s="4">
        <v>46</v>
      </c>
      <c r="J10" s="2" t="s">
        <v>16</v>
      </c>
      <c r="K10">
        <f>H10*I10</f>
        <v>92</v>
      </c>
      <c r="L10" t="str">
        <f t="shared" si="0"/>
        <v>Jan</v>
      </c>
      <c r="M10">
        <f t="shared" si="1"/>
        <v>1</v>
      </c>
    </row>
    <row r="11" spans="1:13" x14ac:dyDescent="0.25">
      <c r="A11" s="2" t="s">
        <v>46</v>
      </c>
      <c r="B11" s="3">
        <v>45660</v>
      </c>
      <c r="C11" s="2" t="s">
        <v>11</v>
      </c>
      <c r="D11" s="2" t="s">
        <v>12</v>
      </c>
      <c r="E11" s="2" t="s">
        <v>13</v>
      </c>
      <c r="F11" s="2" t="s">
        <v>14</v>
      </c>
      <c r="G11" s="2" t="s">
        <v>15</v>
      </c>
      <c r="H11" s="2">
        <v>4</v>
      </c>
      <c r="I11" s="4">
        <v>32</v>
      </c>
      <c r="J11" s="2" t="s">
        <v>16</v>
      </c>
      <c r="K11">
        <f>H11*I11</f>
        <v>128</v>
      </c>
      <c r="L11" t="str">
        <f t="shared" si="0"/>
        <v>Jan</v>
      </c>
      <c r="M11">
        <f t="shared" si="1"/>
        <v>1</v>
      </c>
    </row>
    <row r="12" spans="1:13" x14ac:dyDescent="0.25">
      <c r="A12" s="2" t="s">
        <v>47</v>
      </c>
      <c r="B12" s="3">
        <v>45660</v>
      </c>
      <c r="C12" s="2" t="s">
        <v>48</v>
      </c>
      <c r="D12" s="2" t="s">
        <v>48</v>
      </c>
      <c r="E12" s="2" t="s">
        <v>49</v>
      </c>
      <c r="F12" s="2" t="s">
        <v>20</v>
      </c>
      <c r="G12" s="2" t="s">
        <v>21</v>
      </c>
      <c r="H12" s="2">
        <v>2</v>
      </c>
      <c r="I12" s="4">
        <v>55</v>
      </c>
      <c r="J12" s="2" t="s">
        <v>22</v>
      </c>
      <c r="K12">
        <f>H12*I12</f>
        <v>110</v>
      </c>
      <c r="L12" t="str">
        <f t="shared" si="0"/>
        <v>Jan</v>
      </c>
      <c r="M12">
        <f t="shared" si="1"/>
        <v>1</v>
      </c>
    </row>
    <row r="13" spans="1:13" x14ac:dyDescent="0.25">
      <c r="A13" s="2" t="s">
        <v>50</v>
      </c>
      <c r="B13" s="3">
        <v>45660</v>
      </c>
      <c r="C13" s="2" t="s">
        <v>25</v>
      </c>
      <c r="D13" s="2" t="s">
        <v>25</v>
      </c>
      <c r="E13" s="2" t="s">
        <v>26</v>
      </c>
      <c r="F13" s="2" t="s">
        <v>20</v>
      </c>
      <c r="G13" s="2" t="s">
        <v>21</v>
      </c>
      <c r="H13" s="2">
        <v>3</v>
      </c>
      <c r="I13" s="4">
        <v>20</v>
      </c>
      <c r="J13" s="2" t="s">
        <v>16</v>
      </c>
      <c r="K13">
        <f>H13*I13</f>
        <v>60</v>
      </c>
      <c r="L13" t="str">
        <f t="shared" si="0"/>
        <v>Jan</v>
      </c>
      <c r="M13">
        <f t="shared" si="1"/>
        <v>1</v>
      </c>
    </row>
    <row r="14" spans="1:13" x14ac:dyDescent="0.25">
      <c r="A14" s="2" t="s">
        <v>51</v>
      </c>
      <c r="B14" s="3">
        <v>45660</v>
      </c>
      <c r="C14" s="2" t="s">
        <v>52</v>
      </c>
      <c r="D14" s="2" t="s">
        <v>30</v>
      </c>
      <c r="E14" s="2" t="s">
        <v>13</v>
      </c>
      <c r="F14" s="2" t="s">
        <v>14</v>
      </c>
      <c r="G14" s="2" t="s">
        <v>53</v>
      </c>
      <c r="H14" s="2">
        <v>2</v>
      </c>
      <c r="I14" s="4">
        <v>42</v>
      </c>
      <c r="J14" s="2" t="s">
        <v>16</v>
      </c>
      <c r="K14">
        <f>H14*I14</f>
        <v>84</v>
      </c>
      <c r="L14" t="str">
        <f t="shared" si="0"/>
        <v>Jan</v>
      </c>
      <c r="M14">
        <f t="shared" si="1"/>
        <v>1</v>
      </c>
    </row>
    <row r="15" spans="1:13" x14ac:dyDescent="0.25">
      <c r="A15" s="2" t="s">
        <v>54</v>
      </c>
      <c r="B15" s="3">
        <v>45660</v>
      </c>
      <c r="C15" s="2" t="s">
        <v>52</v>
      </c>
      <c r="D15" s="2" t="s">
        <v>30</v>
      </c>
      <c r="E15" s="2" t="s">
        <v>13</v>
      </c>
      <c r="F15" s="2" t="s">
        <v>14</v>
      </c>
      <c r="G15" s="2" t="s">
        <v>53</v>
      </c>
      <c r="H15" s="2">
        <v>4</v>
      </c>
      <c r="I15" s="4">
        <v>42</v>
      </c>
      <c r="J15" s="2" t="s">
        <v>16</v>
      </c>
      <c r="K15">
        <f>H15*I15</f>
        <v>168</v>
      </c>
      <c r="L15" t="str">
        <f t="shared" si="0"/>
        <v>Jan</v>
      </c>
      <c r="M15">
        <f t="shared" si="1"/>
        <v>1</v>
      </c>
    </row>
    <row r="16" spans="1:13" x14ac:dyDescent="0.25">
      <c r="A16" s="2" t="s">
        <v>55</v>
      </c>
      <c r="B16" s="3">
        <v>45661</v>
      </c>
      <c r="C16" s="2" t="s">
        <v>18</v>
      </c>
      <c r="D16" s="2" t="s">
        <v>18</v>
      </c>
      <c r="E16" s="2" t="s">
        <v>19</v>
      </c>
      <c r="F16" s="2" t="s">
        <v>20</v>
      </c>
      <c r="G16" s="2" t="s">
        <v>21</v>
      </c>
      <c r="H16" s="2">
        <v>2</v>
      </c>
      <c r="I16" s="4">
        <v>15</v>
      </c>
      <c r="J16" s="2" t="s">
        <v>38</v>
      </c>
      <c r="K16">
        <f>H16*I16</f>
        <v>30</v>
      </c>
      <c r="L16" t="str">
        <f t="shared" si="0"/>
        <v>Jan</v>
      </c>
      <c r="M16">
        <f t="shared" si="1"/>
        <v>1</v>
      </c>
    </row>
    <row r="17" spans="1:13" x14ac:dyDescent="0.25">
      <c r="A17" s="2" t="s">
        <v>56</v>
      </c>
      <c r="B17" s="3">
        <v>45661</v>
      </c>
      <c r="C17" s="2" t="s">
        <v>18</v>
      </c>
      <c r="D17" s="2" t="s">
        <v>18</v>
      </c>
      <c r="E17" s="2" t="s">
        <v>19</v>
      </c>
      <c r="F17" s="2" t="s">
        <v>20</v>
      </c>
      <c r="G17" s="2" t="s">
        <v>21</v>
      </c>
      <c r="H17" s="2">
        <v>1</v>
      </c>
      <c r="I17" s="4">
        <v>15</v>
      </c>
      <c r="J17" s="2" t="s">
        <v>31</v>
      </c>
      <c r="K17">
        <f>H17*I17</f>
        <v>15</v>
      </c>
      <c r="L17" t="str">
        <f t="shared" si="0"/>
        <v>Jan</v>
      </c>
      <c r="M17">
        <f t="shared" si="1"/>
        <v>1</v>
      </c>
    </row>
    <row r="18" spans="1:13" x14ac:dyDescent="0.25">
      <c r="A18" s="2" t="s">
        <v>57</v>
      </c>
      <c r="B18" s="3">
        <v>45661</v>
      </c>
      <c r="C18" s="2" t="s">
        <v>40</v>
      </c>
      <c r="D18" s="2" t="s">
        <v>40</v>
      </c>
      <c r="E18" s="2" t="s">
        <v>19</v>
      </c>
      <c r="F18" s="2" t="s">
        <v>20</v>
      </c>
      <c r="G18" s="2" t="s">
        <v>21</v>
      </c>
      <c r="H18" s="2">
        <v>2</v>
      </c>
      <c r="I18" s="4">
        <v>46</v>
      </c>
      <c r="J18" s="2" t="s">
        <v>38</v>
      </c>
      <c r="K18">
        <f>H18*I18</f>
        <v>92</v>
      </c>
      <c r="L18" t="str">
        <f t="shared" si="0"/>
        <v>Jan</v>
      </c>
      <c r="M18">
        <f t="shared" si="1"/>
        <v>1</v>
      </c>
    </row>
    <row r="19" spans="1:13" x14ac:dyDescent="0.25">
      <c r="A19" s="2" t="s">
        <v>58</v>
      </c>
      <c r="B19" s="3">
        <v>45661</v>
      </c>
      <c r="C19" s="2" t="s">
        <v>25</v>
      </c>
      <c r="D19" s="2" t="s">
        <v>25</v>
      </c>
      <c r="E19" s="2" t="s">
        <v>26</v>
      </c>
      <c r="F19" s="2" t="s">
        <v>20</v>
      </c>
      <c r="G19" s="2" t="s">
        <v>21</v>
      </c>
      <c r="H19" s="2">
        <v>4</v>
      </c>
      <c r="I19" s="4">
        <v>20</v>
      </c>
      <c r="J19" s="2" t="s">
        <v>16</v>
      </c>
      <c r="K19">
        <f>H19*I19</f>
        <v>80</v>
      </c>
      <c r="L19" t="str">
        <f t="shared" si="0"/>
        <v>Jan</v>
      </c>
      <c r="M19">
        <f t="shared" si="1"/>
        <v>1</v>
      </c>
    </row>
    <row r="20" spans="1:13" x14ac:dyDescent="0.25">
      <c r="A20" s="2" t="s">
        <v>59</v>
      </c>
      <c r="B20" s="3">
        <v>45661</v>
      </c>
      <c r="C20" s="2" t="s">
        <v>60</v>
      </c>
      <c r="D20" s="2" t="s">
        <v>61</v>
      </c>
      <c r="E20" s="2" t="s">
        <v>62</v>
      </c>
      <c r="F20" s="2" t="s">
        <v>14</v>
      </c>
      <c r="G20" s="2" t="s">
        <v>63</v>
      </c>
      <c r="H20" s="2">
        <v>2</v>
      </c>
      <c r="I20" s="4">
        <v>26</v>
      </c>
      <c r="J20" s="2" t="s">
        <v>16</v>
      </c>
      <c r="K20">
        <f>H20*I20</f>
        <v>52</v>
      </c>
      <c r="L20" t="str">
        <f t="shared" si="0"/>
        <v>Jan</v>
      </c>
      <c r="M20">
        <f t="shared" si="1"/>
        <v>1</v>
      </c>
    </row>
    <row r="21" spans="1:13" x14ac:dyDescent="0.25">
      <c r="A21" s="2" t="s">
        <v>64</v>
      </c>
      <c r="B21" s="3">
        <v>45662</v>
      </c>
      <c r="C21" s="2" t="s">
        <v>11</v>
      </c>
      <c r="D21" s="2" t="s">
        <v>12</v>
      </c>
      <c r="E21" s="2" t="s">
        <v>13</v>
      </c>
      <c r="F21" s="2" t="s">
        <v>14</v>
      </c>
      <c r="G21" s="2" t="s">
        <v>15</v>
      </c>
      <c r="H21" s="2">
        <v>1</v>
      </c>
      <c r="I21" s="4">
        <v>32</v>
      </c>
      <c r="J21" s="2" t="s">
        <v>22</v>
      </c>
      <c r="K21">
        <f>H21*I21</f>
        <v>32</v>
      </c>
      <c r="L21" t="str">
        <f t="shared" si="0"/>
        <v>Jan</v>
      </c>
      <c r="M21">
        <f t="shared" si="1"/>
        <v>1</v>
      </c>
    </row>
    <row r="22" spans="1:13" x14ac:dyDescent="0.25">
      <c r="A22" s="2" t="s">
        <v>65</v>
      </c>
      <c r="B22" s="3">
        <v>45662</v>
      </c>
      <c r="C22" s="2" t="s">
        <v>11</v>
      </c>
      <c r="D22" s="2" t="s">
        <v>12</v>
      </c>
      <c r="E22" s="2" t="s">
        <v>13</v>
      </c>
      <c r="F22" s="2" t="s">
        <v>14</v>
      </c>
      <c r="G22" s="2" t="s">
        <v>15</v>
      </c>
      <c r="H22" s="2">
        <v>2</v>
      </c>
      <c r="I22" s="4">
        <v>32</v>
      </c>
      <c r="J22" s="2" t="s">
        <v>31</v>
      </c>
      <c r="K22">
        <f>H22*I22</f>
        <v>64</v>
      </c>
      <c r="L22" t="str">
        <f t="shared" si="0"/>
        <v>Jan</v>
      </c>
      <c r="M22">
        <f t="shared" si="1"/>
        <v>1</v>
      </c>
    </row>
    <row r="23" spans="1:13" x14ac:dyDescent="0.25">
      <c r="A23" s="2" t="s">
        <v>66</v>
      </c>
      <c r="B23" s="3">
        <v>45662</v>
      </c>
      <c r="C23" s="2" t="s">
        <v>67</v>
      </c>
      <c r="D23" s="2" t="s">
        <v>68</v>
      </c>
      <c r="E23" s="2" t="s">
        <v>49</v>
      </c>
      <c r="F23" s="2" t="s">
        <v>14</v>
      </c>
      <c r="G23" s="2" t="s">
        <v>69</v>
      </c>
      <c r="H23" s="2">
        <v>2</v>
      </c>
      <c r="I23" s="4">
        <v>205</v>
      </c>
      <c r="J23" s="2" t="s">
        <v>38</v>
      </c>
      <c r="K23">
        <f>H23*I23</f>
        <v>410</v>
      </c>
      <c r="L23" t="str">
        <f t="shared" si="0"/>
        <v>Jan</v>
      </c>
      <c r="M23">
        <f t="shared" si="1"/>
        <v>1</v>
      </c>
    </row>
    <row r="24" spans="1:13" x14ac:dyDescent="0.25">
      <c r="A24" s="2" t="s">
        <v>70</v>
      </c>
      <c r="B24" s="3">
        <v>45662</v>
      </c>
      <c r="C24" s="2" t="s">
        <v>67</v>
      </c>
      <c r="D24" s="2" t="s">
        <v>68</v>
      </c>
      <c r="E24" s="2" t="s">
        <v>49</v>
      </c>
      <c r="F24" s="2" t="s">
        <v>14</v>
      </c>
      <c r="G24" s="2" t="s">
        <v>69</v>
      </c>
      <c r="H24" s="2">
        <v>5</v>
      </c>
      <c r="I24" s="4">
        <v>205</v>
      </c>
      <c r="J24" s="2" t="s">
        <v>31</v>
      </c>
      <c r="K24">
        <f>H24*I24</f>
        <v>1025</v>
      </c>
      <c r="L24" t="str">
        <f t="shared" si="0"/>
        <v>Jan</v>
      </c>
      <c r="M24">
        <f t="shared" si="1"/>
        <v>1</v>
      </c>
    </row>
    <row r="25" spans="1:13" x14ac:dyDescent="0.25">
      <c r="A25" s="2" t="s">
        <v>71</v>
      </c>
      <c r="B25" s="3">
        <v>45662</v>
      </c>
      <c r="C25" s="2" t="s">
        <v>72</v>
      </c>
      <c r="D25" s="2" t="s">
        <v>68</v>
      </c>
      <c r="E25" s="2" t="s">
        <v>49</v>
      </c>
      <c r="F25" s="2" t="s">
        <v>20</v>
      </c>
      <c r="G25" s="2" t="s">
        <v>21</v>
      </c>
      <c r="H25" s="2">
        <v>1</v>
      </c>
      <c r="I25" s="4">
        <v>95</v>
      </c>
      <c r="J25" s="2" t="s">
        <v>16</v>
      </c>
      <c r="K25">
        <f>H25*I25</f>
        <v>95</v>
      </c>
      <c r="L25" t="str">
        <f t="shared" si="0"/>
        <v>Jan</v>
      </c>
      <c r="M25">
        <f t="shared" si="1"/>
        <v>1</v>
      </c>
    </row>
    <row r="26" spans="1:13" x14ac:dyDescent="0.25">
      <c r="A26" s="2" t="s">
        <v>73</v>
      </c>
      <c r="B26" s="3">
        <v>45662</v>
      </c>
      <c r="C26" s="2" t="s">
        <v>74</v>
      </c>
      <c r="D26" s="2" t="s">
        <v>75</v>
      </c>
      <c r="E26" s="2" t="s">
        <v>76</v>
      </c>
      <c r="F26" s="2" t="s">
        <v>14</v>
      </c>
      <c r="G26" s="2" t="s">
        <v>77</v>
      </c>
      <c r="H26" s="2">
        <v>3</v>
      </c>
      <c r="I26" s="4">
        <v>32</v>
      </c>
      <c r="J26" s="2" t="s">
        <v>38</v>
      </c>
      <c r="K26">
        <f>H26*I26</f>
        <v>96</v>
      </c>
      <c r="L26" t="str">
        <f t="shared" si="0"/>
        <v>Jan</v>
      </c>
      <c r="M26">
        <f t="shared" si="1"/>
        <v>1</v>
      </c>
    </row>
    <row r="27" spans="1:13" x14ac:dyDescent="0.25">
      <c r="A27" s="2" t="s">
        <v>78</v>
      </c>
      <c r="B27" s="3">
        <v>45662</v>
      </c>
      <c r="C27" s="2" t="s">
        <v>79</v>
      </c>
      <c r="D27" s="2" t="s">
        <v>80</v>
      </c>
      <c r="E27" s="2" t="s">
        <v>26</v>
      </c>
      <c r="F27" s="2" t="s">
        <v>14</v>
      </c>
      <c r="G27" s="2" t="s">
        <v>81</v>
      </c>
      <c r="H27" s="2">
        <v>2</v>
      </c>
      <c r="I27" s="4">
        <v>152</v>
      </c>
      <c r="J27" s="2" t="s">
        <v>16</v>
      </c>
      <c r="K27">
        <f>H27*I27</f>
        <v>304</v>
      </c>
      <c r="L27" t="str">
        <f t="shared" si="0"/>
        <v>Jan</v>
      </c>
      <c r="M27">
        <f t="shared" si="1"/>
        <v>1</v>
      </c>
    </row>
    <row r="28" spans="1:13" x14ac:dyDescent="0.25">
      <c r="A28" s="2" t="s">
        <v>82</v>
      </c>
      <c r="B28" s="3">
        <v>45662</v>
      </c>
      <c r="C28" s="2" t="s">
        <v>61</v>
      </c>
      <c r="D28" s="2" t="s">
        <v>61</v>
      </c>
      <c r="E28" s="2" t="s">
        <v>62</v>
      </c>
      <c r="F28" s="2" t="s">
        <v>20</v>
      </c>
      <c r="G28" s="2" t="s">
        <v>21</v>
      </c>
      <c r="H28" s="2">
        <v>1</v>
      </c>
      <c r="I28" s="4">
        <v>8</v>
      </c>
      <c r="J28" s="2" t="s">
        <v>16</v>
      </c>
      <c r="K28">
        <f>H28*I28</f>
        <v>8</v>
      </c>
      <c r="L28" t="str">
        <f t="shared" si="0"/>
        <v>Jan</v>
      </c>
      <c r="M28">
        <f t="shared" si="1"/>
        <v>1</v>
      </c>
    </row>
    <row r="29" spans="1:13" x14ac:dyDescent="0.25">
      <c r="A29" s="2" t="s">
        <v>83</v>
      </c>
      <c r="B29" s="3">
        <v>45662</v>
      </c>
      <c r="C29" s="2" t="s">
        <v>61</v>
      </c>
      <c r="D29" s="2" t="s">
        <v>61</v>
      </c>
      <c r="E29" s="2" t="s">
        <v>62</v>
      </c>
      <c r="F29" s="2" t="s">
        <v>20</v>
      </c>
      <c r="G29" s="2" t="s">
        <v>21</v>
      </c>
      <c r="H29" s="2">
        <v>1</v>
      </c>
      <c r="I29" s="4">
        <v>8</v>
      </c>
      <c r="J29" s="2" t="s">
        <v>16</v>
      </c>
      <c r="K29">
        <f>H29*I29</f>
        <v>8</v>
      </c>
      <c r="L29" t="str">
        <f t="shared" si="0"/>
        <v>Jan</v>
      </c>
      <c r="M29">
        <f t="shared" si="1"/>
        <v>1</v>
      </c>
    </row>
    <row r="30" spans="1:13" x14ac:dyDescent="0.25">
      <c r="A30" s="2" t="s">
        <v>84</v>
      </c>
      <c r="B30" s="3">
        <v>45662</v>
      </c>
      <c r="C30" s="2" t="s">
        <v>52</v>
      </c>
      <c r="D30" s="2" t="s">
        <v>30</v>
      </c>
      <c r="E30" s="2" t="s">
        <v>13</v>
      </c>
      <c r="F30" s="2" t="s">
        <v>14</v>
      </c>
      <c r="G30" s="2" t="s">
        <v>53</v>
      </c>
      <c r="H30" s="2">
        <v>1</v>
      </c>
      <c r="I30" s="4">
        <v>42</v>
      </c>
      <c r="J30" s="2" t="s">
        <v>16</v>
      </c>
      <c r="K30">
        <f>H30*I30</f>
        <v>42</v>
      </c>
      <c r="L30" t="str">
        <f t="shared" si="0"/>
        <v>Jan</v>
      </c>
      <c r="M30">
        <f t="shared" si="1"/>
        <v>1</v>
      </c>
    </row>
    <row r="31" spans="1:13" x14ac:dyDescent="0.25">
      <c r="A31" s="2" t="s">
        <v>85</v>
      </c>
      <c r="B31" s="3">
        <v>45663</v>
      </c>
      <c r="C31" s="2" t="s">
        <v>86</v>
      </c>
      <c r="D31" s="2" t="s">
        <v>48</v>
      </c>
      <c r="E31" s="2" t="s">
        <v>49</v>
      </c>
      <c r="F31" s="2" t="s">
        <v>14</v>
      </c>
      <c r="G31" s="2" t="s">
        <v>87</v>
      </c>
      <c r="H31" s="2">
        <v>2</v>
      </c>
      <c r="I31" s="4">
        <v>125</v>
      </c>
      <c r="J31" s="2" t="s">
        <v>16</v>
      </c>
      <c r="K31">
        <f>H31*I31</f>
        <v>250</v>
      </c>
      <c r="L31" t="str">
        <f t="shared" si="0"/>
        <v>Jan</v>
      </c>
      <c r="M31">
        <f t="shared" si="1"/>
        <v>1</v>
      </c>
    </row>
    <row r="32" spans="1:13" x14ac:dyDescent="0.25">
      <c r="A32" s="2" t="s">
        <v>88</v>
      </c>
      <c r="B32" s="3">
        <v>45663</v>
      </c>
      <c r="C32" s="2" t="s">
        <v>35</v>
      </c>
      <c r="D32" s="2" t="s">
        <v>35</v>
      </c>
      <c r="E32" s="2" t="s">
        <v>36</v>
      </c>
      <c r="F32" s="2" t="s">
        <v>20</v>
      </c>
      <c r="G32" s="2" t="s">
        <v>21</v>
      </c>
      <c r="H32" s="2">
        <v>2</v>
      </c>
      <c r="I32" s="4">
        <v>58</v>
      </c>
      <c r="J32" s="2" t="s">
        <v>22</v>
      </c>
      <c r="K32">
        <f>H32*I32</f>
        <v>116</v>
      </c>
      <c r="L32" t="str">
        <f t="shared" si="0"/>
        <v>Jan</v>
      </c>
      <c r="M32">
        <f t="shared" si="1"/>
        <v>1</v>
      </c>
    </row>
    <row r="33" spans="1:13" x14ac:dyDescent="0.25">
      <c r="A33" s="2" t="s">
        <v>89</v>
      </c>
      <c r="B33" s="3">
        <v>45664</v>
      </c>
      <c r="C33" s="2" t="s">
        <v>34</v>
      </c>
      <c r="D33" s="2" t="s">
        <v>35</v>
      </c>
      <c r="E33" s="2" t="s">
        <v>36</v>
      </c>
      <c r="F33" s="2" t="s">
        <v>14</v>
      </c>
      <c r="G33" s="2" t="s">
        <v>37</v>
      </c>
      <c r="H33" s="2">
        <v>3</v>
      </c>
      <c r="I33" s="4">
        <v>165</v>
      </c>
      <c r="J33" s="2" t="s">
        <v>38</v>
      </c>
      <c r="K33">
        <f>H33*I33</f>
        <v>495</v>
      </c>
      <c r="L33" t="str">
        <f t="shared" si="0"/>
        <v>Jan</v>
      </c>
      <c r="M33">
        <f t="shared" si="1"/>
        <v>1</v>
      </c>
    </row>
    <row r="34" spans="1:13" x14ac:dyDescent="0.25">
      <c r="A34" s="2" t="s">
        <v>90</v>
      </c>
      <c r="B34" s="3">
        <v>45664</v>
      </c>
      <c r="C34" s="2" t="s">
        <v>60</v>
      </c>
      <c r="D34" s="2" t="s">
        <v>61</v>
      </c>
      <c r="E34" s="2" t="s">
        <v>62</v>
      </c>
      <c r="F34" s="2" t="s">
        <v>14</v>
      </c>
      <c r="G34" s="2" t="s">
        <v>63</v>
      </c>
      <c r="H34" s="2">
        <v>4</v>
      </c>
      <c r="I34" s="4">
        <v>26</v>
      </c>
      <c r="J34" s="2" t="s">
        <v>16</v>
      </c>
      <c r="K34">
        <f>H34*I34</f>
        <v>104</v>
      </c>
      <c r="L34" t="str">
        <f t="shared" si="0"/>
        <v>Jan</v>
      </c>
      <c r="M34">
        <f t="shared" si="1"/>
        <v>1</v>
      </c>
    </row>
    <row r="35" spans="1:13" x14ac:dyDescent="0.25">
      <c r="A35" s="2" t="s">
        <v>91</v>
      </c>
      <c r="B35" s="3">
        <v>45664</v>
      </c>
      <c r="C35" s="2" t="s">
        <v>42</v>
      </c>
      <c r="D35" s="2" t="s">
        <v>43</v>
      </c>
      <c r="E35" s="2" t="s">
        <v>44</v>
      </c>
      <c r="F35" s="2" t="s">
        <v>14</v>
      </c>
      <c r="G35" s="2" t="s">
        <v>45</v>
      </c>
      <c r="H35" s="2">
        <v>5</v>
      </c>
      <c r="I35" s="4">
        <v>46</v>
      </c>
      <c r="J35" s="2" t="s">
        <v>16</v>
      </c>
      <c r="K35">
        <f>H35*I35</f>
        <v>230</v>
      </c>
      <c r="L35" t="str">
        <f t="shared" si="0"/>
        <v>Jan</v>
      </c>
      <c r="M35">
        <f t="shared" si="1"/>
        <v>1</v>
      </c>
    </row>
    <row r="36" spans="1:13" x14ac:dyDescent="0.25">
      <c r="A36" s="2" t="s">
        <v>92</v>
      </c>
      <c r="B36" s="3">
        <v>45665</v>
      </c>
      <c r="C36" s="2" t="s">
        <v>11</v>
      </c>
      <c r="D36" s="2" t="s">
        <v>12</v>
      </c>
      <c r="E36" s="2" t="s">
        <v>13</v>
      </c>
      <c r="F36" s="2" t="s">
        <v>14</v>
      </c>
      <c r="G36" s="2" t="s">
        <v>15</v>
      </c>
      <c r="H36" s="2">
        <v>1</v>
      </c>
      <c r="I36" s="4">
        <v>32</v>
      </c>
      <c r="J36" s="2" t="s">
        <v>16</v>
      </c>
      <c r="K36">
        <f>H36*I36</f>
        <v>32</v>
      </c>
      <c r="L36" t="str">
        <f t="shared" si="0"/>
        <v>Jan</v>
      </c>
      <c r="M36">
        <f t="shared" si="1"/>
        <v>1</v>
      </c>
    </row>
    <row r="37" spans="1:13" x14ac:dyDescent="0.25">
      <c r="A37" s="2" t="s">
        <v>93</v>
      </c>
      <c r="B37" s="3">
        <v>45665</v>
      </c>
      <c r="C37" s="2" t="s">
        <v>12</v>
      </c>
      <c r="D37" s="2" t="s">
        <v>12</v>
      </c>
      <c r="E37" s="2" t="s">
        <v>13</v>
      </c>
      <c r="F37" s="2" t="s">
        <v>20</v>
      </c>
      <c r="G37" s="2" t="s">
        <v>21</v>
      </c>
      <c r="H37" s="2">
        <v>2</v>
      </c>
      <c r="I37" s="4">
        <v>14</v>
      </c>
      <c r="J37" s="2" t="s">
        <v>16</v>
      </c>
      <c r="K37">
        <f>H37*I37</f>
        <v>28</v>
      </c>
      <c r="L37" t="str">
        <f t="shared" si="0"/>
        <v>Jan</v>
      </c>
      <c r="M37">
        <f t="shared" si="1"/>
        <v>1</v>
      </c>
    </row>
    <row r="38" spans="1:13" x14ac:dyDescent="0.25">
      <c r="A38" s="2" t="s">
        <v>94</v>
      </c>
      <c r="B38" s="3">
        <v>45665</v>
      </c>
      <c r="C38" s="2" t="s">
        <v>75</v>
      </c>
      <c r="D38" s="2" t="s">
        <v>75</v>
      </c>
      <c r="E38" s="2" t="s">
        <v>76</v>
      </c>
      <c r="F38" s="2" t="s">
        <v>20</v>
      </c>
      <c r="G38" s="2" t="s">
        <v>21</v>
      </c>
      <c r="H38" s="2">
        <v>3</v>
      </c>
      <c r="I38" s="4">
        <v>12</v>
      </c>
      <c r="J38" s="2" t="s">
        <v>22</v>
      </c>
      <c r="K38">
        <f>H38*I38</f>
        <v>36</v>
      </c>
      <c r="L38" t="str">
        <f t="shared" si="0"/>
        <v>Jan</v>
      </c>
      <c r="M38">
        <f t="shared" si="1"/>
        <v>1</v>
      </c>
    </row>
    <row r="39" spans="1:13" x14ac:dyDescent="0.25">
      <c r="A39" s="2" t="s">
        <v>95</v>
      </c>
      <c r="B39" s="3">
        <v>45665</v>
      </c>
      <c r="C39" s="2" t="s">
        <v>80</v>
      </c>
      <c r="D39" s="2" t="s">
        <v>80</v>
      </c>
      <c r="E39" s="2" t="s">
        <v>26</v>
      </c>
      <c r="F39" s="2" t="s">
        <v>20</v>
      </c>
      <c r="G39" s="2" t="s">
        <v>21</v>
      </c>
      <c r="H39" s="2">
        <v>2</v>
      </c>
      <c r="I39" s="4">
        <v>50</v>
      </c>
      <c r="J39" s="2" t="s">
        <v>16</v>
      </c>
      <c r="K39">
        <f>H39*I39</f>
        <v>100</v>
      </c>
      <c r="L39" t="str">
        <f t="shared" si="0"/>
        <v>Jan</v>
      </c>
      <c r="M39">
        <f t="shared" si="1"/>
        <v>1</v>
      </c>
    </row>
    <row r="40" spans="1:13" x14ac:dyDescent="0.25">
      <c r="A40" s="2" t="s">
        <v>96</v>
      </c>
      <c r="B40" s="3">
        <v>45665</v>
      </c>
      <c r="C40" s="2" t="s">
        <v>97</v>
      </c>
      <c r="D40" s="2" t="s">
        <v>98</v>
      </c>
      <c r="E40" s="2" t="s">
        <v>99</v>
      </c>
      <c r="F40" s="2" t="s">
        <v>14</v>
      </c>
      <c r="G40" s="2" t="s">
        <v>37</v>
      </c>
      <c r="H40" s="2">
        <v>1</v>
      </c>
      <c r="I40" s="4">
        <v>182</v>
      </c>
      <c r="J40" s="2" t="s">
        <v>16</v>
      </c>
      <c r="K40">
        <f>H40*I40</f>
        <v>182</v>
      </c>
      <c r="L40" t="str">
        <f t="shared" si="0"/>
        <v>Jan</v>
      </c>
      <c r="M40">
        <f t="shared" si="1"/>
        <v>1</v>
      </c>
    </row>
    <row r="41" spans="1:13" x14ac:dyDescent="0.25">
      <c r="A41" s="2" t="s">
        <v>100</v>
      </c>
      <c r="B41" s="3">
        <v>45666</v>
      </c>
      <c r="C41" s="2" t="s">
        <v>101</v>
      </c>
      <c r="D41" s="2" t="s">
        <v>102</v>
      </c>
      <c r="E41" s="2" t="s">
        <v>36</v>
      </c>
      <c r="F41" s="2" t="s">
        <v>14</v>
      </c>
      <c r="G41" s="2" t="s">
        <v>103</v>
      </c>
      <c r="H41" s="2">
        <v>3</v>
      </c>
      <c r="I41" s="4">
        <v>92</v>
      </c>
      <c r="J41" s="2" t="s">
        <v>16</v>
      </c>
      <c r="K41">
        <f>H41*I41</f>
        <v>276</v>
      </c>
      <c r="L41" t="str">
        <f t="shared" si="0"/>
        <v>Jan</v>
      </c>
      <c r="M41">
        <f t="shared" si="1"/>
        <v>1</v>
      </c>
    </row>
    <row r="42" spans="1:13" x14ac:dyDescent="0.25">
      <c r="A42" s="2" t="s">
        <v>104</v>
      </c>
      <c r="B42" s="3">
        <v>45666</v>
      </c>
      <c r="C42" s="2" t="s">
        <v>18</v>
      </c>
      <c r="D42" s="2" t="s">
        <v>18</v>
      </c>
      <c r="E42" s="2" t="s">
        <v>19</v>
      </c>
      <c r="F42" s="2" t="s">
        <v>20</v>
      </c>
      <c r="G42" s="2" t="s">
        <v>21</v>
      </c>
      <c r="H42" s="2">
        <v>1</v>
      </c>
      <c r="I42" s="4">
        <v>15</v>
      </c>
      <c r="J42" s="2" t="s">
        <v>16</v>
      </c>
      <c r="K42">
        <f>H42*I42</f>
        <v>15</v>
      </c>
      <c r="L42" t="str">
        <f t="shared" si="0"/>
        <v>Jan</v>
      </c>
      <c r="M42">
        <f t="shared" si="1"/>
        <v>1</v>
      </c>
    </row>
    <row r="43" spans="1:13" x14ac:dyDescent="0.25">
      <c r="A43" s="2" t="s">
        <v>105</v>
      </c>
      <c r="B43" s="3">
        <v>45666</v>
      </c>
      <c r="C43" s="2" t="s">
        <v>80</v>
      </c>
      <c r="D43" s="2" t="s">
        <v>80</v>
      </c>
      <c r="E43" s="2" t="s">
        <v>26</v>
      </c>
      <c r="F43" s="2" t="s">
        <v>20</v>
      </c>
      <c r="G43" s="2" t="s">
        <v>21</v>
      </c>
      <c r="H43" s="2">
        <v>1</v>
      </c>
      <c r="I43" s="4">
        <v>50</v>
      </c>
      <c r="J43" s="2" t="s">
        <v>16</v>
      </c>
      <c r="K43">
        <f>H43*I43</f>
        <v>50</v>
      </c>
      <c r="L43" t="str">
        <f t="shared" si="0"/>
        <v>Jan</v>
      </c>
      <c r="M43">
        <f t="shared" si="1"/>
        <v>1</v>
      </c>
    </row>
    <row r="44" spans="1:13" x14ac:dyDescent="0.25">
      <c r="A44" s="2" t="s">
        <v>106</v>
      </c>
      <c r="B44" s="3">
        <v>45666</v>
      </c>
      <c r="C44" s="2" t="s">
        <v>25</v>
      </c>
      <c r="D44" s="2" t="s">
        <v>25</v>
      </c>
      <c r="E44" s="2" t="s">
        <v>26</v>
      </c>
      <c r="F44" s="2" t="s">
        <v>20</v>
      </c>
      <c r="G44" s="2" t="s">
        <v>21</v>
      </c>
      <c r="H44" s="2">
        <v>1</v>
      </c>
      <c r="I44" s="4">
        <v>20</v>
      </c>
      <c r="J44" s="2" t="s">
        <v>16</v>
      </c>
      <c r="K44">
        <f>H44*I44</f>
        <v>20</v>
      </c>
      <c r="L44" t="str">
        <f t="shared" si="0"/>
        <v>Jan</v>
      </c>
      <c r="M44">
        <f t="shared" si="1"/>
        <v>1</v>
      </c>
    </row>
    <row r="45" spans="1:13" x14ac:dyDescent="0.25">
      <c r="A45" s="2" t="s">
        <v>107</v>
      </c>
      <c r="B45" s="3">
        <v>45666</v>
      </c>
      <c r="C45" s="2" t="s">
        <v>108</v>
      </c>
      <c r="D45" s="2" t="s">
        <v>109</v>
      </c>
      <c r="E45" s="2" t="s">
        <v>13</v>
      </c>
      <c r="F45" s="2" t="s">
        <v>14</v>
      </c>
      <c r="G45" s="2" t="s">
        <v>110</v>
      </c>
      <c r="H45" s="2">
        <v>4</v>
      </c>
      <c r="I45" s="4">
        <v>62</v>
      </c>
      <c r="J45" s="2" t="s">
        <v>31</v>
      </c>
      <c r="K45">
        <f>H45*I45</f>
        <v>248</v>
      </c>
      <c r="L45" t="str">
        <f t="shared" si="0"/>
        <v>Jan</v>
      </c>
      <c r="M45">
        <f t="shared" si="1"/>
        <v>1</v>
      </c>
    </row>
    <row r="46" spans="1:13" x14ac:dyDescent="0.25">
      <c r="A46" s="2" t="s">
        <v>111</v>
      </c>
      <c r="B46" s="3">
        <v>45667</v>
      </c>
      <c r="C46" s="2" t="s">
        <v>74</v>
      </c>
      <c r="D46" s="2" t="s">
        <v>75</v>
      </c>
      <c r="E46" s="2" t="s">
        <v>76</v>
      </c>
      <c r="F46" s="2" t="s">
        <v>14</v>
      </c>
      <c r="G46" s="2" t="s">
        <v>77</v>
      </c>
      <c r="H46" s="2">
        <v>3</v>
      </c>
      <c r="I46" s="4">
        <v>32</v>
      </c>
      <c r="J46" s="2" t="s">
        <v>31</v>
      </c>
      <c r="K46">
        <f>H46*I46</f>
        <v>96</v>
      </c>
      <c r="L46" t="str">
        <f t="shared" si="0"/>
        <v>Jan</v>
      </c>
      <c r="M46">
        <f t="shared" si="1"/>
        <v>1</v>
      </c>
    </row>
    <row r="47" spans="1:13" x14ac:dyDescent="0.25">
      <c r="A47" s="2" t="s">
        <v>112</v>
      </c>
      <c r="B47" s="3">
        <v>45667</v>
      </c>
      <c r="C47" s="2" t="s">
        <v>74</v>
      </c>
      <c r="D47" s="2" t="s">
        <v>75</v>
      </c>
      <c r="E47" s="2" t="s">
        <v>76</v>
      </c>
      <c r="F47" s="2" t="s">
        <v>14</v>
      </c>
      <c r="G47" s="2" t="s">
        <v>77</v>
      </c>
      <c r="H47" s="2">
        <v>12</v>
      </c>
      <c r="I47" s="4">
        <v>32</v>
      </c>
      <c r="J47" s="2" t="s">
        <v>16</v>
      </c>
      <c r="K47">
        <f>H47*I47</f>
        <v>384</v>
      </c>
      <c r="L47" t="str">
        <f t="shared" si="0"/>
        <v>Jan</v>
      </c>
      <c r="M47">
        <f t="shared" si="1"/>
        <v>1</v>
      </c>
    </row>
    <row r="48" spans="1:13" x14ac:dyDescent="0.25">
      <c r="A48" s="2" t="s">
        <v>113</v>
      </c>
      <c r="B48" s="3">
        <v>45667</v>
      </c>
      <c r="C48" s="2" t="s">
        <v>75</v>
      </c>
      <c r="D48" s="2" t="s">
        <v>75</v>
      </c>
      <c r="E48" s="2" t="s">
        <v>76</v>
      </c>
      <c r="F48" s="2" t="s">
        <v>20</v>
      </c>
      <c r="G48" s="2" t="s">
        <v>21</v>
      </c>
      <c r="H48" s="2">
        <v>6</v>
      </c>
      <c r="I48" s="4">
        <v>12</v>
      </c>
      <c r="J48" s="2" t="s">
        <v>16</v>
      </c>
      <c r="K48">
        <f>H48*I48</f>
        <v>72</v>
      </c>
      <c r="L48" t="str">
        <f t="shared" si="0"/>
        <v>Jan</v>
      </c>
      <c r="M48">
        <f t="shared" si="1"/>
        <v>1</v>
      </c>
    </row>
    <row r="49" spans="1:13" x14ac:dyDescent="0.25">
      <c r="A49" s="2" t="s">
        <v>114</v>
      </c>
      <c r="B49" s="3">
        <v>45667</v>
      </c>
      <c r="C49" s="2" t="s">
        <v>80</v>
      </c>
      <c r="D49" s="2" t="s">
        <v>80</v>
      </c>
      <c r="E49" s="2" t="s">
        <v>26</v>
      </c>
      <c r="F49" s="2" t="s">
        <v>20</v>
      </c>
      <c r="G49" s="2" t="s">
        <v>21</v>
      </c>
      <c r="H49" s="2">
        <v>2</v>
      </c>
      <c r="I49" s="4">
        <v>50</v>
      </c>
      <c r="J49" s="2" t="s">
        <v>31</v>
      </c>
      <c r="K49">
        <f>H49*I49</f>
        <v>100</v>
      </c>
      <c r="L49" t="str">
        <f t="shared" si="0"/>
        <v>Jan</v>
      </c>
      <c r="M49">
        <f t="shared" si="1"/>
        <v>1</v>
      </c>
    </row>
    <row r="50" spans="1:13" x14ac:dyDescent="0.25">
      <c r="A50" s="2" t="s">
        <v>115</v>
      </c>
      <c r="B50" s="3">
        <v>45667</v>
      </c>
      <c r="C50" s="2" t="s">
        <v>60</v>
      </c>
      <c r="D50" s="2" t="s">
        <v>61</v>
      </c>
      <c r="E50" s="2" t="s">
        <v>62</v>
      </c>
      <c r="F50" s="2" t="s">
        <v>14</v>
      </c>
      <c r="G50" s="2" t="s">
        <v>63</v>
      </c>
      <c r="H50" s="2">
        <v>4</v>
      </c>
      <c r="I50" s="4">
        <v>26</v>
      </c>
      <c r="J50" s="2" t="s">
        <v>31</v>
      </c>
      <c r="K50">
        <f>H50*I50</f>
        <v>104</v>
      </c>
      <c r="L50" t="str">
        <f t="shared" si="0"/>
        <v>Jan</v>
      </c>
      <c r="M50">
        <f t="shared" si="1"/>
        <v>1</v>
      </c>
    </row>
    <row r="51" spans="1:13" x14ac:dyDescent="0.25">
      <c r="A51" s="2" t="s">
        <v>116</v>
      </c>
      <c r="B51" s="3">
        <v>45667</v>
      </c>
      <c r="C51" s="2" t="s">
        <v>60</v>
      </c>
      <c r="D51" s="2" t="s">
        <v>61</v>
      </c>
      <c r="E51" s="2" t="s">
        <v>62</v>
      </c>
      <c r="F51" s="2" t="s">
        <v>14</v>
      </c>
      <c r="G51" s="2" t="s">
        <v>63</v>
      </c>
      <c r="H51" s="2">
        <v>2</v>
      </c>
      <c r="I51" s="4">
        <v>26</v>
      </c>
      <c r="J51" s="2" t="s">
        <v>16</v>
      </c>
      <c r="K51">
        <f>H51*I51</f>
        <v>52</v>
      </c>
      <c r="L51" t="str">
        <f t="shared" si="0"/>
        <v>Jan</v>
      </c>
      <c r="M51">
        <f t="shared" si="1"/>
        <v>1</v>
      </c>
    </row>
    <row r="52" spans="1:13" x14ac:dyDescent="0.25">
      <c r="A52" s="2" t="s">
        <v>117</v>
      </c>
      <c r="B52" s="3">
        <v>45668</v>
      </c>
      <c r="C52" s="2" t="s">
        <v>48</v>
      </c>
      <c r="D52" s="2" t="s">
        <v>48</v>
      </c>
      <c r="E52" s="2" t="s">
        <v>49</v>
      </c>
      <c r="F52" s="2" t="s">
        <v>20</v>
      </c>
      <c r="G52" s="2" t="s">
        <v>21</v>
      </c>
      <c r="H52" s="2">
        <v>2</v>
      </c>
      <c r="I52" s="4">
        <v>55</v>
      </c>
      <c r="J52" s="2" t="s">
        <v>16</v>
      </c>
      <c r="K52">
        <f>H52*I52</f>
        <v>110</v>
      </c>
      <c r="L52" t="str">
        <f t="shared" si="0"/>
        <v>Jan</v>
      </c>
      <c r="M52">
        <f t="shared" si="1"/>
        <v>1</v>
      </c>
    </row>
    <row r="53" spans="1:13" x14ac:dyDescent="0.25">
      <c r="A53" s="2" t="s">
        <v>118</v>
      </c>
      <c r="B53" s="3">
        <v>45668</v>
      </c>
      <c r="C53" s="2" t="s">
        <v>119</v>
      </c>
      <c r="D53" s="2" t="s">
        <v>120</v>
      </c>
      <c r="E53" s="2" t="s">
        <v>76</v>
      </c>
      <c r="F53" s="2" t="s">
        <v>14</v>
      </c>
      <c r="G53" s="2" t="s">
        <v>121</v>
      </c>
      <c r="H53" s="2">
        <v>2</v>
      </c>
      <c r="I53" s="4">
        <v>190</v>
      </c>
      <c r="J53" s="2" t="s">
        <v>16</v>
      </c>
      <c r="K53">
        <f>H53*I53</f>
        <v>380</v>
      </c>
      <c r="L53" t="str">
        <f t="shared" si="0"/>
        <v>Jan</v>
      </c>
      <c r="M53">
        <f t="shared" si="1"/>
        <v>1</v>
      </c>
    </row>
    <row r="54" spans="1:13" x14ac:dyDescent="0.25">
      <c r="A54" s="2" t="s">
        <v>122</v>
      </c>
      <c r="B54" s="3">
        <v>45668</v>
      </c>
      <c r="C54" s="2" t="s">
        <v>101</v>
      </c>
      <c r="D54" s="2" t="s">
        <v>102</v>
      </c>
      <c r="E54" s="2" t="s">
        <v>36</v>
      </c>
      <c r="F54" s="2" t="s">
        <v>14</v>
      </c>
      <c r="G54" s="2" t="s">
        <v>103</v>
      </c>
      <c r="H54" s="2">
        <v>1</v>
      </c>
      <c r="I54" s="4">
        <v>92</v>
      </c>
      <c r="J54" s="2" t="s">
        <v>16</v>
      </c>
      <c r="K54">
        <f>H54*I54</f>
        <v>92</v>
      </c>
      <c r="L54" t="str">
        <f t="shared" si="0"/>
        <v>Jan</v>
      </c>
      <c r="M54">
        <f t="shared" si="1"/>
        <v>1</v>
      </c>
    </row>
    <row r="55" spans="1:13" x14ac:dyDescent="0.25">
      <c r="A55" s="2" t="s">
        <v>123</v>
      </c>
      <c r="B55" s="3">
        <v>45668</v>
      </c>
      <c r="C55" s="2" t="s">
        <v>124</v>
      </c>
      <c r="D55" s="2" t="s">
        <v>18</v>
      </c>
      <c r="E55" s="2" t="s">
        <v>19</v>
      </c>
      <c r="F55" s="2" t="s">
        <v>14</v>
      </c>
      <c r="G55" s="2" t="s">
        <v>125</v>
      </c>
      <c r="H55" s="2">
        <v>1</v>
      </c>
      <c r="I55" s="4">
        <v>45</v>
      </c>
      <c r="J55" s="2" t="s">
        <v>16</v>
      </c>
      <c r="K55">
        <f>H55*I55</f>
        <v>45</v>
      </c>
      <c r="L55" t="str">
        <f t="shared" si="0"/>
        <v>Jan</v>
      </c>
      <c r="M55">
        <f t="shared" si="1"/>
        <v>1</v>
      </c>
    </row>
    <row r="56" spans="1:13" x14ac:dyDescent="0.25">
      <c r="A56" s="2" t="s">
        <v>126</v>
      </c>
      <c r="B56" s="3">
        <v>45668</v>
      </c>
      <c r="C56" s="2" t="s">
        <v>52</v>
      </c>
      <c r="D56" s="2" t="s">
        <v>30</v>
      </c>
      <c r="E56" s="2" t="s">
        <v>13</v>
      </c>
      <c r="F56" s="2" t="s">
        <v>14</v>
      </c>
      <c r="G56" s="2" t="s">
        <v>53</v>
      </c>
      <c r="H56" s="2">
        <v>3</v>
      </c>
      <c r="I56" s="4">
        <v>42</v>
      </c>
      <c r="J56" s="2" t="s">
        <v>31</v>
      </c>
      <c r="K56">
        <f>H56*I56</f>
        <v>126</v>
      </c>
      <c r="L56" t="str">
        <f t="shared" si="0"/>
        <v>Jan</v>
      </c>
      <c r="M56">
        <f t="shared" si="1"/>
        <v>1</v>
      </c>
    </row>
    <row r="57" spans="1:13" x14ac:dyDescent="0.25">
      <c r="A57" s="2" t="s">
        <v>127</v>
      </c>
      <c r="B57" s="3">
        <v>45669</v>
      </c>
      <c r="C57" s="2" t="s">
        <v>18</v>
      </c>
      <c r="D57" s="2" t="s">
        <v>18</v>
      </c>
      <c r="E57" s="2" t="s">
        <v>19</v>
      </c>
      <c r="F57" s="2" t="s">
        <v>20</v>
      </c>
      <c r="G57" s="2" t="s">
        <v>21</v>
      </c>
      <c r="H57" s="2">
        <v>3</v>
      </c>
      <c r="I57" s="4">
        <v>15</v>
      </c>
      <c r="J57" s="2" t="s">
        <v>38</v>
      </c>
      <c r="K57">
        <f>H57*I57</f>
        <v>45</v>
      </c>
      <c r="L57" t="str">
        <f t="shared" si="0"/>
        <v>Jan</v>
      </c>
      <c r="M57">
        <f t="shared" si="1"/>
        <v>1</v>
      </c>
    </row>
    <row r="58" spans="1:13" x14ac:dyDescent="0.25">
      <c r="A58" s="2" t="s">
        <v>128</v>
      </c>
      <c r="B58" s="3">
        <v>45669</v>
      </c>
      <c r="C58" s="2" t="s">
        <v>79</v>
      </c>
      <c r="D58" s="2" t="s">
        <v>80</v>
      </c>
      <c r="E58" s="2" t="s">
        <v>26</v>
      </c>
      <c r="F58" s="2" t="s">
        <v>14</v>
      </c>
      <c r="G58" s="2" t="s">
        <v>81</v>
      </c>
      <c r="H58" s="2">
        <v>4</v>
      </c>
      <c r="I58" s="4">
        <v>152</v>
      </c>
      <c r="J58" s="2" t="s">
        <v>22</v>
      </c>
      <c r="K58">
        <f>H58*I58</f>
        <v>608</v>
      </c>
      <c r="L58" t="str">
        <f t="shared" si="0"/>
        <v>Jan</v>
      </c>
      <c r="M58">
        <f t="shared" si="1"/>
        <v>1</v>
      </c>
    </row>
    <row r="59" spans="1:13" x14ac:dyDescent="0.25">
      <c r="A59" s="2" t="s">
        <v>129</v>
      </c>
      <c r="B59" s="3">
        <v>45670</v>
      </c>
      <c r="C59" s="2" t="s">
        <v>86</v>
      </c>
      <c r="D59" s="2" t="s">
        <v>48</v>
      </c>
      <c r="E59" s="2" t="s">
        <v>49</v>
      </c>
      <c r="F59" s="2" t="s">
        <v>14</v>
      </c>
      <c r="G59" s="2" t="s">
        <v>87</v>
      </c>
      <c r="H59" s="2">
        <v>2</v>
      </c>
      <c r="I59" s="4">
        <v>125</v>
      </c>
      <c r="J59" s="2" t="s">
        <v>22</v>
      </c>
      <c r="K59">
        <f>H59*I59</f>
        <v>250</v>
      </c>
      <c r="L59" t="str">
        <f t="shared" si="0"/>
        <v>Jan</v>
      </c>
      <c r="M59">
        <f t="shared" si="1"/>
        <v>1</v>
      </c>
    </row>
    <row r="60" spans="1:13" x14ac:dyDescent="0.25">
      <c r="A60" s="2" t="s">
        <v>130</v>
      </c>
      <c r="B60" s="3">
        <v>45670</v>
      </c>
      <c r="C60" s="2" t="s">
        <v>102</v>
      </c>
      <c r="D60" s="2" t="s">
        <v>102</v>
      </c>
      <c r="E60" s="2" t="s">
        <v>36</v>
      </c>
      <c r="F60" s="2" t="s">
        <v>20</v>
      </c>
      <c r="G60" s="2" t="s">
        <v>21</v>
      </c>
      <c r="H60" s="2">
        <v>3</v>
      </c>
      <c r="I60" s="4">
        <v>35</v>
      </c>
      <c r="J60" s="2" t="s">
        <v>16</v>
      </c>
      <c r="K60">
        <f>H60*I60</f>
        <v>105</v>
      </c>
      <c r="L60" t="str">
        <f t="shared" si="0"/>
        <v>Jan</v>
      </c>
      <c r="M60">
        <f t="shared" si="1"/>
        <v>1</v>
      </c>
    </row>
    <row r="61" spans="1:13" x14ac:dyDescent="0.25">
      <c r="A61" s="2" t="s">
        <v>131</v>
      </c>
      <c r="B61" s="3">
        <v>45670</v>
      </c>
      <c r="C61" s="2" t="s">
        <v>61</v>
      </c>
      <c r="D61" s="2" t="s">
        <v>61</v>
      </c>
      <c r="E61" s="2" t="s">
        <v>62</v>
      </c>
      <c r="F61" s="2" t="s">
        <v>20</v>
      </c>
      <c r="G61" s="2" t="s">
        <v>21</v>
      </c>
      <c r="H61" s="2">
        <v>5</v>
      </c>
      <c r="I61" s="4">
        <v>8</v>
      </c>
      <c r="J61" s="2" t="s">
        <v>16</v>
      </c>
      <c r="K61">
        <f>H61*I61</f>
        <v>40</v>
      </c>
      <c r="L61" t="str">
        <f t="shared" si="0"/>
        <v>Jan</v>
      </c>
      <c r="M61">
        <f t="shared" si="1"/>
        <v>1</v>
      </c>
    </row>
    <row r="62" spans="1:13" x14ac:dyDescent="0.25">
      <c r="A62" s="2" t="s">
        <v>132</v>
      </c>
      <c r="B62" s="3">
        <v>45670</v>
      </c>
      <c r="C62" s="2" t="s">
        <v>43</v>
      </c>
      <c r="D62" s="2" t="s">
        <v>43</v>
      </c>
      <c r="E62" s="2" t="s">
        <v>44</v>
      </c>
      <c r="F62" s="2" t="s">
        <v>20</v>
      </c>
      <c r="G62" s="2" t="s">
        <v>21</v>
      </c>
      <c r="H62" s="2">
        <v>2</v>
      </c>
      <c r="I62" s="4">
        <v>18</v>
      </c>
      <c r="J62" s="2" t="s">
        <v>16</v>
      </c>
      <c r="K62">
        <f>H62*I62</f>
        <v>36</v>
      </c>
      <c r="L62" t="str">
        <f t="shared" si="0"/>
        <v>Jan</v>
      </c>
      <c r="M62">
        <f t="shared" si="1"/>
        <v>1</v>
      </c>
    </row>
    <row r="63" spans="1:13" x14ac:dyDescent="0.25">
      <c r="A63" s="2" t="s">
        <v>133</v>
      </c>
      <c r="B63" s="3">
        <v>45671</v>
      </c>
      <c r="C63" s="2" t="s">
        <v>67</v>
      </c>
      <c r="D63" s="2" t="s">
        <v>68</v>
      </c>
      <c r="E63" s="2" t="s">
        <v>49</v>
      </c>
      <c r="F63" s="2" t="s">
        <v>14</v>
      </c>
      <c r="G63" s="2" t="s">
        <v>69</v>
      </c>
      <c r="H63" s="2">
        <v>4</v>
      </c>
      <c r="I63" s="4">
        <v>205</v>
      </c>
      <c r="J63" s="2" t="s">
        <v>16</v>
      </c>
      <c r="K63">
        <f>H63*I63</f>
        <v>820</v>
      </c>
      <c r="L63" t="str">
        <f t="shared" si="0"/>
        <v>Jan</v>
      </c>
      <c r="M63">
        <f t="shared" si="1"/>
        <v>1</v>
      </c>
    </row>
    <row r="64" spans="1:13" x14ac:dyDescent="0.25">
      <c r="A64" s="2" t="s">
        <v>134</v>
      </c>
      <c r="B64" s="3">
        <v>45671</v>
      </c>
      <c r="C64" s="2" t="s">
        <v>102</v>
      </c>
      <c r="D64" s="2" t="s">
        <v>102</v>
      </c>
      <c r="E64" s="2" t="s">
        <v>36</v>
      </c>
      <c r="F64" s="2" t="s">
        <v>20</v>
      </c>
      <c r="G64" s="2" t="s">
        <v>21</v>
      </c>
      <c r="H64" s="2">
        <v>3</v>
      </c>
      <c r="I64" s="4">
        <v>35</v>
      </c>
      <c r="J64" s="2" t="s">
        <v>16</v>
      </c>
      <c r="K64">
        <f>H64*I64</f>
        <v>105</v>
      </c>
      <c r="L64" t="str">
        <f t="shared" si="0"/>
        <v>Jan</v>
      </c>
      <c r="M64">
        <f t="shared" si="1"/>
        <v>1</v>
      </c>
    </row>
    <row r="65" spans="1:13" x14ac:dyDescent="0.25">
      <c r="A65" s="2" t="s">
        <v>135</v>
      </c>
      <c r="B65" s="3">
        <v>45671</v>
      </c>
      <c r="C65" s="2" t="s">
        <v>40</v>
      </c>
      <c r="D65" s="2" t="s">
        <v>40</v>
      </c>
      <c r="E65" s="2" t="s">
        <v>19</v>
      </c>
      <c r="F65" s="2" t="s">
        <v>20</v>
      </c>
      <c r="G65" s="2" t="s">
        <v>21</v>
      </c>
      <c r="H65" s="2">
        <v>1</v>
      </c>
      <c r="I65" s="4">
        <v>46</v>
      </c>
      <c r="J65" s="2" t="s">
        <v>16</v>
      </c>
      <c r="K65">
        <f>H65*I65</f>
        <v>46</v>
      </c>
      <c r="L65" t="str">
        <f t="shared" si="0"/>
        <v>Jan</v>
      </c>
      <c r="M65">
        <f t="shared" si="1"/>
        <v>1</v>
      </c>
    </row>
    <row r="66" spans="1:13" x14ac:dyDescent="0.25">
      <c r="A66" s="2" t="s">
        <v>136</v>
      </c>
      <c r="B66" s="3">
        <v>45671</v>
      </c>
      <c r="C66" s="2" t="s">
        <v>30</v>
      </c>
      <c r="D66" s="2" t="s">
        <v>30</v>
      </c>
      <c r="E66" s="2" t="s">
        <v>13</v>
      </c>
      <c r="F66" s="2" t="s">
        <v>20</v>
      </c>
      <c r="G66" s="2" t="s">
        <v>21</v>
      </c>
      <c r="H66" s="2">
        <v>4</v>
      </c>
      <c r="I66" s="4">
        <v>15</v>
      </c>
      <c r="J66" s="2" t="s">
        <v>22</v>
      </c>
      <c r="K66">
        <f>H66*I66</f>
        <v>60</v>
      </c>
      <c r="L66" t="str">
        <f t="shared" si="0"/>
        <v>Jan</v>
      </c>
      <c r="M66">
        <f t="shared" si="1"/>
        <v>1</v>
      </c>
    </row>
    <row r="67" spans="1:13" x14ac:dyDescent="0.25">
      <c r="A67" s="2" t="s">
        <v>137</v>
      </c>
      <c r="B67" s="3">
        <v>45671</v>
      </c>
      <c r="C67" s="2" t="s">
        <v>42</v>
      </c>
      <c r="D67" s="2" t="s">
        <v>43</v>
      </c>
      <c r="E67" s="2" t="s">
        <v>44</v>
      </c>
      <c r="F67" s="2" t="s">
        <v>14</v>
      </c>
      <c r="G67" s="2" t="s">
        <v>45</v>
      </c>
      <c r="H67" s="2">
        <v>1</v>
      </c>
      <c r="I67" s="4">
        <v>46</v>
      </c>
      <c r="J67" s="2" t="s">
        <v>16</v>
      </c>
      <c r="K67">
        <f>H67*I67</f>
        <v>46</v>
      </c>
      <c r="L67" t="str">
        <f t="shared" ref="L67:L130" si="2">TEXT(B67,"mmm")</f>
        <v>Jan</v>
      </c>
      <c r="M67">
        <f t="shared" ref="M67:M130" si="3">MONTH(B67)</f>
        <v>1</v>
      </c>
    </row>
    <row r="68" spans="1:13" x14ac:dyDescent="0.25">
      <c r="A68" s="2" t="s">
        <v>138</v>
      </c>
      <c r="B68" s="3">
        <v>45672</v>
      </c>
      <c r="C68" s="2" t="s">
        <v>12</v>
      </c>
      <c r="D68" s="2" t="s">
        <v>12</v>
      </c>
      <c r="E68" s="2" t="s">
        <v>13</v>
      </c>
      <c r="F68" s="2" t="s">
        <v>20</v>
      </c>
      <c r="G68" s="2" t="s">
        <v>21</v>
      </c>
      <c r="H68" s="2">
        <v>3</v>
      </c>
      <c r="I68" s="4">
        <v>14</v>
      </c>
      <c r="J68" s="2" t="s">
        <v>16</v>
      </c>
      <c r="K68">
        <f>H68*I68</f>
        <v>42</v>
      </c>
      <c r="L68" t="str">
        <f t="shared" si="2"/>
        <v>Jan</v>
      </c>
      <c r="M68">
        <f t="shared" si="3"/>
        <v>1</v>
      </c>
    </row>
    <row r="69" spans="1:13" x14ac:dyDescent="0.25">
      <c r="A69" s="2" t="s">
        <v>139</v>
      </c>
      <c r="B69" s="3">
        <v>45672</v>
      </c>
      <c r="C69" s="2" t="s">
        <v>74</v>
      </c>
      <c r="D69" s="2" t="s">
        <v>75</v>
      </c>
      <c r="E69" s="2" t="s">
        <v>76</v>
      </c>
      <c r="F69" s="2" t="s">
        <v>14</v>
      </c>
      <c r="G69" s="2" t="s">
        <v>77</v>
      </c>
      <c r="H69" s="2">
        <v>3</v>
      </c>
      <c r="I69" s="4">
        <v>32</v>
      </c>
      <c r="J69" s="2" t="s">
        <v>31</v>
      </c>
      <c r="K69">
        <f>H69*I69</f>
        <v>96</v>
      </c>
      <c r="L69" t="str">
        <f t="shared" si="2"/>
        <v>Jan</v>
      </c>
      <c r="M69">
        <f t="shared" si="3"/>
        <v>1</v>
      </c>
    </row>
    <row r="70" spans="1:13" x14ac:dyDescent="0.25">
      <c r="A70" s="2" t="s">
        <v>140</v>
      </c>
      <c r="B70" s="3">
        <v>45672</v>
      </c>
      <c r="C70" s="2" t="s">
        <v>75</v>
      </c>
      <c r="D70" s="2" t="s">
        <v>75</v>
      </c>
      <c r="E70" s="2" t="s">
        <v>76</v>
      </c>
      <c r="F70" s="2" t="s">
        <v>20</v>
      </c>
      <c r="G70" s="2" t="s">
        <v>21</v>
      </c>
      <c r="H70" s="2">
        <v>3</v>
      </c>
      <c r="I70" s="4">
        <v>12</v>
      </c>
      <c r="J70" s="2" t="s">
        <v>16</v>
      </c>
      <c r="K70">
        <f>H70*I70</f>
        <v>36</v>
      </c>
      <c r="L70" t="str">
        <f t="shared" si="2"/>
        <v>Jan</v>
      </c>
      <c r="M70">
        <f t="shared" si="3"/>
        <v>1</v>
      </c>
    </row>
    <row r="71" spans="1:13" x14ac:dyDescent="0.25">
      <c r="A71" s="2" t="s">
        <v>141</v>
      </c>
      <c r="B71" s="3">
        <v>45672</v>
      </c>
      <c r="C71" s="2" t="s">
        <v>101</v>
      </c>
      <c r="D71" s="2" t="s">
        <v>102</v>
      </c>
      <c r="E71" s="2" t="s">
        <v>36</v>
      </c>
      <c r="F71" s="2" t="s">
        <v>14</v>
      </c>
      <c r="G71" s="2" t="s">
        <v>103</v>
      </c>
      <c r="H71" s="2">
        <v>6</v>
      </c>
      <c r="I71" s="4">
        <v>92</v>
      </c>
      <c r="J71" s="2" t="s">
        <v>22</v>
      </c>
      <c r="K71">
        <f>H71*I71</f>
        <v>552</v>
      </c>
      <c r="L71" t="str">
        <f t="shared" si="2"/>
        <v>Jan</v>
      </c>
      <c r="M71">
        <f t="shared" si="3"/>
        <v>1</v>
      </c>
    </row>
    <row r="72" spans="1:13" x14ac:dyDescent="0.25">
      <c r="A72" s="2" t="s">
        <v>142</v>
      </c>
      <c r="B72" s="3">
        <v>45672</v>
      </c>
      <c r="C72" s="2" t="s">
        <v>60</v>
      </c>
      <c r="D72" s="2" t="s">
        <v>61</v>
      </c>
      <c r="E72" s="2" t="s">
        <v>62</v>
      </c>
      <c r="F72" s="2" t="s">
        <v>14</v>
      </c>
      <c r="G72" s="2" t="s">
        <v>63</v>
      </c>
      <c r="H72" s="2">
        <v>2</v>
      </c>
      <c r="I72" s="4">
        <v>26</v>
      </c>
      <c r="J72" s="2" t="s">
        <v>16</v>
      </c>
      <c r="K72">
        <f>H72*I72</f>
        <v>52</v>
      </c>
      <c r="L72" t="str">
        <f t="shared" si="2"/>
        <v>Jan</v>
      </c>
      <c r="M72">
        <f t="shared" si="3"/>
        <v>1</v>
      </c>
    </row>
    <row r="73" spans="1:13" x14ac:dyDescent="0.25">
      <c r="A73" s="2" t="s">
        <v>143</v>
      </c>
      <c r="B73" s="3">
        <v>45673</v>
      </c>
      <c r="C73" s="2" t="s">
        <v>75</v>
      </c>
      <c r="D73" s="2" t="s">
        <v>75</v>
      </c>
      <c r="E73" s="2" t="s">
        <v>76</v>
      </c>
      <c r="F73" s="2" t="s">
        <v>20</v>
      </c>
      <c r="G73" s="2" t="s">
        <v>21</v>
      </c>
      <c r="H73" s="2">
        <v>2</v>
      </c>
      <c r="I73" s="4">
        <v>12</v>
      </c>
      <c r="J73" s="2" t="s">
        <v>16</v>
      </c>
      <c r="K73">
        <f>H73*I73</f>
        <v>24</v>
      </c>
      <c r="L73" t="str">
        <f t="shared" si="2"/>
        <v>Jan</v>
      </c>
      <c r="M73">
        <f t="shared" si="3"/>
        <v>1</v>
      </c>
    </row>
    <row r="74" spans="1:13" x14ac:dyDescent="0.25">
      <c r="A74" s="2" t="s">
        <v>144</v>
      </c>
      <c r="B74" s="3">
        <v>45673</v>
      </c>
      <c r="C74" s="2" t="s">
        <v>120</v>
      </c>
      <c r="D74" s="2" t="s">
        <v>120</v>
      </c>
      <c r="E74" s="2" t="s">
        <v>76</v>
      </c>
      <c r="F74" s="2" t="s">
        <v>20</v>
      </c>
      <c r="G74" s="2" t="s">
        <v>21</v>
      </c>
      <c r="H74" s="2">
        <v>2</v>
      </c>
      <c r="I74" s="4">
        <v>42</v>
      </c>
      <c r="J74" s="2" t="s">
        <v>22</v>
      </c>
      <c r="K74">
        <f>H74*I74</f>
        <v>84</v>
      </c>
      <c r="L74" t="str">
        <f t="shared" si="2"/>
        <v>Jan</v>
      </c>
      <c r="M74">
        <f t="shared" si="3"/>
        <v>1</v>
      </c>
    </row>
    <row r="75" spans="1:13" x14ac:dyDescent="0.25">
      <c r="A75" s="2" t="s">
        <v>145</v>
      </c>
      <c r="B75" s="3">
        <v>45673</v>
      </c>
      <c r="C75" s="2" t="s">
        <v>61</v>
      </c>
      <c r="D75" s="2" t="s">
        <v>61</v>
      </c>
      <c r="E75" s="2" t="s">
        <v>62</v>
      </c>
      <c r="F75" s="2" t="s">
        <v>20</v>
      </c>
      <c r="G75" s="2" t="s">
        <v>21</v>
      </c>
      <c r="H75" s="2">
        <v>1</v>
      </c>
      <c r="I75" s="4">
        <v>8</v>
      </c>
      <c r="J75" s="2" t="s">
        <v>16</v>
      </c>
      <c r="K75">
        <f>H75*I75</f>
        <v>8</v>
      </c>
      <c r="L75" t="str">
        <f t="shared" si="2"/>
        <v>Jan</v>
      </c>
      <c r="M75">
        <f t="shared" si="3"/>
        <v>1</v>
      </c>
    </row>
    <row r="76" spans="1:13" x14ac:dyDescent="0.25">
      <c r="A76" s="2" t="s">
        <v>146</v>
      </c>
      <c r="B76" s="3">
        <v>45674</v>
      </c>
      <c r="C76" s="2" t="s">
        <v>75</v>
      </c>
      <c r="D76" s="2" t="s">
        <v>75</v>
      </c>
      <c r="E76" s="2" t="s">
        <v>76</v>
      </c>
      <c r="F76" s="2" t="s">
        <v>20</v>
      </c>
      <c r="G76" s="2" t="s">
        <v>21</v>
      </c>
      <c r="H76" s="2">
        <v>3</v>
      </c>
      <c r="I76" s="4">
        <v>12</v>
      </c>
      <c r="J76" s="2" t="s">
        <v>38</v>
      </c>
      <c r="K76">
        <f>H76*I76</f>
        <v>36</v>
      </c>
      <c r="L76" t="str">
        <f t="shared" si="2"/>
        <v>Jan</v>
      </c>
      <c r="M76">
        <f t="shared" si="3"/>
        <v>1</v>
      </c>
    </row>
    <row r="77" spans="1:13" x14ac:dyDescent="0.25">
      <c r="A77" s="2" t="s">
        <v>147</v>
      </c>
      <c r="B77" s="3">
        <v>45675</v>
      </c>
      <c r="C77" s="2" t="s">
        <v>11</v>
      </c>
      <c r="D77" s="2" t="s">
        <v>12</v>
      </c>
      <c r="E77" s="2" t="s">
        <v>13</v>
      </c>
      <c r="F77" s="2" t="s">
        <v>14</v>
      </c>
      <c r="G77" s="2" t="s">
        <v>15</v>
      </c>
      <c r="H77" s="2">
        <v>1</v>
      </c>
      <c r="I77" s="4">
        <v>32</v>
      </c>
      <c r="J77" s="2" t="s">
        <v>31</v>
      </c>
      <c r="K77">
        <f>H77*I77</f>
        <v>32</v>
      </c>
      <c r="L77" t="str">
        <f t="shared" si="2"/>
        <v>Jan</v>
      </c>
      <c r="M77">
        <f t="shared" si="3"/>
        <v>1</v>
      </c>
    </row>
    <row r="78" spans="1:13" x14ac:dyDescent="0.25">
      <c r="A78" s="2" t="s">
        <v>148</v>
      </c>
      <c r="B78" s="3">
        <v>45675</v>
      </c>
      <c r="C78" s="2" t="s">
        <v>86</v>
      </c>
      <c r="D78" s="2" t="s">
        <v>48</v>
      </c>
      <c r="E78" s="2" t="s">
        <v>49</v>
      </c>
      <c r="F78" s="2" t="s">
        <v>14</v>
      </c>
      <c r="G78" s="2" t="s">
        <v>87</v>
      </c>
      <c r="H78" s="2">
        <v>2</v>
      </c>
      <c r="I78" s="4">
        <v>125</v>
      </c>
      <c r="J78" s="2" t="s">
        <v>16</v>
      </c>
      <c r="K78">
        <f>H78*I78</f>
        <v>250</v>
      </c>
      <c r="L78" t="str">
        <f t="shared" si="2"/>
        <v>Jan</v>
      </c>
      <c r="M78">
        <f t="shared" si="3"/>
        <v>1</v>
      </c>
    </row>
    <row r="79" spans="1:13" x14ac:dyDescent="0.25">
      <c r="A79" s="2" t="s">
        <v>149</v>
      </c>
      <c r="B79" s="3">
        <v>45675</v>
      </c>
      <c r="C79" s="2" t="s">
        <v>67</v>
      </c>
      <c r="D79" s="2" t="s">
        <v>68</v>
      </c>
      <c r="E79" s="2" t="s">
        <v>49</v>
      </c>
      <c r="F79" s="2" t="s">
        <v>14</v>
      </c>
      <c r="G79" s="2" t="s">
        <v>69</v>
      </c>
      <c r="H79" s="2">
        <v>2</v>
      </c>
      <c r="I79" s="4">
        <v>205</v>
      </c>
      <c r="J79" s="2" t="s">
        <v>38</v>
      </c>
      <c r="K79">
        <f>H79*I79</f>
        <v>410</v>
      </c>
      <c r="L79" t="str">
        <f t="shared" si="2"/>
        <v>Jan</v>
      </c>
      <c r="M79">
        <f t="shared" si="3"/>
        <v>1</v>
      </c>
    </row>
    <row r="80" spans="1:13" x14ac:dyDescent="0.25">
      <c r="A80" s="2" t="s">
        <v>150</v>
      </c>
      <c r="B80" s="3">
        <v>45675</v>
      </c>
      <c r="C80" s="2" t="s">
        <v>101</v>
      </c>
      <c r="D80" s="2" t="s">
        <v>102</v>
      </c>
      <c r="E80" s="2" t="s">
        <v>36</v>
      </c>
      <c r="F80" s="2" t="s">
        <v>14</v>
      </c>
      <c r="G80" s="2" t="s">
        <v>103</v>
      </c>
      <c r="H80" s="2">
        <v>3</v>
      </c>
      <c r="I80" s="4">
        <v>92</v>
      </c>
      <c r="J80" s="2" t="s">
        <v>16</v>
      </c>
      <c r="K80">
        <f>H80*I80</f>
        <v>276</v>
      </c>
      <c r="L80" t="str">
        <f t="shared" si="2"/>
        <v>Jan</v>
      </c>
      <c r="M80">
        <f t="shared" si="3"/>
        <v>1</v>
      </c>
    </row>
    <row r="81" spans="1:13" x14ac:dyDescent="0.25">
      <c r="A81" s="2" t="s">
        <v>151</v>
      </c>
      <c r="B81" s="3">
        <v>45675</v>
      </c>
      <c r="C81" s="2" t="s">
        <v>102</v>
      </c>
      <c r="D81" s="2" t="s">
        <v>102</v>
      </c>
      <c r="E81" s="2" t="s">
        <v>36</v>
      </c>
      <c r="F81" s="2" t="s">
        <v>20</v>
      </c>
      <c r="G81" s="2" t="s">
        <v>21</v>
      </c>
      <c r="H81" s="2">
        <v>1</v>
      </c>
      <c r="I81" s="4">
        <v>35</v>
      </c>
      <c r="J81" s="2" t="s">
        <v>16</v>
      </c>
      <c r="K81">
        <f>H81*I81</f>
        <v>35</v>
      </c>
      <c r="L81" t="str">
        <f t="shared" si="2"/>
        <v>Jan</v>
      </c>
      <c r="M81">
        <f t="shared" si="3"/>
        <v>1</v>
      </c>
    </row>
    <row r="82" spans="1:13" x14ac:dyDescent="0.25">
      <c r="A82" s="2" t="s">
        <v>152</v>
      </c>
      <c r="B82" s="3">
        <v>45675</v>
      </c>
      <c r="C82" s="2" t="s">
        <v>97</v>
      </c>
      <c r="D82" s="2" t="s">
        <v>98</v>
      </c>
      <c r="E82" s="2" t="s">
        <v>99</v>
      </c>
      <c r="F82" s="2" t="s">
        <v>14</v>
      </c>
      <c r="G82" s="2" t="s">
        <v>37</v>
      </c>
      <c r="H82" s="2">
        <v>3</v>
      </c>
      <c r="I82" s="4">
        <v>182</v>
      </c>
      <c r="J82" s="2" t="s">
        <v>38</v>
      </c>
      <c r="K82">
        <f>H82*I82</f>
        <v>546</v>
      </c>
      <c r="L82" t="str">
        <f t="shared" si="2"/>
        <v>Jan</v>
      </c>
      <c r="M82">
        <f t="shared" si="3"/>
        <v>1</v>
      </c>
    </row>
    <row r="83" spans="1:13" x14ac:dyDescent="0.25">
      <c r="A83" s="2" t="s">
        <v>153</v>
      </c>
      <c r="B83" s="3">
        <v>45675</v>
      </c>
      <c r="C83" s="2" t="s">
        <v>52</v>
      </c>
      <c r="D83" s="2" t="s">
        <v>30</v>
      </c>
      <c r="E83" s="2" t="s">
        <v>13</v>
      </c>
      <c r="F83" s="2" t="s">
        <v>14</v>
      </c>
      <c r="G83" s="2" t="s">
        <v>53</v>
      </c>
      <c r="H83" s="2">
        <v>5</v>
      </c>
      <c r="I83" s="4">
        <v>42</v>
      </c>
      <c r="J83" s="2" t="s">
        <v>31</v>
      </c>
      <c r="K83">
        <f>H83*I83</f>
        <v>210</v>
      </c>
      <c r="L83" t="str">
        <f t="shared" si="2"/>
        <v>Jan</v>
      </c>
      <c r="M83">
        <f t="shared" si="3"/>
        <v>1</v>
      </c>
    </row>
    <row r="84" spans="1:13" x14ac:dyDescent="0.25">
      <c r="A84" s="2" t="s">
        <v>154</v>
      </c>
      <c r="B84" s="3">
        <v>45676</v>
      </c>
      <c r="C84" s="2" t="s">
        <v>11</v>
      </c>
      <c r="D84" s="2" t="s">
        <v>12</v>
      </c>
      <c r="E84" s="2" t="s">
        <v>13</v>
      </c>
      <c r="F84" s="2" t="s">
        <v>14</v>
      </c>
      <c r="G84" s="2" t="s">
        <v>15</v>
      </c>
      <c r="H84" s="2">
        <v>2</v>
      </c>
      <c r="I84" s="4">
        <v>32</v>
      </c>
      <c r="J84" s="2" t="s">
        <v>16</v>
      </c>
      <c r="K84">
        <f>H84*I84</f>
        <v>64</v>
      </c>
      <c r="L84" t="str">
        <f t="shared" si="2"/>
        <v>Jan</v>
      </c>
      <c r="M84">
        <f t="shared" si="3"/>
        <v>1</v>
      </c>
    </row>
    <row r="85" spans="1:13" x14ac:dyDescent="0.25">
      <c r="A85" s="2" t="s">
        <v>155</v>
      </c>
      <c r="B85" s="3">
        <v>45676</v>
      </c>
      <c r="C85" s="2" t="s">
        <v>119</v>
      </c>
      <c r="D85" s="2" t="s">
        <v>120</v>
      </c>
      <c r="E85" s="2" t="s">
        <v>76</v>
      </c>
      <c r="F85" s="2" t="s">
        <v>14</v>
      </c>
      <c r="G85" s="2" t="s">
        <v>121</v>
      </c>
      <c r="H85" s="2">
        <v>1</v>
      </c>
      <c r="I85" s="4">
        <v>190</v>
      </c>
      <c r="J85" s="2" t="s">
        <v>22</v>
      </c>
      <c r="K85">
        <f>H85*I85</f>
        <v>190</v>
      </c>
      <c r="L85" t="str">
        <f t="shared" si="2"/>
        <v>Jan</v>
      </c>
      <c r="M85">
        <f t="shared" si="3"/>
        <v>1</v>
      </c>
    </row>
    <row r="86" spans="1:13" x14ac:dyDescent="0.25">
      <c r="A86" s="2" t="s">
        <v>156</v>
      </c>
      <c r="B86" s="3">
        <v>45676</v>
      </c>
      <c r="C86" s="2" t="s">
        <v>24</v>
      </c>
      <c r="D86" s="2" t="s">
        <v>25</v>
      </c>
      <c r="E86" s="2" t="s">
        <v>26</v>
      </c>
      <c r="F86" s="2" t="s">
        <v>14</v>
      </c>
      <c r="G86" s="2" t="s">
        <v>27</v>
      </c>
      <c r="H86" s="2">
        <v>2</v>
      </c>
      <c r="I86" s="4">
        <v>58</v>
      </c>
      <c r="J86" s="2" t="s">
        <v>31</v>
      </c>
      <c r="K86">
        <f>H86*I86</f>
        <v>116</v>
      </c>
      <c r="L86" t="str">
        <f t="shared" si="2"/>
        <v>Jan</v>
      </c>
      <c r="M86">
        <f t="shared" si="3"/>
        <v>1</v>
      </c>
    </row>
    <row r="87" spans="1:13" x14ac:dyDescent="0.25">
      <c r="A87" s="2" t="s">
        <v>157</v>
      </c>
      <c r="B87" s="3">
        <v>45677</v>
      </c>
      <c r="C87" s="2" t="s">
        <v>72</v>
      </c>
      <c r="D87" s="2" t="s">
        <v>68</v>
      </c>
      <c r="E87" s="2" t="s">
        <v>49</v>
      </c>
      <c r="F87" s="2" t="s">
        <v>20</v>
      </c>
      <c r="G87" s="2" t="s">
        <v>21</v>
      </c>
      <c r="H87" s="2">
        <v>1</v>
      </c>
      <c r="I87" s="4">
        <v>95</v>
      </c>
      <c r="J87" s="2" t="s">
        <v>16</v>
      </c>
      <c r="K87">
        <f>H87*I87</f>
        <v>95</v>
      </c>
      <c r="L87" t="str">
        <f t="shared" si="2"/>
        <v>Jan</v>
      </c>
      <c r="M87">
        <f t="shared" si="3"/>
        <v>1</v>
      </c>
    </row>
    <row r="88" spans="1:13" x14ac:dyDescent="0.25">
      <c r="A88" s="2" t="s">
        <v>158</v>
      </c>
      <c r="B88" s="3">
        <v>45677</v>
      </c>
      <c r="C88" s="2" t="s">
        <v>75</v>
      </c>
      <c r="D88" s="2" t="s">
        <v>75</v>
      </c>
      <c r="E88" s="2" t="s">
        <v>76</v>
      </c>
      <c r="F88" s="2" t="s">
        <v>20</v>
      </c>
      <c r="G88" s="2" t="s">
        <v>21</v>
      </c>
      <c r="H88" s="2">
        <v>3</v>
      </c>
      <c r="I88" s="4">
        <v>12</v>
      </c>
      <c r="J88" s="2" t="s">
        <v>31</v>
      </c>
      <c r="K88">
        <f>H88*I88</f>
        <v>36</v>
      </c>
      <c r="L88" t="str">
        <f t="shared" si="2"/>
        <v>Jan</v>
      </c>
      <c r="M88">
        <f t="shared" si="3"/>
        <v>1</v>
      </c>
    </row>
    <row r="89" spans="1:13" x14ac:dyDescent="0.25">
      <c r="A89" s="2" t="s">
        <v>159</v>
      </c>
      <c r="B89" s="3">
        <v>45677</v>
      </c>
      <c r="C89" s="2" t="s">
        <v>124</v>
      </c>
      <c r="D89" s="2" t="s">
        <v>18</v>
      </c>
      <c r="E89" s="2" t="s">
        <v>19</v>
      </c>
      <c r="F89" s="2" t="s">
        <v>14</v>
      </c>
      <c r="G89" s="2" t="s">
        <v>125</v>
      </c>
      <c r="H89" s="2">
        <v>2</v>
      </c>
      <c r="I89" s="4">
        <v>45</v>
      </c>
      <c r="J89" s="2" t="s">
        <v>16</v>
      </c>
      <c r="K89">
        <f>H89*I89</f>
        <v>90</v>
      </c>
      <c r="L89" t="str">
        <f t="shared" si="2"/>
        <v>Jan</v>
      </c>
      <c r="M89">
        <f t="shared" si="3"/>
        <v>1</v>
      </c>
    </row>
    <row r="90" spans="1:13" x14ac:dyDescent="0.25">
      <c r="A90" s="2" t="s">
        <v>160</v>
      </c>
      <c r="B90" s="3">
        <v>45677</v>
      </c>
      <c r="C90" s="2" t="s">
        <v>18</v>
      </c>
      <c r="D90" s="2" t="s">
        <v>18</v>
      </c>
      <c r="E90" s="2" t="s">
        <v>19</v>
      </c>
      <c r="F90" s="2" t="s">
        <v>20</v>
      </c>
      <c r="G90" s="2" t="s">
        <v>21</v>
      </c>
      <c r="H90" s="2">
        <v>2</v>
      </c>
      <c r="I90" s="4">
        <v>15</v>
      </c>
      <c r="J90" s="2" t="s">
        <v>16</v>
      </c>
      <c r="K90">
        <f>H90*I90</f>
        <v>30</v>
      </c>
      <c r="L90" t="str">
        <f t="shared" si="2"/>
        <v>Jan</v>
      </c>
      <c r="M90">
        <f t="shared" si="3"/>
        <v>1</v>
      </c>
    </row>
    <row r="91" spans="1:13" x14ac:dyDescent="0.25">
      <c r="A91" s="2" t="s">
        <v>161</v>
      </c>
      <c r="B91" s="3">
        <v>45677</v>
      </c>
      <c r="C91" s="2" t="s">
        <v>24</v>
      </c>
      <c r="D91" s="2" t="s">
        <v>25</v>
      </c>
      <c r="E91" s="2" t="s">
        <v>26</v>
      </c>
      <c r="F91" s="2" t="s">
        <v>14</v>
      </c>
      <c r="G91" s="2" t="s">
        <v>27</v>
      </c>
      <c r="H91" s="2">
        <v>4</v>
      </c>
      <c r="I91" s="4">
        <v>58</v>
      </c>
      <c r="J91" s="2" t="s">
        <v>22</v>
      </c>
      <c r="K91">
        <f>H91*I91</f>
        <v>232</v>
      </c>
      <c r="L91" t="str">
        <f t="shared" si="2"/>
        <v>Jan</v>
      </c>
      <c r="M91">
        <f t="shared" si="3"/>
        <v>1</v>
      </c>
    </row>
    <row r="92" spans="1:13" x14ac:dyDescent="0.25">
      <c r="A92" s="2" t="s">
        <v>162</v>
      </c>
      <c r="B92" s="3">
        <v>45678</v>
      </c>
      <c r="C92" s="2" t="s">
        <v>86</v>
      </c>
      <c r="D92" s="2" t="s">
        <v>48</v>
      </c>
      <c r="E92" s="2" t="s">
        <v>49</v>
      </c>
      <c r="F92" s="2" t="s">
        <v>14</v>
      </c>
      <c r="G92" s="2" t="s">
        <v>87</v>
      </c>
      <c r="H92" s="2">
        <v>1</v>
      </c>
      <c r="I92" s="4">
        <v>125</v>
      </c>
      <c r="J92" s="2" t="s">
        <v>22</v>
      </c>
      <c r="K92">
        <f>H92*I92</f>
        <v>125</v>
      </c>
      <c r="L92" t="str">
        <f t="shared" si="2"/>
        <v>Jan</v>
      </c>
      <c r="M92">
        <f t="shared" si="3"/>
        <v>1</v>
      </c>
    </row>
    <row r="93" spans="1:13" x14ac:dyDescent="0.25">
      <c r="A93" s="2" t="s">
        <v>163</v>
      </c>
      <c r="B93" s="3">
        <v>45678</v>
      </c>
      <c r="C93" s="2" t="s">
        <v>119</v>
      </c>
      <c r="D93" s="2" t="s">
        <v>120</v>
      </c>
      <c r="E93" s="2" t="s">
        <v>76</v>
      </c>
      <c r="F93" s="2" t="s">
        <v>14</v>
      </c>
      <c r="G93" s="2" t="s">
        <v>121</v>
      </c>
      <c r="H93" s="2">
        <v>1</v>
      </c>
      <c r="I93" s="4">
        <v>190</v>
      </c>
      <c r="J93" s="2" t="s">
        <v>31</v>
      </c>
      <c r="K93">
        <f>H93*I93</f>
        <v>190</v>
      </c>
      <c r="L93" t="str">
        <f t="shared" si="2"/>
        <v>Jan</v>
      </c>
      <c r="M93">
        <f t="shared" si="3"/>
        <v>1</v>
      </c>
    </row>
    <row r="94" spans="1:13" x14ac:dyDescent="0.25">
      <c r="A94" s="2" t="s">
        <v>164</v>
      </c>
      <c r="B94" s="3">
        <v>45678</v>
      </c>
      <c r="C94" s="2" t="s">
        <v>101</v>
      </c>
      <c r="D94" s="2" t="s">
        <v>102</v>
      </c>
      <c r="E94" s="2" t="s">
        <v>36</v>
      </c>
      <c r="F94" s="2" t="s">
        <v>14</v>
      </c>
      <c r="G94" s="2" t="s">
        <v>103</v>
      </c>
      <c r="H94" s="2">
        <v>1</v>
      </c>
      <c r="I94" s="4">
        <v>92</v>
      </c>
      <c r="J94" s="2" t="s">
        <v>22</v>
      </c>
      <c r="K94">
        <f>H94*I94</f>
        <v>92</v>
      </c>
      <c r="L94" t="str">
        <f t="shared" si="2"/>
        <v>Jan</v>
      </c>
      <c r="M94">
        <f t="shared" si="3"/>
        <v>1</v>
      </c>
    </row>
    <row r="95" spans="1:13" x14ac:dyDescent="0.25">
      <c r="A95" s="2" t="s">
        <v>165</v>
      </c>
      <c r="B95" s="3">
        <v>45678</v>
      </c>
      <c r="C95" s="2" t="s">
        <v>80</v>
      </c>
      <c r="D95" s="2" t="s">
        <v>80</v>
      </c>
      <c r="E95" s="2" t="s">
        <v>26</v>
      </c>
      <c r="F95" s="2" t="s">
        <v>20</v>
      </c>
      <c r="G95" s="2" t="s">
        <v>21</v>
      </c>
      <c r="H95" s="2">
        <v>4</v>
      </c>
      <c r="I95" s="4">
        <v>50</v>
      </c>
      <c r="J95" s="2" t="s">
        <v>38</v>
      </c>
      <c r="K95">
        <f>H95*I95</f>
        <v>200</v>
      </c>
      <c r="L95" t="str">
        <f t="shared" si="2"/>
        <v>Jan</v>
      </c>
      <c r="M95">
        <f t="shared" si="3"/>
        <v>1</v>
      </c>
    </row>
    <row r="96" spans="1:13" x14ac:dyDescent="0.25">
      <c r="A96" s="2" t="s">
        <v>166</v>
      </c>
      <c r="B96" s="3">
        <v>45679</v>
      </c>
      <c r="C96" s="2" t="s">
        <v>86</v>
      </c>
      <c r="D96" s="2" t="s">
        <v>48</v>
      </c>
      <c r="E96" s="2" t="s">
        <v>49</v>
      </c>
      <c r="F96" s="2" t="s">
        <v>14</v>
      </c>
      <c r="G96" s="2" t="s">
        <v>87</v>
      </c>
      <c r="H96" s="2">
        <v>2</v>
      </c>
      <c r="I96" s="4">
        <v>125</v>
      </c>
      <c r="J96" s="2" t="s">
        <v>22</v>
      </c>
      <c r="K96">
        <f>H96*I96</f>
        <v>250</v>
      </c>
      <c r="L96" t="str">
        <f t="shared" si="2"/>
        <v>Jan</v>
      </c>
      <c r="M96">
        <f t="shared" si="3"/>
        <v>1</v>
      </c>
    </row>
    <row r="97" spans="1:13" x14ac:dyDescent="0.25">
      <c r="A97" s="2" t="s">
        <v>167</v>
      </c>
      <c r="B97" s="3">
        <v>45679</v>
      </c>
      <c r="C97" s="2" t="s">
        <v>74</v>
      </c>
      <c r="D97" s="2" t="s">
        <v>75</v>
      </c>
      <c r="E97" s="2" t="s">
        <v>76</v>
      </c>
      <c r="F97" s="2" t="s">
        <v>14</v>
      </c>
      <c r="G97" s="2" t="s">
        <v>77</v>
      </c>
      <c r="H97" s="2">
        <v>6</v>
      </c>
      <c r="I97" s="4">
        <v>32</v>
      </c>
      <c r="J97" s="2" t="s">
        <v>38</v>
      </c>
      <c r="K97">
        <f>H97*I97</f>
        <v>192</v>
      </c>
      <c r="L97" t="str">
        <f t="shared" si="2"/>
        <v>Jan</v>
      </c>
      <c r="M97">
        <f t="shared" si="3"/>
        <v>1</v>
      </c>
    </row>
    <row r="98" spans="1:13" x14ac:dyDescent="0.25">
      <c r="A98" s="2" t="s">
        <v>168</v>
      </c>
      <c r="B98" s="3">
        <v>45679</v>
      </c>
      <c r="C98" s="2" t="s">
        <v>75</v>
      </c>
      <c r="D98" s="2" t="s">
        <v>75</v>
      </c>
      <c r="E98" s="2" t="s">
        <v>76</v>
      </c>
      <c r="F98" s="2" t="s">
        <v>20</v>
      </c>
      <c r="G98" s="2" t="s">
        <v>21</v>
      </c>
      <c r="H98" s="2">
        <v>6</v>
      </c>
      <c r="I98" s="4">
        <v>12</v>
      </c>
      <c r="J98" s="2" t="s">
        <v>16</v>
      </c>
      <c r="K98">
        <f>H98*I98</f>
        <v>72</v>
      </c>
      <c r="L98" t="str">
        <f t="shared" si="2"/>
        <v>Jan</v>
      </c>
      <c r="M98">
        <f t="shared" si="3"/>
        <v>1</v>
      </c>
    </row>
    <row r="99" spans="1:13" x14ac:dyDescent="0.25">
      <c r="A99" s="2" t="s">
        <v>169</v>
      </c>
      <c r="B99" s="3">
        <v>45679</v>
      </c>
      <c r="C99" s="2" t="s">
        <v>101</v>
      </c>
      <c r="D99" s="2" t="s">
        <v>102</v>
      </c>
      <c r="E99" s="2" t="s">
        <v>36</v>
      </c>
      <c r="F99" s="2" t="s">
        <v>14</v>
      </c>
      <c r="G99" s="2" t="s">
        <v>103</v>
      </c>
      <c r="H99" s="2">
        <v>3</v>
      </c>
      <c r="I99" s="4">
        <v>92</v>
      </c>
      <c r="J99" s="2" t="s">
        <v>16</v>
      </c>
      <c r="K99">
        <f>H99*I99</f>
        <v>276</v>
      </c>
      <c r="L99" t="str">
        <f t="shared" si="2"/>
        <v>Jan</v>
      </c>
      <c r="M99">
        <f t="shared" si="3"/>
        <v>1</v>
      </c>
    </row>
    <row r="100" spans="1:13" x14ac:dyDescent="0.25">
      <c r="A100" s="2" t="s">
        <v>170</v>
      </c>
      <c r="B100" s="3">
        <v>45679</v>
      </c>
      <c r="C100" s="2" t="s">
        <v>124</v>
      </c>
      <c r="D100" s="2" t="s">
        <v>18</v>
      </c>
      <c r="E100" s="2" t="s">
        <v>19</v>
      </c>
      <c r="F100" s="2" t="s">
        <v>14</v>
      </c>
      <c r="G100" s="2" t="s">
        <v>125</v>
      </c>
      <c r="H100" s="2">
        <v>6</v>
      </c>
      <c r="I100" s="4">
        <v>45</v>
      </c>
      <c r="J100" s="2" t="s">
        <v>16</v>
      </c>
      <c r="K100">
        <f>H100*I100</f>
        <v>270</v>
      </c>
      <c r="L100" t="str">
        <f t="shared" si="2"/>
        <v>Jan</v>
      </c>
      <c r="M100">
        <f t="shared" si="3"/>
        <v>1</v>
      </c>
    </row>
    <row r="101" spans="1:13" x14ac:dyDescent="0.25">
      <c r="A101" s="2" t="s">
        <v>171</v>
      </c>
      <c r="B101" s="3">
        <v>45679</v>
      </c>
      <c r="C101" s="2" t="s">
        <v>124</v>
      </c>
      <c r="D101" s="2" t="s">
        <v>18</v>
      </c>
      <c r="E101" s="2" t="s">
        <v>19</v>
      </c>
      <c r="F101" s="2" t="s">
        <v>14</v>
      </c>
      <c r="G101" s="2" t="s">
        <v>125</v>
      </c>
      <c r="H101" s="2">
        <v>6</v>
      </c>
      <c r="I101" s="4">
        <v>45</v>
      </c>
      <c r="J101" s="2" t="s">
        <v>16</v>
      </c>
      <c r="K101">
        <f>H101*I101</f>
        <v>270</v>
      </c>
      <c r="L101" t="str">
        <f t="shared" si="2"/>
        <v>Jan</v>
      </c>
      <c r="M101">
        <f t="shared" si="3"/>
        <v>1</v>
      </c>
    </row>
    <row r="102" spans="1:13" x14ac:dyDescent="0.25">
      <c r="A102" s="2" t="s">
        <v>172</v>
      </c>
      <c r="B102" s="3">
        <v>45679</v>
      </c>
      <c r="C102" s="2" t="s">
        <v>79</v>
      </c>
      <c r="D102" s="2" t="s">
        <v>80</v>
      </c>
      <c r="E102" s="2" t="s">
        <v>26</v>
      </c>
      <c r="F102" s="2" t="s">
        <v>14</v>
      </c>
      <c r="G102" s="2" t="s">
        <v>81</v>
      </c>
      <c r="H102" s="2">
        <v>2</v>
      </c>
      <c r="I102" s="4">
        <v>152</v>
      </c>
      <c r="J102" s="2" t="s">
        <v>31</v>
      </c>
      <c r="K102">
        <f>H102*I102</f>
        <v>304</v>
      </c>
      <c r="L102" t="str">
        <f t="shared" si="2"/>
        <v>Jan</v>
      </c>
      <c r="M102">
        <f t="shared" si="3"/>
        <v>1</v>
      </c>
    </row>
    <row r="103" spans="1:13" x14ac:dyDescent="0.25">
      <c r="A103" s="2" t="s">
        <v>173</v>
      </c>
      <c r="B103" s="3">
        <v>45679</v>
      </c>
      <c r="C103" s="2" t="s">
        <v>80</v>
      </c>
      <c r="D103" s="2" t="s">
        <v>80</v>
      </c>
      <c r="E103" s="2" t="s">
        <v>26</v>
      </c>
      <c r="F103" s="2" t="s">
        <v>20</v>
      </c>
      <c r="G103" s="2" t="s">
        <v>21</v>
      </c>
      <c r="H103" s="2">
        <v>2</v>
      </c>
      <c r="I103" s="4">
        <v>50</v>
      </c>
      <c r="J103" s="2" t="s">
        <v>16</v>
      </c>
      <c r="K103">
        <f>H103*I103</f>
        <v>100</v>
      </c>
      <c r="L103" t="str">
        <f t="shared" si="2"/>
        <v>Jan</v>
      </c>
      <c r="M103">
        <f t="shared" si="3"/>
        <v>1</v>
      </c>
    </row>
    <row r="104" spans="1:13" x14ac:dyDescent="0.25">
      <c r="A104" s="2" t="s">
        <v>174</v>
      </c>
      <c r="B104" s="3">
        <v>45679</v>
      </c>
      <c r="C104" s="2" t="s">
        <v>60</v>
      </c>
      <c r="D104" s="2" t="s">
        <v>61</v>
      </c>
      <c r="E104" s="2" t="s">
        <v>62</v>
      </c>
      <c r="F104" s="2" t="s">
        <v>14</v>
      </c>
      <c r="G104" s="2" t="s">
        <v>63</v>
      </c>
      <c r="H104" s="2">
        <v>4</v>
      </c>
      <c r="I104" s="4">
        <v>26</v>
      </c>
      <c r="J104" s="2" t="s">
        <v>16</v>
      </c>
      <c r="K104">
        <f>H104*I104</f>
        <v>104</v>
      </c>
      <c r="L104" t="str">
        <f t="shared" si="2"/>
        <v>Jan</v>
      </c>
      <c r="M104">
        <f t="shared" si="3"/>
        <v>1</v>
      </c>
    </row>
    <row r="105" spans="1:13" x14ac:dyDescent="0.25">
      <c r="A105" s="2" t="s">
        <v>175</v>
      </c>
      <c r="B105" s="3">
        <v>45679</v>
      </c>
      <c r="C105" s="2" t="s">
        <v>60</v>
      </c>
      <c r="D105" s="2" t="s">
        <v>61</v>
      </c>
      <c r="E105" s="2" t="s">
        <v>62</v>
      </c>
      <c r="F105" s="2" t="s">
        <v>14</v>
      </c>
      <c r="G105" s="2" t="s">
        <v>63</v>
      </c>
      <c r="H105" s="2">
        <v>1</v>
      </c>
      <c r="I105" s="4">
        <v>26</v>
      </c>
      <c r="J105" s="2" t="s">
        <v>38</v>
      </c>
      <c r="K105">
        <f>H105*I105</f>
        <v>26</v>
      </c>
      <c r="L105" t="str">
        <f t="shared" si="2"/>
        <v>Jan</v>
      </c>
      <c r="M105">
        <f t="shared" si="3"/>
        <v>1</v>
      </c>
    </row>
    <row r="106" spans="1:13" x14ac:dyDescent="0.25">
      <c r="A106" s="2" t="s">
        <v>176</v>
      </c>
      <c r="B106" s="3">
        <v>45679</v>
      </c>
      <c r="C106" s="2" t="s">
        <v>61</v>
      </c>
      <c r="D106" s="2" t="s">
        <v>61</v>
      </c>
      <c r="E106" s="2" t="s">
        <v>62</v>
      </c>
      <c r="F106" s="2" t="s">
        <v>20</v>
      </c>
      <c r="G106" s="2" t="s">
        <v>21</v>
      </c>
      <c r="H106" s="2">
        <v>3</v>
      </c>
      <c r="I106" s="4">
        <v>8</v>
      </c>
      <c r="J106" s="2" t="s">
        <v>16</v>
      </c>
      <c r="K106">
        <f>H106*I106</f>
        <v>24</v>
      </c>
      <c r="L106" t="str">
        <f t="shared" si="2"/>
        <v>Jan</v>
      </c>
      <c r="M106">
        <f t="shared" si="3"/>
        <v>1</v>
      </c>
    </row>
    <row r="107" spans="1:13" x14ac:dyDescent="0.25">
      <c r="A107" s="2" t="s">
        <v>177</v>
      </c>
      <c r="B107" s="3">
        <v>45679</v>
      </c>
      <c r="C107" s="2" t="s">
        <v>61</v>
      </c>
      <c r="D107" s="2" t="s">
        <v>61</v>
      </c>
      <c r="E107" s="2" t="s">
        <v>62</v>
      </c>
      <c r="F107" s="2" t="s">
        <v>20</v>
      </c>
      <c r="G107" s="2" t="s">
        <v>21</v>
      </c>
      <c r="H107" s="2">
        <v>2</v>
      </c>
      <c r="I107" s="4">
        <v>8</v>
      </c>
      <c r="J107" s="2" t="s">
        <v>16</v>
      </c>
      <c r="K107">
        <f>H107*I107</f>
        <v>16</v>
      </c>
      <c r="L107" t="str">
        <f t="shared" si="2"/>
        <v>Jan</v>
      </c>
      <c r="M107">
        <f t="shared" si="3"/>
        <v>1</v>
      </c>
    </row>
    <row r="108" spans="1:13" x14ac:dyDescent="0.25">
      <c r="A108" s="2" t="s">
        <v>178</v>
      </c>
      <c r="B108" s="3">
        <v>45679</v>
      </c>
      <c r="C108" s="2" t="s">
        <v>109</v>
      </c>
      <c r="D108" s="2" t="s">
        <v>109</v>
      </c>
      <c r="E108" s="2" t="s">
        <v>13</v>
      </c>
      <c r="F108" s="2" t="s">
        <v>20</v>
      </c>
      <c r="G108" s="2" t="s">
        <v>21</v>
      </c>
      <c r="H108" s="2">
        <v>4</v>
      </c>
      <c r="I108" s="4">
        <v>20</v>
      </c>
      <c r="J108" s="2" t="s">
        <v>16</v>
      </c>
      <c r="K108">
        <f>H108*I108</f>
        <v>80</v>
      </c>
      <c r="L108" t="str">
        <f t="shared" si="2"/>
        <v>Jan</v>
      </c>
      <c r="M108">
        <f t="shared" si="3"/>
        <v>1</v>
      </c>
    </row>
    <row r="109" spans="1:13" x14ac:dyDescent="0.25">
      <c r="A109" s="2" t="s">
        <v>179</v>
      </c>
      <c r="B109" s="3">
        <v>45679</v>
      </c>
      <c r="C109" s="2" t="s">
        <v>42</v>
      </c>
      <c r="D109" s="2" t="s">
        <v>43</v>
      </c>
      <c r="E109" s="2" t="s">
        <v>44</v>
      </c>
      <c r="F109" s="2" t="s">
        <v>14</v>
      </c>
      <c r="G109" s="2" t="s">
        <v>45</v>
      </c>
      <c r="H109" s="2">
        <v>1</v>
      </c>
      <c r="I109" s="4">
        <v>46</v>
      </c>
      <c r="J109" s="2" t="s">
        <v>22</v>
      </c>
      <c r="K109">
        <f>H109*I109</f>
        <v>46</v>
      </c>
      <c r="L109" t="str">
        <f t="shared" si="2"/>
        <v>Jan</v>
      </c>
      <c r="M109">
        <f t="shared" si="3"/>
        <v>1</v>
      </c>
    </row>
    <row r="110" spans="1:13" x14ac:dyDescent="0.25">
      <c r="A110" s="2" t="s">
        <v>180</v>
      </c>
      <c r="B110" s="3">
        <v>45680</v>
      </c>
      <c r="C110" s="2" t="s">
        <v>11</v>
      </c>
      <c r="D110" s="2" t="s">
        <v>12</v>
      </c>
      <c r="E110" s="2" t="s">
        <v>13</v>
      </c>
      <c r="F110" s="2" t="s">
        <v>14</v>
      </c>
      <c r="G110" s="2" t="s">
        <v>15</v>
      </c>
      <c r="H110" s="2">
        <v>4</v>
      </c>
      <c r="I110" s="4">
        <v>32</v>
      </c>
      <c r="J110" s="2" t="s">
        <v>16</v>
      </c>
      <c r="K110">
        <f>H110*I110</f>
        <v>128</v>
      </c>
      <c r="L110" t="str">
        <f t="shared" si="2"/>
        <v>Jan</v>
      </c>
      <c r="M110">
        <f t="shared" si="3"/>
        <v>1</v>
      </c>
    </row>
    <row r="111" spans="1:13" x14ac:dyDescent="0.25">
      <c r="A111" s="2" t="s">
        <v>181</v>
      </c>
      <c r="B111" s="3">
        <v>45680</v>
      </c>
      <c r="C111" s="2" t="s">
        <v>11</v>
      </c>
      <c r="D111" s="2" t="s">
        <v>12</v>
      </c>
      <c r="E111" s="2" t="s">
        <v>13</v>
      </c>
      <c r="F111" s="2" t="s">
        <v>14</v>
      </c>
      <c r="G111" s="2" t="s">
        <v>15</v>
      </c>
      <c r="H111" s="2">
        <v>4</v>
      </c>
      <c r="I111" s="4">
        <v>32</v>
      </c>
      <c r="J111" s="2" t="s">
        <v>16</v>
      </c>
      <c r="K111">
        <f>H111*I111</f>
        <v>128</v>
      </c>
      <c r="L111" t="str">
        <f t="shared" si="2"/>
        <v>Jan</v>
      </c>
      <c r="M111">
        <f t="shared" si="3"/>
        <v>1</v>
      </c>
    </row>
    <row r="112" spans="1:13" x14ac:dyDescent="0.25">
      <c r="A112" s="2" t="s">
        <v>182</v>
      </c>
      <c r="B112" s="3">
        <v>45680</v>
      </c>
      <c r="C112" s="2" t="s">
        <v>12</v>
      </c>
      <c r="D112" s="2" t="s">
        <v>12</v>
      </c>
      <c r="E112" s="2" t="s">
        <v>13</v>
      </c>
      <c r="F112" s="2" t="s">
        <v>20</v>
      </c>
      <c r="G112" s="2" t="s">
        <v>21</v>
      </c>
      <c r="H112" s="2">
        <v>1</v>
      </c>
      <c r="I112" s="4">
        <v>14</v>
      </c>
      <c r="J112" s="2" t="s">
        <v>22</v>
      </c>
      <c r="K112">
        <f>H112*I112</f>
        <v>14</v>
      </c>
      <c r="L112" t="str">
        <f t="shared" si="2"/>
        <v>Jan</v>
      </c>
      <c r="M112">
        <f t="shared" si="3"/>
        <v>1</v>
      </c>
    </row>
    <row r="113" spans="1:13" x14ac:dyDescent="0.25">
      <c r="A113" s="2" t="s">
        <v>183</v>
      </c>
      <c r="B113" s="3">
        <v>45680</v>
      </c>
      <c r="C113" s="2" t="s">
        <v>102</v>
      </c>
      <c r="D113" s="2" t="s">
        <v>102</v>
      </c>
      <c r="E113" s="2" t="s">
        <v>36</v>
      </c>
      <c r="F113" s="2" t="s">
        <v>20</v>
      </c>
      <c r="G113" s="2" t="s">
        <v>21</v>
      </c>
      <c r="H113" s="2">
        <v>12</v>
      </c>
      <c r="I113" s="4">
        <v>35</v>
      </c>
      <c r="J113" s="2" t="s">
        <v>22</v>
      </c>
      <c r="K113">
        <f>H113*I113</f>
        <v>420</v>
      </c>
      <c r="L113" t="str">
        <f t="shared" si="2"/>
        <v>Jan</v>
      </c>
      <c r="M113">
        <f t="shared" si="3"/>
        <v>1</v>
      </c>
    </row>
    <row r="114" spans="1:13" x14ac:dyDescent="0.25">
      <c r="A114" s="2" t="s">
        <v>184</v>
      </c>
      <c r="B114" s="3">
        <v>45680</v>
      </c>
      <c r="C114" s="2" t="s">
        <v>18</v>
      </c>
      <c r="D114" s="2" t="s">
        <v>18</v>
      </c>
      <c r="E114" s="2" t="s">
        <v>19</v>
      </c>
      <c r="F114" s="2" t="s">
        <v>20</v>
      </c>
      <c r="G114" s="2" t="s">
        <v>21</v>
      </c>
      <c r="H114" s="2">
        <v>6</v>
      </c>
      <c r="I114" s="4">
        <v>15</v>
      </c>
      <c r="J114" s="2" t="s">
        <v>38</v>
      </c>
      <c r="K114">
        <f>H114*I114</f>
        <v>90</v>
      </c>
      <c r="L114" t="str">
        <f t="shared" si="2"/>
        <v>Jan</v>
      </c>
      <c r="M114">
        <f t="shared" si="3"/>
        <v>1</v>
      </c>
    </row>
    <row r="115" spans="1:13" x14ac:dyDescent="0.25">
      <c r="A115" s="2" t="s">
        <v>185</v>
      </c>
      <c r="B115" s="3">
        <v>45680</v>
      </c>
      <c r="C115" s="2" t="s">
        <v>60</v>
      </c>
      <c r="D115" s="2" t="s">
        <v>61</v>
      </c>
      <c r="E115" s="2" t="s">
        <v>62</v>
      </c>
      <c r="F115" s="2" t="s">
        <v>14</v>
      </c>
      <c r="G115" s="2" t="s">
        <v>63</v>
      </c>
      <c r="H115" s="2">
        <v>2</v>
      </c>
      <c r="I115" s="4">
        <v>26</v>
      </c>
      <c r="J115" s="2" t="s">
        <v>16</v>
      </c>
      <c r="K115">
        <f>H115*I115</f>
        <v>52</v>
      </c>
      <c r="L115" t="str">
        <f t="shared" si="2"/>
        <v>Jan</v>
      </c>
      <c r="M115">
        <f t="shared" si="3"/>
        <v>1</v>
      </c>
    </row>
    <row r="116" spans="1:13" x14ac:dyDescent="0.25">
      <c r="A116" s="2" t="s">
        <v>186</v>
      </c>
      <c r="B116" s="3">
        <v>45680</v>
      </c>
      <c r="C116" s="2" t="s">
        <v>52</v>
      </c>
      <c r="D116" s="2" t="s">
        <v>30</v>
      </c>
      <c r="E116" s="2" t="s">
        <v>13</v>
      </c>
      <c r="F116" s="2" t="s">
        <v>14</v>
      </c>
      <c r="G116" s="2" t="s">
        <v>53</v>
      </c>
      <c r="H116" s="2">
        <v>1</v>
      </c>
      <c r="I116" s="4">
        <v>42</v>
      </c>
      <c r="J116" s="2" t="s">
        <v>16</v>
      </c>
      <c r="K116">
        <f>H116*I116</f>
        <v>42</v>
      </c>
      <c r="L116" t="str">
        <f t="shared" si="2"/>
        <v>Jan</v>
      </c>
      <c r="M116">
        <f t="shared" si="3"/>
        <v>1</v>
      </c>
    </row>
    <row r="117" spans="1:13" x14ac:dyDescent="0.25">
      <c r="A117" s="2" t="s">
        <v>187</v>
      </c>
      <c r="B117" s="3">
        <v>45681</v>
      </c>
      <c r="C117" s="2" t="s">
        <v>34</v>
      </c>
      <c r="D117" s="2" t="s">
        <v>35</v>
      </c>
      <c r="E117" s="2" t="s">
        <v>36</v>
      </c>
      <c r="F117" s="2" t="s">
        <v>14</v>
      </c>
      <c r="G117" s="2" t="s">
        <v>37</v>
      </c>
      <c r="H117" s="2">
        <v>3</v>
      </c>
      <c r="I117" s="4">
        <v>165</v>
      </c>
      <c r="J117" s="2" t="s">
        <v>16</v>
      </c>
      <c r="K117">
        <f>H117*I117</f>
        <v>495</v>
      </c>
      <c r="L117" t="str">
        <f t="shared" si="2"/>
        <v>Jan</v>
      </c>
      <c r="M117">
        <f t="shared" si="3"/>
        <v>1</v>
      </c>
    </row>
    <row r="118" spans="1:13" x14ac:dyDescent="0.25">
      <c r="A118" s="2" t="s">
        <v>188</v>
      </c>
      <c r="B118" s="3">
        <v>45681</v>
      </c>
      <c r="C118" s="2" t="s">
        <v>18</v>
      </c>
      <c r="D118" s="2" t="s">
        <v>18</v>
      </c>
      <c r="E118" s="2" t="s">
        <v>19</v>
      </c>
      <c r="F118" s="2" t="s">
        <v>20</v>
      </c>
      <c r="G118" s="2" t="s">
        <v>21</v>
      </c>
      <c r="H118" s="2">
        <v>3</v>
      </c>
      <c r="I118" s="4">
        <v>15</v>
      </c>
      <c r="J118" s="2" t="s">
        <v>16</v>
      </c>
      <c r="K118">
        <f>H118*I118</f>
        <v>45</v>
      </c>
      <c r="L118" t="str">
        <f t="shared" si="2"/>
        <v>Jan</v>
      </c>
      <c r="M118">
        <f t="shared" si="3"/>
        <v>1</v>
      </c>
    </row>
    <row r="119" spans="1:13" x14ac:dyDescent="0.25">
      <c r="A119" s="2" t="s">
        <v>189</v>
      </c>
      <c r="B119" s="3">
        <v>45681</v>
      </c>
      <c r="C119" s="2" t="s">
        <v>190</v>
      </c>
      <c r="D119" s="2" t="s">
        <v>40</v>
      </c>
      <c r="E119" s="2" t="s">
        <v>19</v>
      </c>
      <c r="F119" s="2" t="s">
        <v>14</v>
      </c>
      <c r="G119" s="2" t="s">
        <v>191</v>
      </c>
      <c r="H119" s="2">
        <v>6</v>
      </c>
      <c r="I119" s="4">
        <v>142</v>
      </c>
      <c r="J119" s="2" t="s">
        <v>16</v>
      </c>
      <c r="K119">
        <f>H119*I119</f>
        <v>852</v>
      </c>
      <c r="L119" t="str">
        <f t="shared" si="2"/>
        <v>Jan</v>
      </c>
      <c r="M119">
        <f t="shared" si="3"/>
        <v>1</v>
      </c>
    </row>
    <row r="120" spans="1:13" x14ac:dyDescent="0.25">
      <c r="A120" s="2" t="s">
        <v>192</v>
      </c>
      <c r="B120" s="3">
        <v>45681</v>
      </c>
      <c r="C120" s="2" t="s">
        <v>79</v>
      </c>
      <c r="D120" s="2" t="s">
        <v>80</v>
      </c>
      <c r="E120" s="2" t="s">
        <v>26</v>
      </c>
      <c r="F120" s="2" t="s">
        <v>14</v>
      </c>
      <c r="G120" s="2" t="s">
        <v>81</v>
      </c>
      <c r="H120" s="2">
        <v>3</v>
      </c>
      <c r="I120" s="4">
        <v>152</v>
      </c>
      <c r="J120" s="2" t="s">
        <v>22</v>
      </c>
      <c r="K120">
        <f>H120*I120</f>
        <v>456</v>
      </c>
      <c r="L120" t="str">
        <f t="shared" si="2"/>
        <v>Jan</v>
      </c>
      <c r="M120">
        <f t="shared" si="3"/>
        <v>1</v>
      </c>
    </row>
    <row r="121" spans="1:13" x14ac:dyDescent="0.25">
      <c r="A121" s="2" t="s">
        <v>193</v>
      </c>
      <c r="B121" s="3">
        <v>45681</v>
      </c>
      <c r="C121" s="2" t="s">
        <v>194</v>
      </c>
      <c r="D121" s="2" t="s">
        <v>98</v>
      </c>
      <c r="E121" s="2" t="s">
        <v>99</v>
      </c>
      <c r="F121" s="2" t="s">
        <v>20</v>
      </c>
      <c r="G121" s="2" t="s">
        <v>21</v>
      </c>
      <c r="H121" s="2">
        <v>5</v>
      </c>
      <c r="I121" s="4">
        <v>70</v>
      </c>
      <c r="J121" s="2" t="s">
        <v>16</v>
      </c>
      <c r="K121">
        <f>H121*I121</f>
        <v>350</v>
      </c>
      <c r="L121" t="str">
        <f t="shared" si="2"/>
        <v>Jan</v>
      </c>
      <c r="M121">
        <f t="shared" si="3"/>
        <v>1</v>
      </c>
    </row>
    <row r="122" spans="1:13" x14ac:dyDescent="0.25">
      <c r="A122" s="2" t="s">
        <v>195</v>
      </c>
      <c r="B122" s="3">
        <v>45681</v>
      </c>
      <c r="C122" s="2" t="s">
        <v>108</v>
      </c>
      <c r="D122" s="2" t="s">
        <v>109</v>
      </c>
      <c r="E122" s="2" t="s">
        <v>13</v>
      </c>
      <c r="F122" s="2" t="s">
        <v>14</v>
      </c>
      <c r="G122" s="2" t="s">
        <v>110</v>
      </c>
      <c r="H122" s="2">
        <v>2</v>
      </c>
      <c r="I122" s="4">
        <v>62</v>
      </c>
      <c r="J122" s="2" t="s">
        <v>16</v>
      </c>
      <c r="K122">
        <f>H122*I122</f>
        <v>124</v>
      </c>
      <c r="L122" t="str">
        <f t="shared" si="2"/>
        <v>Jan</v>
      </c>
      <c r="M122">
        <f t="shared" si="3"/>
        <v>1</v>
      </c>
    </row>
    <row r="123" spans="1:13" x14ac:dyDescent="0.25">
      <c r="A123" s="2" t="s">
        <v>196</v>
      </c>
      <c r="B123" s="3">
        <v>45682</v>
      </c>
      <c r="C123" s="2" t="s">
        <v>48</v>
      </c>
      <c r="D123" s="2" t="s">
        <v>48</v>
      </c>
      <c r="E123" s="2" t="s">
        <v>49</v>
      </c>
      <c r="F123" s="2" t="s">
        <v>20</v>
      </c>
      <c r="G123" s="2" t="s">
        <v>21</v>
      </c>
      <c r="H123" s="2">
        <v>1</v>
      </c>
      <c r="I123" s="4">
        <v>55</v>
      </c>
      <c r="J123" s="2" t="s">
        <v>31</v>
      </c>
      <c r="K123">
        <f>H123*I123</f>
        <v>55</v>
      </c>
      <c r="L123" t="str">
        <f t="shared" si="2"/>
        <v>Jan</v>
      </c>
      <c r="M123">
        <f t="shared" si="3"/>
        <v>1</v>
      </c>
    </row>
    <row r="124" spans="1:13" x14ac:dyDescent="0.25">
      <c r="A124" s="2" t="s">
        <v>197</v>
      </c>
      <c r="B124" s="3">
        <v>45682</v>
      </c>
      <c r="C124" s="2" t="s">
        <v>74</v>
      </c>
      <c r="D124" s="2" t="s">
        <v>75</v>
      </c>
      <c r="E124" s="2" t="s">
        <v>76</v>
      </c>
      <c r="F124" s="2" t="s">
        <v>14</v>
      </c>
      <c r="G124" s="2" t="s">
        <v>77</v>
      </c>
      <c r="H124" s="2">
        <v>6</v>
      </c>
      <c r="I124" s="4">
        <v>32</v>
      </c>
      <c r="J124" s="2" t="s">
        <v>31</v>
      </c>
      <c r="K124">
        <f>H124*I124</f>
        <v>192</v>
      </c>
      <c r="L124" t="str">
        <f t="shared" si="2"/>
        <v>Jan</v>
      </c>
      <c r="M124">
        <f t="shared" si="3"/>
        <v>1</v>
      </c>
    </row>
    <row r="125" spans="1:13" x14ac:dyDescent="0.25">
      <c r="A125" s="2" t="s">
        <v>198</v>
      </c>
      <c r="B125" s="3">
        <v>45682</v>
      </c>
      <c r="C125" s="2" t="s">
        <v>74</v>
      </c>
      <c r="D125" s="2" t="s">
        <v>75</v>
      </c>
      <c r="E125" s="2" t="s">
        <v>76</v>
      </c>
      <c r="F125" s="2" t="s">
        <v>14</v>
      </c>
      <c r="G125" s="2" t="s">
        <v>77</v>
      </c>
      <c r="H125" s="2">
        <v>2</v>
      </c>
      <c r="I125" s="4">
        <v>32</v>
      </c>
      <c r="J125" s="2" t="s">
        <v>22</v>
      </c>
      <c r="K125">
        <f>H125*I125</f>
        <v>64</v>
      </c>
      <c r="L125" t="str">
        <f t="shared" si="2"/>
        <v>Jan</v>
      </c>
      <c r="M125">
        <f t="shared" si="3"/>
        <v>1</v>
      </c>
    </row>
    <row r="126" spans="1:13" x14ac:dyDescent="0.25">
      <c r="A126" s="2" t="s">
        <v>199</v>
      </c>
      <c r="B126" s="3">
        <v>45682</v>
      </c>
      <c r="C126" s="2" t="s">
        <v>75</v>
      </c>
      <c r="D126" s="2" t="s">
        <v>75</v>
      </c>
      <c r="E126" s="2" t="s">
        <v>76</v>
      </c>
      <c r="F126" s="2" t="s">
        <v>20</v>
      </c>
      <c r="G126" s="2" t="s">
        <v>21</v>
      </c>
      <c r="H126" s="2">
        <v>12</v>
      </c>
      <c r="I126" s="4">
        <v>12</v>
      </c>
      <c r="J126" s="2" t="s">
        <v>22</v>
      </c>
      <c r="K126">
        <f>H126*I126</f>
        <v>144</v>
      </c>
      <c r="L126" t="str">
        <f t="shared" si="2"/>
        <v>Jan</v>
      </c>
      <c r="M126">
        <f t="shared" si="3"/>
        <v>1</v>
      </c>
    </row>
    <row r="127" spans="1:13" x14ac:dyDescent="0.25">
      <c r="A127" s="2" t="s">
        <v>200</v>
      </c>
      <c r="B127" s="3">
        <v>45682</v>
      </c>
      <c r="C127" s="2" t="s">
        <v>190</v>
      </c>
      <c r="D127" s="2" t="s">
        <v>40</v>
      </c>
      <c r="E127" s="2" t="s">
        <v>19</v>
      </c>
      <c r="F127" s="2" t="s">
        <v>14</v>
      </c>
      <c r="G127" s="2" t="s">
        <v>191</v>
      </c>
      <c r="H127" s="2">
        <v>2</v>
      </c>
      <c r="I127" s="4">
        <v>142</v>
      </c>
      <c r="J127" s="2" t="s">
        <v>16</v>
      </c>
      <c r="K127">
        <f>H127*I127</f>
        <v>284</v>
      </c>
      <c r="L127" t="str">
        <f t="shared" si="2"/>
        <v>Jan</v>
      </c>
      <c r="M127">
        <f t="shared" si="3"/>
        <v>1</v>
      </c>
    </row>
    <row r="128" spans="1:13" x14ac:dyDescent="0.25">
      <c r="A128" s="2" t="s">
        <v>201</v>
      </c>
      <c r="B128" s="3">
        <v>45682</v>
      </c>
      <c r="C128" s="2" t="s">
        <v>194</v>
      </c>
      <c r="D128" s="2" t="s">
        <v>98</v>
      </c>
      <c r="E128" s="2" t="s">
        <v>99</v>
      </c>
      <c r="F128" s="2" t="s">
        <v>20</v>
      </c>
      <c r="G128" s="2" t="s">
        <v>21</v>
      </c>
      <c r="H128" s="2">
        <v>2</v>
      </c>
      <c r="I128" s="4">
        <v>70</v>
      </c>
      <c r="J128" s="2" t="s">
        <v>16</v>
      </c>
      <c r="K128">
        <f>H128*I128</f>
        <v>140</v>
      </c>
      <c r="L128" t="str">
        <f t="shared" si="2"/>
        <v>Jan</v>
      </c>
      <c r="M128">
        <f t="shared" si="3"/>
        <v>1</v>
      </c>
    </row>
    <row r="129" spans="1:13" x14ac:dyDescent="0.25">
      <c r="A129" s="2" t="s">
        <v>202</v>
      </c>
      <c r="B129" s="3">
        <v>45682</v>
      </c>
      <c r="C129" s="2" t="s">
        <v>194</v>
      </c>
      <c r="D129" s="2" t="s">
        <v>98</v>
      </c>
      <c r="E129" s="2" t="s">
        <v>99</v>
      </c>
      <c r="F129" s="2" t="s">
        <v>20</v>
      </c>
      <c r="G129" s="2" t="s">
        <v>21</v>
      </c>
      <c r="H129" s="2">
        <v>5</v>
      </c>
      <c r="I129" s="4">
        <v>70</v>
      </c>
      <c r="J129" s="2" t="s">
        <v>16</v>
      </c>
      <c r="K129">
        <f>H129*I129</f>
        <v>350</v>
      </c>
      <c r="L129" t="str">
        <f t="shared" si="2"/>
        <v>Jan</v>
      </c>
      <c r="M129">
        <f t="shared" si="3"/>
        <v>1</v>
      </c>
    </row>
    <row r="130" spans="1:13" x14ac:dyDescent="0.25">
      <c r="A130" s="2" t="s">
        <v>203</v>
      </c>
      <c r="B130" s="3">
        <v>45683</v>
      </c>
      <c r="C130" s="2" t="s">
        <v>11</v>
      </c>
      <c r="D130" s="2" t="s">
        <v>12</v>
      </c>
      <c r="E130" s="2" t="s">
        <v>13</v>
      </c>
      <c r="F130" s="2" t="s">
        <v>14</v>
      </c>
      <c r="G130" s="2" t="s">
        <v>15</v>
      </c>
      <c r="H130" s="2">
        <v>1</v>
      </c>
      <c r="I130" s="4">
        <v>32</v>
      </c>
      <c r="J130" s="2" t="s">
        <v>16</v>
      </c>
      <c r="K130">
        <f>H130*I130</f>
        <v>32</v>
      </c>
      <c r="L130" t="str">
        <f t="shared" si="2"/>
        <v>Jan</v>
      </c>
      <c r="M130">
        <f t="shared" si="3"/>
        <v>1</v>
      </c>
    </row>
    <row r="131" spans="1:13" x14ac:dyDescent="0.25">
      <c r="A131" s="2" t="s">
        <v>204</v>
      </c>
      <c r="B131" s="3">
        <v>45683</v>
      </c>
      <c r="C131" s="2" t="s">
        <v>48</v>
      </c>
      <c r="D131" s="2" t="s">
        <v>48</v>
      </c>
      <c r="E131" s="2" t="s">
        <v>49</v>
      </c>
      <c r="F131" s="2" t="s">
        <v>20</v>
      </c>
      <c r="G131" s="2" t="s">
        <v>21</v>
      </c>
      <c r="H131" s="2">
        <v>3</v>
      </c>
      <c r="I131" s="4">
        <v>55</v>
      </c>
      <c r="J131" s="2" t="s">
        <v>16</v>
      </c>
      <c r="K131">
        <f>H131*I131</f>
        <v>165</v>
      </c>
      <c r="L131" t="str">
        <f t="shared" ref="L131:L194" si="4">TEXT(B131,"mmm")</f>
        <v>Jan</v>
      </c>
      <c r="M131">
        <f t="shared" ref="M131:M194" si="5">MONTH(B131)</f>
        <v>1</v>
      </c>
    </row>
    <row r="132" spans="1:13" x14ac:dyDescent="0.25">
      <c r="A132" s="2" t="s">
        <v>205</v>
      </c>
      <c r="B132" s="3">
        <v>45683</v>
      </c>
      <c r="C132" s="2" t="s">
        <v>101</v>
      </c>
      <c r="D132" s="2" t="s">
        <v>102</v>
      </c>
      <c r="E132" s="2" t="s">
        <v>36</v>
      </c>
      <c r="F132" s="2" t="s">
        <v>14</v>
      </c>
      <c r="G132" s="2" t="s">
        <v>103</v>
      </c>
      <c r="H132" s="2">
        <v>3</v>
      </c>
      <c r="I132" s="4">
        <v>92</v>
      </c>
      <c r="J132" s="2" t="s">
        <v>31</v>
      </c>
      <c r="K132">
        <f>H132*I132</f>
        <v>276</v>
      </c>
      <c r="L132" t="str">
        <f t="shared" si="4"/>
        <v>Jan</v>
      </c>
      <c r="M132">
        <f t="shared" si="5"/>
        <v>1</v>
      </c>
    </row>
    <row r="133" spans="1:13" x14ac:dyDescent="0.25">
      <c r="A133" s="2" t="s">
        <v>206</v>
      </c>
      <c r="B133" s="3">
        <v>45683</v>
      </c>
      <c r="C133" s="2" t="s">
        <v>79</v>
      </c>
      <c r="D133" s="2" t="s">
        <v>80</v>
      </c>
      <c r="E133" s="2" t="s">
        <v>26</v>
      </c>
      <c r="F133" s="2" t="s">
        <v>14</v>
      </c>
      <c r="G133" s="2" t="s">
        <v>81</v>
      </c>
      <c r="H133" s="2">
        <v>1</v>
      </c>
      <c r="I133" s="4">
        <v>152</v>
      </c>
      <c r="J133" s="2" t="s">
        <v>16</v>
      </c>
      <c r="K133">
        <f>H133*I133</f>
        <v>152</v>
      </c>
      <c r="L133" t="str">
        <f t="shared" si="4"/>
        <v>Jan</v>
      </c>
      <c r="M133">
        <f t="shared" si="5"/>
        <v>1</v>
      </c>
    </row>
    <row r="134" spans="1:13" x14ac:dyDescent="0.25">
      <c r="A134" s="2" t="s">
        <v>207</v>
      </c>
      <c r="B134" s="3">
        <v>45683</v>
      </c>
      <c r="C134" s="2" t="s">
        <v>79</v>
      </c>
      <c r="D134" s="2" t="s">
        <v>80</v>
      </c>
      <c r="E134" s="2" t="s">
        <v>26</v>
      </c>
      <c r="F134" s="2" t="s">
        <v>14</v>
      </c>
      <c r="G134" s="2" t="s">
        <v>81</v>
      </c>
      <c r="H134" s="2">
        <v>1</v>
      </c>
      <c r="I134" s="4">
        <v>152</v>
      </c>
      <c r="J134" s="2" t="s">
        <v>31</v>
      </c>
      <c r="K134">
        <f>H134*I134</f>
        <v>152</v>
      </c>
      <c r="L134" t="str">
        <f t="shared" si="4"/>
        <v>Jan</v>
      </c>
      <c r="M134">
        <f t="shared" si="5"/>
        <v>1</v>
      </c>
    </row>
    <row r="135" spans="1:13" x14ac:dyDescent="0.25">
      <c r="A135" s="2" t="s">
        <v>208</v>
      </c>
      <c r="B135" s="3">
        <v>45683</v>
      </c>
      <c r="C135" s="2" t="s">
        <v>24</v>
      </c>
      <c r="D135" s="2" t="s">
        <v>25</v>
      </c>
      <c r="E135" s="2" t="s">
        <v>26</v>
      </c>
      <c r="F135" s="2" t="s">
        <v>14</v>
      </c>
      <c r="G135" s="2" t="s">
        <v>27</v>
      </c>
      <c r="H135" s="2">
        <v>3</v>
      </c>
      <c r="I135" s="4">
        <v>58</v>
      </c>
      <c r="J135" s="2" t="s">
        <v>38</v>
      </c>
      <c r="K135">
        <f>H135*I135</f>
        <v>174</v>
      </c>
      <c r="L135" t="str">
        <f t="shared" si="4"/>
        <v>Jan</v>
      </c>
      <c r="M135">
        <f t="shared" si="5"/>
        <v>1</v>
      </c>
    </row>
    <row r="136" spans="1:13" x14ac:dyDescent="0.25">
      <c r="A136" s="2" t="s">
        <v>209</v>
      </c>
      <c r="B136" s="3">
        <v>45683</v>
      </c>
      <c r="C136" s="2" t="s">
        <v>60</v>
      </c>
      <c r="D136" s="2" t="s">
        <v>61</v>
      </c>
      <c r="E136" s="2" t="s">
        <v>62</v>
      </c>
      <c r="F136" s="2" t="s">
        <v>14</v>
      </c>
      <c r="G136" s="2" t="s">
        <v>63</v>
      </c>
      <c r="H136" s="2">
        <v>3</v>
      </c>
      <c r="I136" s="4">
        <v>26</v>
      </c>
      <c r="J136" s="2" t="s">
        <v>16</v>
      </c>
      <c r="K136">
        <f>H136*I136</f>
        <v>78</v>
      </c>
      <c r="L136" t="str">
        <f t="shared" si="4"/>
        <v>Jan</v>
      </c>
      <c r="M136">
        <f t="shared" si="5"/>
        <v>1</v>
      </c>
    </row>
    <row r="137" spans="1:13" x14ac:dyDescent="0.25">
      <c r="A137" s="2" t="s">
        <v>210</v>
      </c>
      <c r="B137" s="3">
        <v>45683</v>
      </c>
      <c r="C137" s="2" t="s">
        <v>60</v>
      </c>
      <c r="D137" s="2" t="s">
        <v>61</v>
      </c>
      <c r="E137" s="2" t="s">
        <v>62</v>
      </c>
      <c r="F137" s="2" t="s">
        <v>14</v>
      </c>
      <c r="G137" s="2" t="s">
        <v>63</v>
      </c>
      <c r="H137" s="2">
        <v>1</v>
      </c>
      <c r="I137" s="4">
        <v>26</v>
      </c>
      <c r="J137" s="2" t="s">
        <v>31</v>
      </c>
      <c r="K137">
        <f>H137*I137</f>
        <v>26</v>
      </c>
      <c r="L137" t="str">
        <f t="shared" si="4"/>
        <v>Jan</v>
      </c>
      <c r="M137">
        <f t="shared" si="5"/>
        <v>1</v>
      </c>
    </row>
    <row r="138" spans="1:13" x14ac:dyDescent="0.25">
      <c r="A138" s="2" t="s">
        <v>211</v>
      </c>
      <c r="B138" s="3">
        <v>45683</v>
      </c>
      <c r="C138" s="2" t="s">
        <v>97</v>
      </c>
      <c r="D138" s="2" t="s">
        <v>98</v>
      </c>
      <c r="E138" s="2" t="s">
        <v>99</v>
      </c>
      <c r="F138" s="2" t="s">
        <v>14</v>
      </c>
      <c r="G138" s="2" t="s">
        <v>37</v>
      </c>
      <c r="H138" s="2">
        <v>5</v>
      </c>
      <c r="I138" s="4">
        <v>182</v>
      </c>
      <c r="J138" s="2" t="s">
        <v>38</v>
      </c>
      <c r="K138">
        <f>H138*I138</f>
        <v>910</v>
      </c>
      <c r="L138" t="str">
        <f t="shared" si="4"/>
        <v>Jan</v>
      </c>
      <c r="M138">
        <f t="shared" si="5"/>
        <v>1</v>
      </c>
    </row>
    <row r="139" spans="1:13" x14ac:dyDescent="0.25">
      <c r="A139" s="2" t="s">
        <v>212</v>
      </c>
      <c r="B139" s="3">
        <v>45683</v>
      </c>
      <c r="C139" s="2" t="s">
        <v>97</v>
      </c>
      <c r="D139" s="2" t="s">
        <v>98</v>
      </c>
      <c r="E139" s="2" t="s">
        <v>99</v>
      </c>
      <c r="F139" s="2" t="s">
        <v>14</v>
      </c>
      <c r="G139" s="2" t="s">
        <v>37</v>
      </c>
      <c r="H139" s="2">
        <v>5</v>
      </c>
      <c r="I139" s="4">
        <v>182</v>
      </c>
      <c r="J139" s="2" t="s">
        <v>38</v>
      </c>
      <c r="K139">
        <f>H139*I139</f>
        <v>910</v>
      </c>
      <c r="L139" t="str">
        <f t="shared" si="4"/>
        <v>Jan</v>
      </c>
      <c r="M139">
        <f t="shared" si="5"/>
        <v>1</v>
      </c>
    </row>
    <row r="140" spans="1:13" x14ac:dyDescent="0.25">
      <c r="A140" s="2" t="s">
        <v>213</v>
      </c>
      <c r="B140" s="3">
        <v>45684</v>
      </c>
      <c r="C140" s="2" t="s">
        <v>12</v>
      </c>
      <c r="D140" s="2" t="s">
        <v>12</v>
      </c>
      <c r="E140" s="2" t="s">
        <v>13</v>
      </c>
      <c r="F140" s="2" t="s">
        <v>20</v>
      </c>
      <c r="G140" s="2" t="s">
        <v>21</v>
      </c>
      <c r="H140" s="2">
        <v>3</v>
      </c>
      <c r="I140" s="4">
        <v>14</v>
      </c>
      <c r="J140" s="2" t="s">
        <v>16</v>
      </c>
      <c r="K140">
        <f>H140*I140</f>
        <v>42</v>
      </c>
      <c r="L140" t="str">
        <f t="shared" si="4"/>
        <v>Jan</v>
      </c>
      <c r="M140">
        <f t="shared" si="5"/>
        <v>1</v>
      </c>
    </row>
    <row r="141" spans="1:13" x14ac:dyDescent="0.25">
      <c r="A141" s="2" t="s">
        <v>214</v>
      </c>
      <c r="B141" s="3">
        <v>45684</v>
      </c>
      <c r="C141" s="2" t="s">
        <v>190</v>
      </c>
      <c r="D141" s="2" t="s">
        <v>40</v>
      </c>
      <c r="E141" s="2" t="s">
        <v>19</v>
      </c>
      <c r="F141" s="2" t="s">
        <v>14</v>
      </c>
      <c r="G141" s="2" t="s">
        <v>191</v>
      </c>
      <c r="H141" s="2">
        <v>3</v>
      </c>
      <c r="I141" s="4">
        <v>142</v>
      </c>
      <c r="J141" s="2" t="s">
        <v>16</v>
      </c>
      <c r="K141">
        <f>H141*I141</f>
        <v>426</v>
      </c>
      <c r="L141" t="str">
        <f t="shared" si="4"/>
        <v>Jan</v>
      </c>
      <c r="M141">
        <f t="shared" si="5"/>
        <v>1</v>
      </c>
    </row>
    <row r="142" spans="1:13" x14ac:dyDescent="0.25">
      <c r="A142" s="2" t="s">
        <v>215</v>
      </c>
      <c r="B142" s="3">
        <v>45684</v>
      </c>
      <c r="C142" s="2" t="s">
        <v>97</v>
      </c>
      <c r="D142" s="2" t="s">
        <v>98</v>
      </c>
      <c r="E142" s="2" t="s">
        <v>99</v>
      </c>
      <c r="F142" s="2" t="s">
        <v>14</v>
      </c>
      <c r="G142" s="2" t="s">
        <v>37</v>
      </c>
      <c r="H142" s="2">
        <v>4</v>
      </c>
      <c r="I142" s="4">
        <v>182</v>
      </c>
      <c r="J142" s="2" t="s">
        <v>16</v>
      </c>
      <c r="K142">
        <f>H142*I142</f>
        <v>728</v>
      </c>
      <c r="L142" t="str">
        <f t="shared" si="4"/>
        <v>Jan</v>
      </c>
      <c r="M142">
        <f t="shared" si="5"/>
        <v>1</v>
      </c>
    </row>
    <row r="143" spans="1:13" x14ac:dyDescent="0.25">
      <c r="A143" s="2" t="s">
        <v>216</v>
      </c>
      <c r="B143" s="3">
        <v>45684</v>
      </c>
      <c r="C143" s="2" t="s">
        <v>109</v>
      </c>
      <c r="D143" s="2" t="s">
        <v>109</v>
      </c>
      <c r="E143" s="2" t="s">
        <v>13</v>
      </c>
      <c r="F143" s="2" t="s">
        <v>20</v>
      </c>
      <c r="G143" s="2" t="s">
        <v>21</v>
      </c>
      <c r="H143" s="2">
        <v>5</v>
      </c>
      <c r="I143" s="4">
        <v>20</v>
      </c>
      <c r="J143" s="2" t="s">
        <v>38</v>
      </c>
      <c r="K143">
        <f>H143*I143</f>
        <v>100</v>
      </c>
      <c r="L143" t="str">
        <f t="shared" si="4"/>
        <v>Jan</v>
      </c>
      <c r="M143">
        <f t="shared" si="5"/>
        <v>1</v>
      </c>
    </row>
    <row r="144" spans="1:13" x14ac:dyDescent="0.25">
      <c r="A144" s="2" t="s">
        <v>217</v>
      </c>
      <c r="B144" s="3">
        <v>45684</v>
      </c>
      <c r="C144" s="2" t="s">
        <v>43</v>
      </c>
      <c r="D144" s="2" t="s">
        <v>43</v>
      </c>
      <c r="E144" s="2" t="s">
        <v>44</v>
      </c>
      <c r="F144" s="2" t="s">
        <v>20</v>
      </c>
      <c r="G144" s="2" t="s">
        <v>21</v>
      </c>
      <c r="H144" s="2">
        <v>1</v>
      </c>
      <c r="I144" s="4">
        <v>18</v>
      </c>
      <c r="J144" s="2" t="s">
        <v>31</v>
      </c>
      <c r="K144">
        <f>H144*I144</f>
        <v>18</v>
      </c>
      <c r="L144" t="str">
        <f t="shared" si="4"/>
        <v>Jan</v>
      </c>
      <c r="M144">
        <f t="shared" si="5"/>
        <v>1</v>
      </c>
    </row>
    <row r="145" spans="1:13" x14ac:dyDescent="0.25">
      <c r="A145" s="2" t="s">
        <v>218</v>
      </c>
      <c r="B145" s="3">
        <v>45685</v>
      </c>
      <c r="C145" s="2" t="s">
        <v>11</v>
      </c>
      <c r="D145" s="2" t="s">
        <v>12</v>
      </c>
      <c r="E145" s="2" t="s">
        <v>13</v>
      </c>
      <c r="F145" s="2" t="s">
        <v>14</v>
      </c>
      <c r="G145" s="2" t="s">
        <v>15</v>
      </c>
      <c r="H145" s="2">
        <v>3</v>
      </c>
      <c r="I145" s="4">
        <v>32</v>
      </c>
      <c r="J145" s="2" t="s">
        <v>16</v>
      </c>
      <c r="K145">
        <f>H145*I145</f>
        <v>96</v>
      </c>
      <c r="L145" t="str">
        <f t="shared" si="4"/>
        <v>Jan</v>
      </c>
      <c r="M145">
        <f t="shared" si="5"/>
        <v>1</v>
      </c>
    </row>
    <row r="146" spans="1:13" x14ac:dyDescent="0.25">
      <c r="A146" s="2" t="s">
        <v>219</v>
      </c>
      <c r="B146" s="3">
        <v>45685</v>
      </c>
      <c r="C146" s="2" t="s">
        <v>12</v>
      </c>
      <c r="D146" s="2" t="s">
        <v>12</v>
      </c>
      <c r="E146" s="2" t="s">
        <v>13</v>
      </c>
      <c r="F146" s="2" t="s">
        <v>20</v>
      </c>
      <c r="G146" s="2" t="s">
        <v>21</v>
      </c>
      <c r="H146" s="2">
        <v>1</v>
      </c>
      <c r="I146" s="4">
        <v>14</v>
      </c>
      <c r="J146" s="2" t="s">
        <v>16</v>
      </c>
      <c r="K146">
        <f>H146*I146</f>
        <v>14</v>
      </c>
      <c r="L146" t="str">
        <f t="shared" si="4"/>
        <v>Jan</v>
      </c>
      <c r="M146">
        <f t="shared" si="5"/>
        <v>1</v>
      </c>
    </row>
    <row r="147" spans="1:13" x14ac:dyDescent="0.25">
      <c r="A147" s="2" t="s">
        <v>220</v>
      </c>
      <c r="B147" s="3">
        <v>45685</v>
      </c>
      <c r="C147" s="2" t="s">
        <v>119</v>
      </c>
      <c r="D147" s="2" t="s">
        <v>120</v>
      </c>
      <c r="E147" s="2" t="s">
        <v>76</v>
      </c>
      <c r="F147" s="2" t="s">
        <v>14</v>
      </c>
      <c r="G147" s="2" t="s">
        <v>121</v>
      </c>
      <c r="H147" s="2">
        <v>3</v>
      </c>
      <c r="I147" s="4">
        <v>190</v>
      </c>
      <c r="J147" s="2" t="s">
        <v>16</v>
      </c>
      <c r="K147">
        <f>H147*I147</f>
        <v>570</v>
      </c>
      <c r="L147" t="str">
        <f t="shared" si="4"/>
        <v>Jan</v>
      </c>
      <c r="M147">
        <f t="shared" si="5"/>
        <v>1</v>
      </c>
    </row>
    <row r="148" spans="1:13" x14ac:dyDescent="0.25">
      <c r="A148" s="2" t="s">
        <v>221</v>
      </c>
      <c r="B148" s="3">
        <v>45685</v>
      </c>
      <c r="C148" s="2" t="s">
        <v>102</v>
      </c>
      <c r="D148" s="2" t="s">
        <v>102</v>
      </c>
      <c r="E148" s="2" t="s">
        <v>36</v>
      </c>
      <c r="F148" s="2" t="s">
        <v>20</v>
      </c>
      <c r="G148" s="2" t="s">
        <v>21</v>
      </c>
      <c r="H148" s="2">
        <v>3</v>
      </c>
      <c r="I148" s="4">
        <v>35</v>
      </c>
      <c r="J148" s="2" t="s">
        <v>22</v>
      </c>
      <c r="K148">
        <f>H148*I148</f>
        <v>105</v>
      </c>
      <c r="L148" t="str">
        <f t="shared" si="4"/>
        <v>Jan</v>
      </c>
      <c r="M148">
        <f t="shared" si="5"/>
        <v>1</v>
      </c>
    </row>
    <row r="149" spans="1:13" x14ac:dyDescent="0.25">
      <c r="A149" s="2" t="s">
        <v>222</v>
      </c>
      <c r="B149" s="3">
        <v>45685</v>
      </c>
      <c r="C149" s="2" t="s">
        <v>35</v>
      </c>
      <c r="D149" s="2" t="s">
        <v>35</v>
      </c>
      <c r="E149" s="2" t="s">
        <v>36</v>
      </c>
      <c r="F149" s="2" t="s">
        <v>20</v>
      </c>
      <c r="G149" s="2" t="s">
        <v>21</v>
      </c>
      <c r="H149" s="2">
        <v>1</v>
      </c>
      <c r="I149" s="4">
        <v>58</v>
      </c>
      <c r="J149" s="2" t="s">
        <v>38</v>
      </c>
      <c r="K149">
        <f>H149*I149</f>
        <v>58</v>
      </c>
      <c r="L149" t="str">
        <f t="shared" si="4"/>
        <v>Jan</v>
      </c>
      <c r="M149">
        <f t="shared" si="5"/>
        <v>1</v>
      </c>
    </row>
    <row r="150" spans="1:13" x14ac:dyDescent="0.25">
      <c r="A150" s="2" t="s">
        <v>223</v>
      </c>
      <c r="B150" s="3">
        <v>45685</v>
      </c>
      <c r="C150" s="2" t="s">
        <v>190</v>
      </c>
      <c r="D150" s="2" t="s">
        <v>40</v>
      </c>
      <c r="E150" s="2" t="s">
        <v>19</v>
      </c>
      <c r="F150" s="2" t="s">
        <v>14</v>
      </c>
      <c r="G150" s="2" t="s">
        <v>191</v>
      </c>
      <c r="H150" s="2">
        <v>6</v>
      </c>
      <c r="I150" s="4">
        <v>142</v>
      </c>
      <c r="J150" s="2" t="s">
        <v>16</v>
      </c>
      <c r="K150">
        <f>H150*I150</f>
        <v>852</v>
      </c>
      <c r="L150" t="str">
        <f t="shared" si="4"/>
        <v>Jan</v>
      </c>
      <c r="M150">
        <f t="shared" si="5"/>
        <v>1</v>
      </c>
    </row>
    <row r="151" spans="1:13" x14ac:dyDescent="0.25">
      <c r="A151" s="2" t="s">
        <v>224</v>
      </c>
      <c r="B151" s="3">
        <v>45685</v>
      </c>
      <c r="C151" s="2" t="s">
        <v>79</v>
      </c>
      <c r="D151" s="2" t="s">
        <v>80</v>
      </c>
      <c r="E151" s="2" t="s">
        <v>26</v>
      </c>
      <c r="F151" s="2" t="s">
        <v>14</v>
      </c>
      <c r="G151" s="2" t="s">
        <v>81</v>
      </c>
      <c r="H151" s="2">
        <v>2</v>
      </c>
      <c r="I151" s="4">
        <v>152</v>
      </c>
      <c r="J151" s="2" t="s">
        <v>16</v>
      </c>
      <c r="K151">
        <f>H151*I151</f>
        <v>304</v>
      </c>
      <c r="L151" t="str">
        <f t="shared" si="4"/>
        <v>Jan</v>
      </c>
      <c r="M151">
        <f t="shared" si="5"/>
        <v>1</v>
      </c>
    </row>
    <row r="152" spans="1:13" x14ac:dyDescent="0.25">
      <c r="A152" s="2" t="s">
        <v>225</v>
      </c>
      <c r="B152" s="3">
        <v>45686</v>
      </c>
      <c r="C152" s="2" t="s">
        <v>11</v>
      </c>
      <c r="D152" s="2" t="s">
        <v>12</v>
      </c>
      <c r="E152" s="2" t="s">
        <v>13</v>
      </c>
      <c r="F152" s="2" t="s">
        <v>14</v>
      </c>
      <c r="G152" s="2" t="s">
        <v>15</v>
      </c>
      <c r="H152" s="2">
        <v>1</v>
      </c>
      <c r="I152" s="4">
        <v>32</v>
      </c>
      <c r="J152" s="2" t="s">
        <v>16</v>
      </c>
      <c r="K152">
        <f>H152*I152</f>
        <v>32</v>
      </c>
      <c r="L152" t="str">
        <f t="shared" si="4"/>
        <v>Jan</v>
      </c>
      <c r="M152">
        <f t="shared" si="5"/>
        <v>1</v>
      </c>
    </row>
    <row r="153" spans="1:13" x14ac:dyDescent="0.25">
      <c r="A153" s="2" t="s">
        <v>226</v>
      </c>
      <c r="B153" s="3">
        <v>45686</v>
      </c>
      <c r="C153" s="2" t="s">
        <v>102</v>
      </c>
      <c r="D153" s="2" t="s">
        <v>102</v>
      </c>
      <c r="E153" s="2" t="s">
        <v>36</v>
      </c>
      <c r="F153" s="2" t="s">
        <v>20</v>
      </c>
      <c r="G153" s="2" t="s">
        <v>21</v>
      </c>
      <c r="H153" s="2">
        <v>1</v>
      </c>
      <c r="I153" s="4">
        <v>35</v>
      </c>
      <c r="J153" s="2" t="s">
        <v>31</v>
      </c>
      <c r="K153">
        <f>H153*I153</f>
        <v>35</v>
      </c>
      <c r="L153" t="str">
        <f t="shared" si="4"/>
        <v>Jan</v>
      </c>
      <c r="M153">
        <f t="shared" si="5"/>
        <v>1</v>
      </c>
    </row>
    <row r="154" spans="1:13" x14ac:dyDescent="0.25">
      <c r="A154" s="2" t="s">
        <v>227</v>
      </c>
      <c r="B154" s="3">
        <v>45686</v>
      </c>
      <c r="C154" s="2" t="s">
        <v>190</v>
      </c>
      <c r="D154" s="2" t="s">
        <v>40</v>
      </c>
      <c r="E154" s="2" t="s">
        <v>19</v>
      </c>
      <c r="F154" s="2" t="s">
        <v>14</v>
      </c>
      <c r="G154" s="2" t="s">
        <v>191</v>
      </c>
      <c r="H154" s="2">
        <v>1</v>
      </c>
      <c r="I154" s="4">
        <v>142</v>
      </c>
      <c r="J154" s="2" t="s">
        <v>16</v>
      </c>
      <c r="K154">
        <f>H154*I154</f>
        <v>142</v>
      </c>
      <c r="L154" t="str">
        <f t="shared" si="4"/>
        <v>Jan</v>
      </c>
      <c r="M154">
        <f t="shared" si="5"/>
        <v>1</v>
      </c>
    </row>
    <row r="155" spans="1:13" x14ac:dyDescent="0.25">
      <c r="A155" s="2" t="s">
        <v>228</v>
      </c>
      <c r="B155" s="3">
        <v>45686</v>
      </c>
      <c r="C155" s="2" t="s">
        <v>79</v>
      </c>
      <c r="D155" s="2" t="s">
        <v>80</v>
      </c>
      <c r="E155" s="2" t="s">
        <v>26</v>
      </c>
      <c r="F155" s="2" t="s">
        <v>14</v>
      </c>
      <c r="G155" s="2" t="s">
        <v>81</v>
      </c>
      <c r="H155" s="2">
        <v>4</v>
      </c>
      <c r="I155" s="4">
        <v>152</v>
      </c>
      <c r="J155" s="2" t="s">
        <v>16</v>
      </c>
      <c r="K155">
        <f>H155*I155</f>
        <v>608</v>
      </c>
      <c r="L155" t="str">
        <f t="shared" si="4"/>
        <v>Jan</v>
      </c>
      <c r="M155">
        <f t="shared" si="5"/>
        <v>1</v>
      </c>
    </row>
    <row r="156" spans="1:13" x14ac:dyDescent="0.25">
      <c r="A156" s="2" t="s">
        <v>229</v>
      </c>
      <c r="B156" s="3">
        <v>45686</v>
      </c>
      <c r="C156" s="2" t="s">
        <v>61</v>
      </c>
      <c r="D156" s="2" t="s">
        <v>61</v>
      </c>
      <c r="E156" s="2" t="s">
        <v>62</v>
      </c>
      <c r="F156" s="2" t="s">
        <v>20</v>
      </c>
      <c r="G156" s="2" t="s">
        <v>21</v>
      </c>
      <c r="H156" s="2">
        <v>2</v>
      </c>
      <c r="I156" s="4">
        <v>8</v>
      </c>
      <c r="J156" s="2" t="s">
        <v>22</v>
      </c>
      <c r="K156">
        <f>H156*I156</f>
        <v>16</v>
      </c>
      <c r="L156" t="str">
        <f t="shared" si="4"/>
        <v>Jan</v>
      </c>
      <c r="M156">
        <f t="shared" si="5"/>
        <v>1</v>
      </c>
    </row>
    <row r="157" spans="1:13" x14ac:dyDescent="0.25">
      <c r="A157" s="2" t="s">
        <v>230</v>
      </c>
      <c r="B157" s="3">
        <v>45687</v>
      </c>
      <c r="C157" s="2" t="s">
        <v>67</v>
      </c>
      <c r="D157" s="2" t="s">
        <v>68</v>
      </c>
      <c r="E157" s="2" t="s">
        <v>49</v>
      </c>
      <c r="F157" s="2" t="s">
        <v>14</v>
      </c>
      <c r="G157" s="2" t="s">
        <v>69</v>
      </c>
      <c r="H157" s="2">
        <v>5</v>
      </c>
      <c r="I157" s="4">
        <v>205</v>
      </c>
      <c r="J157" s="2" t="s">
        <v>16</v>
      </c>
      <c r="K157">
        <f>H157*I157</f>
        <v>1025</v>
      </c>
      <c r="L157" t="str">
        <f t="shared" si="4"/>
        <v>Jan</v>
      </c>
      <c r="M157">
        <f t="shared" si="5"/>
        <v>1</v>
      </c>
    </row>
    <row r="158" spans="1:13" x14ac:dyDescent="0.25">
      <c r="A158" s="2" t="s">
        <v>231</v>
      </c>
      <c r="B158" s="3">
        <v>45687</v>
      </c>
      <c r="C158" s="2" t="s">
        <v>75</v>
      </c>
      <c r="D158" s="2" t="s">
        <v>75</v>
      </c>
      <c r="E158" s="2" t="s">
        <v>76</v>
      </c>
      <c r="F158" s="2" t="s">
        <v>20</v>
      </c>
      <c r="G158" s="2" t="s">
        <v>21</v>
      </c>
      <c r="H158" s="2">
        <v>3</v>
      </c>
      <c r="I158" s="4">
        <v>12</v>
      </c>
      <c r="J158" s="2" t="s">
        <v>31</v>
      </c>
      <c r="K158">
        <f>H158*I158</f>
        <v>36</v>
      </c>
      <c r="L158" t="str">
        <f t="shared" si="4"/>
        <v>Jan</v>
      </c>
      <c r="M158">
        <f t="shared" si="5"/>
        <v>1</v>
      </c>
    </row>
    <row r="159" spans="1:13" x14ac:dyDescent="0.25">
      <c r="A159" s="2" t="s">
        <v>232</v>
      </c>
      <c r="B159" s="3">
        <v>45687</v>
      </c>
      <c r="C159" s="2" t="s">
        <v>120</v>
      </c>
      <c r="D159" s="2" t="s">
        <v>120</v>
      </c>
      <c r="E159" s="2" t="s">
        <v>76</v>
      </c>
      <c r="F159" s="2" t="s">
        <v>20</v>
      </c>
      <c r="G159" s="2" t="s">
        <v>21</v>
      </c>
      <c r="H159" s="2">
        <v>6</v>
      </c>
      <c r="I159" s="4">
        <v>42</v>
      </c>
      <c r="J159" s="2" t="s">
        <v>16</v>
      </c>
      <c r="K159">
        <f>H159*I159</f>
        <v>252</v>
      </c>
      <c r="L159" t="str">
        <f t="shared" si="4"/>
        <v>Jan</v>
      </c>
      <c r="M159">
        <f t="shared" si="5"/>
        <v>1</v>
      </c>
    </row>
    <row r="160" spans="1:13" x14ac:dyDescent="0.25">
      <c r="A160" s="2" t="s">
        <v>233</v>
      </c>
      <c r="B160" s="3">
        <v>45687</v>
      </c>
      <c r="C160" s="2" t="s">
        <v>34</v>
      </c>
      <c r="D160" s="2" t="s">
        <v>35</v>
      </c>
      <c r="E160" s="2" t="s">
        <v>36</v>
      </c>
      <c r="F160" s="2" t="s">
        <v>14</v>
      </c>
      <c r="G160" s="2" t="s">
        <v>37</v>
      </c>
      <c r="H160" s="2">
        <v>3</v>
      </c>
      <c r="I160" s="4">
        <v>165</v>
      </c>
      <c r="J160" s="2" t="s">
        <v>38</v>
      </c>
      <c r="K160">
        <f>H160*I160</f>
        <v>495</v>
      </c>
      <c r="L160" t="str">
        <f t="shared" si="4"/>
        <v>Jan</v>
      </c>
      <c r="M160">
        <f t="shared" si="5"/>
        <v>1</v>
      </c>
    </row>
    <row r="161" spans="1:13" x14ac:dyDescent="0.25">
      <c r="A161" s="2" t="s">
        <v>234</v>
      </c>
      <c r="B161" s="3">
        <v>45687</v>
      </c>
      <c r="C161" s="2" t="s">
        <v>124</v>
      </c>
      <c r="D161" s="2" t="s">
        <v>18</v>
      </c>
      <c r="E161" s="2" t="s">
        <v>19</v>
      </c>
      <c r="F161" s="2" t="s">
        <v>14</v>
      </c>
      <c r="G161" s="2" t="s">
        <v>125</v>
      </c>
      <c r="H161" s="2">
        <v>3</v>
      </c>
      <c r="I161" s="4">
        <v>45</v>
      </c>
      <c r="J161" s="2" t="s">
        <v>22</v>
      </c>
      <c r="K161">
        <f>H161*I161</f>
        <v>135</v>
      </c>
      <c r="L161" t="str">
        <f t="shared" si="4"/>
        <v>Jan</v>
      </c>
      <c r="M161">
        <f t="shared" si="5"/>
        <v>1</v>
      </c>
    </row>
    <row r="162" spans="1:13" x14ac:dyDescent="0.25">
      <c r="A162" s="2" t="s">
        <v>235</v>
      </c>
      <c r="B162" s="3">
        <v>45687</v>
      </c>
      <c r="C162" s="2" t="s">
        <v>124</v>
      </c>
      <c r="D162" s="2" t="s">
        <v>18</v>
      </c>
      <c r="E162" s="2" t="s">
        <v>19</v>
      </c>
      <c r="F162" s="2" t="s">
        <v>14</v>
      </c>
      <c r="G162" s="2" t="s">
        <v>125</v>
      </c>
      <c r="H162" s="2">
        <v>1</v>
      </c>
      <c r="I162" s="4">
        <v>45</v>
      </c>
      <c r="J162" s="2" t="s">
        <v>38</v>
      </c>
      <c r="K162">
        <f>H162*I162</f>
        <v>45</v>
      </c>
      <c r="L162" t="str">
        <f t="shared" si="4"/>
        <v>Jan</v>
      </c>
      <c r="M162">
        <f t="shared" si="5"/>
        <v>1</v>
      </c>
    </row>
    <row r="163" spans="1:13" x14ac:dyDescent="0.25">
      <c r="A163" s="2" t="s">
        <v>236</v>
      </c>
      <c r="B163" s="3">
        <v>45687</v>
      </c>
      <c r="C163" s="2" t="s">
        <v>42</v>
      </c>
      <c r="D163" s="2" t="s">
        <v>43</v>
      </c>
      <c r="E163" s="2" t="s">
        <v>44</v>
      </c>
      <c r="F163" s="2" t="s">
        <v>14</v>
      </c>
      <c r="G163" s="2" t="s">
        <v>45</v>
      </c>
      <c r="H163" s="2">
        <v>4</v>
      </c>
      <c r="I163" s="4">
        <v>46</v>
      </c>
      <c r="J163" s="2" t="s">
        <v>38</v>
      </c>
      <c r="K163">
        <f>H163*I163</f>
        <v>184</v>
      </c>
      <c r="L163" t="str">
        <f t="shared" si="4"/>
        <v>Jan</v>
      </c>
      <c r="M163">
        <f t="shared" si="5"/>
        <v>1</v>
      </c>
    </row>
    <row r="164" spans="1:13" x14ac:dyDescent="0.25">
      <c r="A164" s="2" t="s">
        <v>237</v>
      </c>
      <c r="B164" s="3">
        <v>45688</v>
      </c>
      <c r="C164" s="2" t="s">
        <v>74</v>
      </c>
      <c r="D164" s="2" t="s">
        <v>75</v>
      </c>
      <c r="E164" s="2" t="s">
        <v>76</v>
      </c>
      <c r="F164" s="2" t="s">
        <v>14</v>
      </c>
      <c r="G164" s="2" t="s">
        <v>77</v>
      </c>
      <c r="H164" s="2">
        <v>12</v>
      </c>
      <c r="I164" s="4">
        <v>32</v>
      </c>
      <c r="J164" s="2" t="s">
        <v>38</v>
      </c>
      <c r="K164">
        <f>H164*I164</f>
        <v>384</v>
      </c>
      <c r="L164" t="str">
        <f t="shared" si="4"/>
        <v>Jan</v>
      </c>
      <c r="M164">
        <f t="shared" si="5"/>
        <v>1</v>
      </c>
    </row>
    <row r="165" spans="1:13" x14ac:dyDescent="0.25">
      <c r="A165" s="2" t="s">
        <v>238</v>
      </c>
      <c r="B165" s="3">
        <v>45688</v>
      </c>
      <c r="C165" s="2" t="s">
        <v>30</v>
      </c>
      <c r="D165" s="2" t="s">
        <v>30</v>
      </c>
      <c r="E165" s="2" t="s">
        <v>13</v>
      </c>
      <c r="F165" s="2" t="s">
        <v>20</v>
      </c>
      <c r="G165" s="2" t="s">
        <v>21</v>
      </c>
      <c r="H165" s="2">
        <v>3</v>
      </c>
      <c r="I165" s="4">
        <v>15</v>
      </c>
      <c r="J165" s="2" t="s">
        <v>16</v>
      </c>
      <c r="K165">
        <f>H165*I165</f>
        <v>45</v>
      </c>
      <c r="L165" t="str">
        <f t="shared" si="4"/>
        <v>Jan</v>
      </c>
      <c r="M165">
        <f t="shared" si="5"/>
        <v>1</v>
      </c>
    </row>
    <row r="166" spans="1:13" x14ac:dyDescent="0.25">
      <c r="A166" s="2" t="s">
        <v>239</v>
      </c>
      <c r="B166" s="3">
        <v>45688</v>
      </c>
      <c r="C166" s="2" t="s">
        <v>108</v>
      </c>
      <c r="D166" s="2" t="s">
        <v>109</v>
      </c>
      <c r="E166" s="2" t="s">
        <v>13</v>
      </c>
      <c r="F166" s="2" t="s">
        <v>14</v>
      </c>
      <c r="G166" s="2" t="s">
        <v>110</v>
      </c>
      <c r="H166" s="2">
        <v>4</v>
      </c>
      <c r="I166" s="4">
        <v>62</v>
      </c>
      <c r="J166" s="2" t="s">
        <v>22</v>
      </c>
      <c r="K166">
        <f>H166*I166</f>
        <v>248</v>
      </c>
      <c r="L166" t="str">
        <f t="shared" si="4"/>
        <v>Jan</v>
      </c>
      <c r="M166">
        <f t="shared" si="5"/>
        <v>1</v>
      </c>
    </row>
    <row r="167" spans="1:13" x14ac:dyDescent="0.25">
      <c r="A167" s="2" t="s">
        <v>240</v>
      </c>
      <c r="B167" s="3">
        <v>45689</v>
      </c>
      <c r="C167" s="2" t="s">
        <v>101</v>
      </c>
      <c r="D167" s="2" t="s">
        <v>102</v>
      </c>
      <c r="E167" s="2" t="s">
        <v>36</v>
      </c>
      <c r="F167" s="2" t="s">
        <v>14</v>
      </c>
      <c r="G167" s="2" t="s">
        <v>103</v>
      </c>
      <c r="H167" s="2">
        <v>3</v>
      </c>
      <c r="I167" s="4">
        <v>92</v>
      </c>
      <c r="J167" s="2" t="s">
        <v>38</v>
      </c>
      <c r="K167">
        <f>H167*I167</f>
        <v>276</v>
      </c>
      <c r="L167" t="str">
        <f t="shared" si="4"/>
        <v>Feb</v>
      </c>
      <c r="M167">
        <f t="shared" si="5"/>
        <v>2</v>
      </c>
    </row>
    <row r="168" spans="1:13" x14ac:dyDescent="0.25">
      <c r="A168" s="2" t="s">
        <v>241</v>
      </c>
      <c r="B168" s="3">
        <v>45689</v>
      </c>
      <c r="C168" s="2" t="s">
        <v>34</v>
      </c>
      <c r="D168" s="2" t="s">
        <v>35</v>
      </c>
      <c r="E168" s="2" t="s">
        <v>36</v>
      </c>
      <c r="F168" s="2" t="s">
        <v>14</v>
      </c>
      <c r="G168" s="2" t="s">
        <v>37</v>
      </c>
      <c r="H168" s="2">
        <v>1</v>
      </c>
      <c r="I168" s="4">
        <v>165</v>
      </c>
      <c r="J168" s="2" t="s">
        <v>38</v>
      </c>
      <c r="K168">
        <f>H168*I168</f>
        <v>165</v>
      </c>
      <c r="L168" t="str">
        <f t="shared" si="4"/>
        <v>Feb</v>
      </c>
      <c r="M168">
        <f t="shared" si="5"/>
        <v>2</v>
      </c>
    </row>
    <row r="169" spans="1:13" x14ac:dyDescent="0.25">
      <c r="A169" s="2" t="s">
        <v>242</v>
      </c>
      <c r="B169" s="3">
        <v>45689</v>
      </c>
      <c r="C169" s="2" t="s">
        <v>25</v>
      </c>
      <c r="D169" s="2" t="s">
        <v>25</v>
      </c>
      <c r="E169" s="2" t="s">
        <v>26</v>
      </c>
      <c r="F169" s="2" t="s">
        <v>20</v>
      </c>
      <c r="G169" s="2" t="s">
        <v>21</v>
      </c>
      <c r="H169" s="2">
        <v>1</v>
      </c>
      <c r="I169" s="4">
        <v>20</v>
      </c>
      <c r="J169" s="2" t="s">
        <v>31</v>
      </c>
      <c r="K169">
        <f>H169*I169</f>
        <v>20</v>
      </c>
      <c r="L169" t="str">
        <f t="shared" si="4"/>
        <v>Feb</v>
      </c>
      <c r="M169">
        <f t="shared" si="5"/>
        <v>2</v>
      </c>
    </row>
    <row r="170" spans="1:13" x14ac:dyDescent="0.25">
      <c r="A170" s="2" t="s">
        <v>243</v>
      </c>
      <c r="B170" s="3">
        <v>45689</v>
      </c>
      <c r="C170" s="2" t="s">
        <v>30</v>
      </c>
      <c r="D170" s="2" t="s">
        <v>30</v>
      </c>
      <c r="E170" s="2" t="s">
        <v>13</v>
      </c>
      <c r="F170" s="2" t="s">
        <v>20</v>
      </c>
      <c r="G170" s="2" t="s">
        <v>21</v>
      </c>
      <c r="H170" s="2">
        <v>3</v>
      </c>
      <c r="I170" s="4">
        <v>15</v>
      </c>
      <c r="J170" s="2" t="s">
        <v>16</v>
      </c>
      <c r="K170">
        <f>H170*I170</f>
        <v>45</v>
      </c>
      <c r="L170" t="str">
        <f t="shared" si="4"/>
        <v>Feb</v>
      </c>
      <c r="M170">
        <f t="shared" si="5"/>
        <v>2</v>
      </c>
    </row>
    <row r="171" spans="1:13" x14ac:dyDescent="0.25">
      <c r="A171" s="2" t="s">
        <v>244</v>
      </c>
      <c r="B171" s="3">
        <v>45689</v>
      </c>
      <c r="C171" s="2" t="s">
        <v>43</v>
      </c>
      <c r="D171" s="2" t="s">
        <v>43</v>
      </c>
      <c r="E171" s="2" t="s">
        <v>44</v>
      </c>
      <c r="F171" s="2" t="s">
        <v>20</v>
      </c>
      <c r="G171" s="2" t="s">
        <v>21</v>
      </c>
      <c r="H171" s="2">
        <v>1</v>
      </c>
      <c r="I171" s="4">
        <v>18</v>
      </c>
      <c r="J171" s="2" t="s">
        <v>16</v>
      </c>
      <c r="K171">
        <f>H171*I171</f>
        <v>18</v>
      </c>
      <c r="L171" t="str">
        <f t="shared" si="4"/>
        <v>Feb</v>
      </c>
      <c r="M171">
        <f t="shared" si="5"/>
        <v>2</v>
      </c>
    </row>
    <row r="172" spans="1:13" x14ac:dyDescent="0.25">
      <c r="A172" s="2" t="s">
        <v>245</v>
      </c>
      <c r="B172" s="3">
        <v>45690</v>
      </c>
      <c r="C172" s="2" t="s">
        <v>11</v>
      </c>
      <c r="D172" s="2" t="s">
        <v>12</v>
      </c>
      <c r="E172" s="2" t="s">
        <v>13</v>
      </c>
      <c r="F172" s="2" t="s">
        <v>14</v>
      </c>
      <c r="G172" s="2" t="s">
        <v>15</v>
      </c>
      <c r="H172" s="2">
        <v>3</v>
      </c>
      <c r="I172" s="4">
        <v>32</v>
      </c>
      <c r="J172" s="2" t="s">
        <v>22</v>
      </c>
      <c r="K172">
        <f>H172*I172</f>
        <v>96</v>
      </c>
      <c r="L172" t="str">
        <f t="shared" si="4"/>
        <v>Feb</v>
      </c>
      <c r="M172">
        <f t="shared" si="5"/>
        <v>2</v>
      </c>
    </row>
    <row r="173" spans="1:13" x14ac:dyDescent="0.25">
      <c r="A173" s="2" t="s">
        <v>246</v>
      </c>
      <c r="B173" s="3">
        <v>45690</v>
      </c>
      <c r="C173" s="2" t="s">
        <v>75</v>
      </c>
      <c r="D173" s="2" t="s">
        <v>75</v>
      </c>
      <c r="E173" s="2" t="s">
        <v>76</v>
      </c>
      <c r="F173" s="2" t="s">
        <v>20</v>
      </c>
      <c r="G173" s="2" t="s">
        <v>21</v>
      </c>
      <c r="H173" s="2">
        <v>2</v>
      </c>
      <c r="I173" s="4">
        <v>12</v>
      </c>
      <c r="J173" s="2" t="s">
        <v>22</v>
      </c>
      <c r="K173">
        <f>H173*I173</f>
        <v>24</v>
      </c>
      <c r="L173" t="str">
        <f t="shared" si="4"/>
        <v>Feb</v>
      </c>
      <c r="M173">
        <f t="shared" si="5"/>
        <v>2</v>
      </c>
    </row>
    <row r="174" spans="1:13" x14ac:dyDescent="0.25">
      <c r="A174" s="2" t="s">
        <v>247</v>
      </c>
      <c r="B174" s="3">
        <v>45690</v>
      </c>
      <c r="C174" s="2" t="s">
        <v>97</v>
      </c>
      <c r="D174" s="2" t="s">
        <v>98</v>
      </c>
      <c r="E174" s="2" t="s">
        <v>99</v>
      </c>
      <c r="F174" s="2" t="s">
        <v>14</v>
      </c>
      <c r="G174" s="2" t="s">
        <v>37</v>
      </c>
      <c r="H174" s="2">
        <v>3</v>
      </c>
      <c r="I174" s="4">
        <v>182</v>
      </c>
      <c r="J174" s="2" t="s">
        <v>16</v>
      </c>
      <c r="K174">
        <f>H174*I174</f>
        <v>546</v>
      </c>
      <c r="L174" t="str">
        <f t="shared" si="4"/>
        <v>Feb</v>
      </c>
      <c r="M174">
        <f t="shared" si="5"/>
        <v>2</v>
      </c>
    </row>
    <row r="175" spans="1:13" x14ac:dyDescent="0.25">
      <c r="A175" s="2" t="s">
        <v>248</v>
      </c>
      <c r="B175" s="3">
        <v>45690</v>
      </c>
      <c r="C175" s="2" t="s">
        <v>108</v>
      </c>
      <c r="D175" s="2" t="s">
        <v>109</v>
      </c>
      <c r="E175" s="2" t="s">
        <v>13</v>
      </c>
      <c r="F175" s="2" t="s">
        <v>14</v>
      </c>
      <c r="G175" s="2" t="s">
        <v>110</v>
      </c>
      <c r="H175" s="2">
        <v>1</v>
      </c>
      <c r="I175" s="4">
        <v>62</v>
      </c>
      <c r="J175" s="2" t="s">
        <v>16</v>
      </c>
      <c r="K175">
        <f>H175*I175</f>
        <v>62</v>
      </c>
      <c r="L175" t="str">
        <f t="shared" si="4"/>
        <v>Feb</v>
      </c>
      <c r="M175">
        <f t="shared" si="5"/>
        <v>2</v>
      </c>
    </row>
    <row r="176" spans="1:13" x14ac:dyDescent="0.25">
      <c r="A176" s="2" t="s">
        <v>249</v>
      </c>
      <c r="B176" s="3">
        <v>45691</v>
      </c>
      <c r="C176" s="2" t="s">
        <v>11</v>
      </c>
      <c r="D176" s="2" t="s">
        <v>12</v>
      </c>
      <c r="E176" s="2" t="s">
        <v>13</v>
      </c>
      <c r="F176" s="2" t="s">
        <v>14</v>
      </c>
      <c r="G176" s="2" t="s">
        <v>15</v>
      </c>
      <c r="H176" s="2">
        <v>1</v>
      </c>
      <c r="I176" s="4">
        <v>32</v>
      </c>
      <c r="J176" s="2" t="s">
        <v>16</v>
      </c>
      <c r="K176">
        <f>H176*I176</f>
        <v>32</v>
      </c>
      <c r="L176" t="str">
        <f t="shared" si="4"/>
        <v>Feb</v>
      </c>
      <c r="M176">
        <f t="shared" si="5"/>
        <v>2</v>
      </c>
    </row>
    <row r="177" spans="1:13" x14ac:dyDescent="0.25">
      <c r="A177" s="2" t="s">
        <v>250</v>
      </c>
      <c r="B177" s="3">
        <v>45691</v>
      </c>
      <c r="C177" s="2" t="s">
        <v>120</v>
      </c>
      <c r="D177" s="2" t="s">
        <v>120</v>
      </c>
      <c r="E177" s="2" t="s">
        <v>76</v>
      </c>
      <c r="F177" s="2" t="s">
        <v>20</v>
      </c>
      <c r="G177" s="2" t="s">
        <v>21</v>
      </c>
      <c r="H177" s="2">
        <v>1</v>
      </c>
      <c r="I177" s="4">
        <v>42</v>
      </c>
      <c r="J177" s="2" t="s">
        <v>38</v>
      </c>
      <c r="K177">
        <f>H177*I177</f>
        <v>42</v>
      </c>
      <c r="L177" t="str">
        <f t="shared" si="4"/>
        <v>Feb</v>
      </c>
      <c r="M177">
        <f t="shared" si="5"/>
        <v>2</v>
      </c>
    </row>
    <row r="178" spans="1:13" x14ac:dyDescent="0.25">
      <c r="A178" s="2" t="s">
        <v>251</v>
      </c>
      <c r="B178" s="3">
        <v>45691</v>
      </c>
      <c r="C178" s="2" t="s">
        <v>124</v>
      </c>
      <c r="D178" s="2" t="s">
        <v>18</v>
      </c>
      <c r="E178" s="2" t="s">
        <v>19</v>
      </c>
      <c r="F178" s="2" t="s">
        <v>14</v>
      </c>
      <c r="G178" s="2" t="s">
        <v>125</v>
      </c>
      <c r="H178" s="2">
        <v>3</v>
      </c>
      <c r="I178" s="4">
        <v>45</v>
      </c>
      <c r="J178" s="2" t="s">
        <v>31</v>
      </c>
      <c r="K178">
        <f>H178*I178</f>
        <v>135</v>
      </c>
      <c r="L178" t="str">
        <f t="shared" si="4"/>
        <v>Feb</v>
      </c>
      <c r="M178">
        <f t="shared" si="5"/>
        <v>2</v>
      </c>
    </row>
    <row r="179" spans="1:13" x14ac:dyDescent="0.25">
      <c r="A179" s="2" t="s">
        <v>252</v>
      </c>
      <c r="B179" s="3">
        <v>45691</v>
      </c>
      <c r="C179" s="2" t="s">
        <v>24</v>
      </c>
      <c r="D179" s="2" t="s">
        <v>25</v>
      </c>
      <c r="E179" s="2" t="s">
        <v>26</v>
      </c>
      <c r="F179" s="2" t="s">
        <v>14</v>
      </c>
      <c r="G179" s="2" t="s">
        <v>27</v>
      </c>
      <c r="H179" s="2">
        <v>4</v>
      </c>
      <c r="I179" s="4">
        <v>58</v>
      </c>
      <c r="J179" s="2" t="s">
        <v>22</v>
      </c>
      <c r="K179">
        <f>H179*I179</f>
        <v>232</v>
      </c>
      <c r="L179" t="str">
        <f t="shared" si="4"/>
        <v>Feb</v>
      </c>
      <c r="M179">
        <f t="shared" si="5"/>
        <v>2</v>
      </c>
    </row>
    <row r="180" spans="1:13" x14ac:dyDescent="0.25">
      <c r="A180" s="2" t="s">
        <v>253</v>
      </c>
      <c r="B180" s="3">
        <v>45691</v>
      </c>
      <c r="C180" s="2" t="s">
        <v>97</v>
      </c>
      <c r="D180" s="2" t="s">
        <v>98</v>
      </c>
      <c r="E180" s="2" t="s">
        <v>99</v>
      </c>
      <c r="F180" s="2" t="s">
        <v>14</v>
      </c>
      <c r="G180" s="2" t="s">
        <v>37</v>
      </c>
      <c r="H180" s="2">
        <v>2</v>
      </c>
      <c r="I180" s="4">
        <v>182</v>
      </c>
      <c r="J180" s="2" t="s">
        <v>22</v>
      </c>
      <c r="K180">
        <f>H180*I180</f>
        <v>364</v>
      </c>
      <c r="L180" t="str">
        <f t="shared" si="4"/>
        <v>Feb</v>
      </c>
      <c r="M180">
        <f t="shared" si="5"/>
        <v>2</v>
      </c>
    </row>
    <row r="181" spans="1:13" x14ac:dyDescent="0.25">
      <c r="A181" s="2" t="s">
        <v>254</v>
      </c>
      <c r="B181" s="3">
        <v>45691</v>
      </c>
      <c r="C181" s="2" t="s">
        <v>52</v>
      </c>
      <c r="D181" s="2" t="s">
        <v>30</v>
      </c>
      <c r="E181" s="2" t="s">
        <v>13</v>
      </c>
      <c r="F181" s="2" t="s">
        <v>14</v>
      </c>
      <c r="G181" s="2" t="s">
        <v>53</v>
      </c>
      <c r="H181" s="2">
        <v>4</v>
      </c>
      <c r="I181" s="4">
        <v>42</v>
      </c>
      <c r="J181" s="2" t="s">
        <v>16</v>
      </c>
      <c r="K181">
        <f>H181*I181</f>
        <v>168</v>
      </c>
      <c r="L181" t="str">
        <f t="shared" si="4"/>
        <v>Feb</v>
      </c>
      <c r="M181">
        <f t="shared" si="5"/>
        <v>2</v>
      </c>
    </row>
    <row r="182" spans="1:13" x14ac:dyDescent="0.25">
      <c r="A182" s="2" t="s">
        <v>255</v>
      </c>
      <c r="B182" s="3">
        <v>45691</v>
      </c>
      <c r="C182" s="2" t="s">
        <v>42</v>
      </c>
      <c r="D182" s="2" t="s">
        <v>43</v>
      </c>
      <c r="E182" s="2" t="s">
        <v>44</v>
      </c>
      <c r="F182" s="2" t="s">
        <v>14</v>
      </c>
      <c r="G182" s="2" t="s">
        <v>45</v>
      </c>
      <c r="H182" s="2">
        <v>2</v>
      </c>
      <c r="I182" s="4">
        <v>46</v>
      </c>
      <c r="J182" s="2" t="s">
        <v>22</v>
      </c>
      <c r="K182">
        <f>H182*I182</f>
        <v>92</v>
      </c>
      <c r="L182" t="str">
        <f t="shared" si="4"/>
        <v>Feb</v>
      </c>
      <c r="M182">
        <f t="shared" si="5"/>
        <v>2</v>
      </c>
    </row>
    <row r="183" spans="1:13" x14ac:dyDescent="0.25">
      <c r="A183" s="2" t="s">
        <v>256</v>
      </c>
      <c r="B183" s="3">
        <v>45692</v>
      </c>
      <c r="C183" s="2" t="s">
        <v>11</v>
      </c>
      <c r="D183" s="2" t="s">
        <v>12</v>
      </c>
      <c r="E183" s="2" t="s">
        <v>13</v>
      </c>
      <c r="F183" s="2" t="s">
        <v>14</v>
      </c>
      <c r="G183" s="2" t="s">
        <v>15</v>
      </c>
      <c r="H183" s="2">
        <v>2</v>
      </c>
      <c r="I183" s="4">
        <v>32</v>
      </c>
      <c r="J183" s="2" t="s">
        <v>22</v>
      </c>
      <c r="K183">
        <f>H183*I183</f>
        <v>64</v>
      </c>
      <c r="L183" t="str">
        <f t="shared" si="4"/>
        <v>Feb</v>
      </c>
      <c r="M183">
        <f t="shared" si="5"/>
        <v>2</v>
      </c>
    </row>
    <row r="184" spans="1:13" x14ac:dyDescent="0.25">
      <c r="A184" s="2" t="s">
        <v>257</v>
      </c>
      <c r="B184" s="3">
        <v>45692</v>
      </c>
      <c r="C184" s="2" t="s">
        <v>11</v>
      </c>
      <c r="D184" s="2" t="s">
        <v>12</v>
      </c>
      <c r="E184" s="2" t="s">
        <v>13</v>
      </c>
      <c r="F184" s="2" t="s">
        <v>14</v>
      </c>
      <c r="G184" s="2" t="s">
        <v>15</v>
      </c>
      <c r="H184" s="2">
        <v>1</v>
      </c>
      <c r="I184" s="4">
        <v>32</v>
      </c>
      <c r="J184" s="2" t="s">
        <v>38</v>
      </c>
      <c r="K184">
        <f>H184*I184</f>
        <v>32</v>
      </c>
      <c r="L184" t="str">
        <f t="shared" si="4"/>
        <v>Feb</v>
      </c>
      <c r="M184">
        <f t="shared" si="5"/>
        <v>2</v>
      </c>
    </row>
    <row r="185" spans="1:13" x14ac:dyDescent="0.25">
      <c r="A185" s="2" t="s">
        <v>258</v>
      </c>
      <c r="B185" s="3">
        <v>45692</v>
      </c>
      <c r="C185" s="2" t="s">
        <v>74</v>
      </c>
      <c r="D185" s="2" t="s">
        <v>75</v>
      </c>
      <c r="E185" s="2" t="s">
        <v>76</v>
      </c>
      <c r="F185" s="2" t="s">
        <v>14</v>
      </c>
      <c r="G185" s="2" t="s">
        <v>77</v>
      </c>
      <c r="H185" s="2">
        <v>12</v>
      </c>
      <c r="I185" s="4">
        <v>32</v>
      </c>
      <c r="J185" s="2" t="s">
        <v>16</v>
      </c>
      <c r="K185">
        <f>H185*I185</f>
        <v>384</v>
      </c>
      <c r="L185" t="str">
        <f t="shared" si="4"/>
        <v>Feb</v>
      </c>
      <c r="M185">
        <f t="shared" si="5"/>
        <v>2</v>
      </c>
    </row>
    <row r="186" spans="1:13" x14ac:dyDescent="0.25">
      <c r="A186" s="2" t="s">
        <v>259</v>
      </c>
      <c r="B186" s="3">
        <v>45692</v>
      </c>
      <c r="C186" s="2" t="s">
        <v>74</v>
      </c>
      <c r="D186" s="2" t="s">
        <v>75</v>
      </c>
      <c r="E186" s="2" t="s">
        <v>76</v>
      </c>
      <c r="F186" s="2" t="s">
        <v>14</v>
      </c>
      <c r="G186" s="2" t="s">
        <v>77</v>
      </c>
      <c r="H186" s="2">
        <v>1</v>
      </c>
      <c r="I186" s="4">
        <v>32</v>
      </c>
      <c r="J186" s="2" t="s">
        <v>16</v>
      </c>
      <c r="K186">
        <f>H186*I186</f>
        <v>32</v>
      </c>
      <c r="L186" t="str">
        <f t="shared" si="4"/>
        <v>Feb</v>
      </c>
      <c r="M186">
        <f t="shared" si="5"/>
        <v>2</v>
      </c>
    </row>
    <row r="187" spans="1:13" x14ac:dyDescent="0.25">
      <c r="A187" s="2" t="s">
        <v>260</v>
      </c>
      <c r="B187" s="3">
        <v>45692</v>
      </c>
      <c r="C187" s="2" t="s">
        <v>75</v>
      </c>
      <c r="D187" s="2" t="s">
        <v>75</v>
      </c>
      <c r="E187" s="2" t="s">
        <v>76</v>
      </c>
      <c r="F187" s="2" t="s">
        <v>20</v>
      </c>
      <c r="G187" s="2" t="s">
        <v>21</v>
      </c>
      <c r="H187" s="2">
        <v>1</v>
      </c>
      <c r="I187" s="4">
        <v>12</v>
      </c>
      <c r="J187" s="2" t="s">
        <v>31</v>
      </c>
      <c r="K187">
        <f>H187*I187</f>
        <v>12</v>
      </c>
      <c r="L187" t="str">
        <f t="shared" si="4"/>
        <v>Feb</v>
      </c>
      <c r="M187">
        <f t="shared" si="5"/>
        <v>2</v>
      </c>
    </row>
    <row r="188" spans="1:13" x14ac:dyDescent="0.25">
      <c r="A188" s="2" t="s">
        <v>261</v>
      </c>
      <c r="B188" s="3">
        <v>45692</v>
      </c>
      <c r="C188" s="2" t="s">
        <v>18</v>
      </c>
      <c r="D188" s="2" t="s">
        <v>18</v>
      </c>
      <c r="E188" s="2" t="s">
        <v>19</v>
      </c>
      <c r="F188" s="2" t="s">
        <v>20</v>
      </c>
      <c r="G188" s="2" t="s">
        <v>21</v>
      </c>
      <c r="H188" s="2">
        <v>2</v>
      </c>
      <c r="I188" s="4">
        <v>15</v>
      </c>
      <c r="J188" s="2" t="s">
        <v>16</v>
      </c>
      <c r="K188">
        <f>H188*I188</f>
        <v>30</v>
      </c>
      <c r="L188" t="str">
        <f t="shared" si="4"/>
        <v>Feb</v>
      </c>
      <c r="M188">
        <f t="shared" si="5"/>
        <v>2</v>
      </c>
    </row>
    <row r="189" spans="1:13" x14ac:dyDescent="0.25">
      <c r="A189" s="2" t="s">
        <v>262</v>
      </c>
      <c r="B189" s="3">
        <v>45692</v>
      </c>
      <c r="C189" s="2" t="s">
        <v>79</v>
      </c>
      <c r="D189" s="2" t="s">
        <v>80</v>
      </c>
      <c r="E189" s="2" t="s">
        <v>26</v>
      </c>
      <c r="F189" s="2" t="s">
        <v>14</v>
      </c>
      <c r="G189" s="2" t="s">
        <v>81</v>
      </c>
      <c r="H189" s="2">
        <v>5</v>
      </c>
      <c r="I189" s="4">
        <v>152</v>
      </c>
      <c r="J189" s="2" t="s">
        <v>22</v>
      </c>
      <c r="K189">
        <f>H189*I189</f>
        <v>760</v>
      </c>
      <c r="L189" t="str">
        <f t="shared" si="4"/>
        <v>Feb</v>
      </c>
      <c r="M189">
        <f t="shared" si="5"/>
        <v>2</v>
      </c>
    </row>
    <row r="190" spans="1:13" x14ac:dyDescent="0.25">
      <c r="A190" s="2" t="s">
        <v>263</v>
      </c>
      <c r="B190" s="3">
        <v>45692</v>
      </c>
      <c r="C190" s="2" t="s">
        <v>108</v>
      </c>
      <c r="D190" s="2" t="s">
        <v>109</v>
      </c>
      <c r="E190" s="2" t="s">
        <v>13</v>
      </c>
      <c r="F190" s="2" t="s">
        <v>14</v>
      </c>
      <c r="G190" s="2" t="s">
        <v>110</v>
      </c>
      <c r="H190" s="2">
        <v>1</v>
      </c>
      <c r="I190" s="4">
        <v>62</v>
      </c>
      <c r="J190" s="2" t="s">
        <v>38</v>
      </c>
      <c r="K190">
        <f>H190*I190</f>
        <v>62</v>
      </c>
      <c r="L190" t="str">
        <f t="shared" si="4"/>
        <v>Feb</v>
      </c>
      <c r="M190">
        <f t="shared" si="5"/>
        <v>2</v>
      </c>
    </row>
    <row r="191" spans="1:13" x14ac:dyDescent="0.25">
      <c r="A191" s="2" t="s">
        <v>264</v>
      </c>
      <c r="B191" s="3">
        <v>45692</v>
      </c>
      <c r="C191" s="2" t="s">
        <v>109</v>
      </c>
      <c r="D191" s="2" t="s">
        <v>109</v>
      </c>
      <c r="E191" s="2" t="s">
        <v>13</v>
      </c>
      <c r="F191" s="2" t="s">
        <v>20</v>
      </c>
      <c r="G191" s="2" t="s">
        <v>21</v>
      </c>
      <c r="H191" s="2">
        <v>5</v>
      </c>
      <c r="I191" s="4">
        <v>20</v>
      </c>
      <c r="J191" s="2" t="s">
        <v>16</v>
      </c>
      <c r="K191">
        <f>H191*I191</f>
        <v>100</v>
      </c>
      <c r="L191" t="str">
        <f t="shared" si="4"/>
        <v>Feb</v>
      </c>
      <c r="M191">
        <f t="shared" si="5"/>
        <v>2</v>
      </c>
    </row>
    <row r="192" spans="1:13" x14ac:dyDescent="0.25">
      <c r="A192" s="2" t="s">
        <v>265</v>
      </c>
      <c r="B192" s="3">
        <v>45693</v>
      </c>
      <c r="C192" s="2" t="s">
        <v>75</v>
      </c>
      <c r="D192" s="2" t="s">
        <v>75</v>
      </c>
      <c r="E192" s="2" t="s">
        <v>76</v>
      </c>
      <c r="F192" s="2" t="s">
        <v>20</v>
      </c>
      <c r="G192" s="2" t="s">
        <v>21</v>
      </c>
      <c r="H192" s="2">
        <v>6</v>
      </c>
      <c r="I192" s="4">
        <v>12</v>
      </c>
      <c r="J192" s="2" t="s">
        <v>31</v>
      </c>
      <c r="K192">
        <f>H192*I192</f>
        <v>72</v>
      </c>
      <c r="L192" t="str">
        <f t="shared" si="4"/>
        <v>Feb</v>
      </c>
      <c r="M192">
        <f t="shared" si="5"/>
        <v>2</v>
      </c>
    </row>
    <row r="193" spans="1:13" x14ac:dyDescent="0.25">
      <c r="A193" s="2" t="s">
        <v>266</v>
      </c>
      <c r="B193" s="3">
        <v>45693</v>
      </c>
      <c r="C193" s="2" t="s">
        <v>75</v>
      </c>
      <c r="D193" s="2" t="s">
        <v>75</v>
      </c>
      <c r="E193" s="2" t="s">
        <v>76</v>
      </c>
      <c r="F193" s="2" t="s">
        <v>20</v>
      </c>
      <c r="G193" s="2" t="s">
        <v>21</v>
      </c>
      <c r="H193" s="2">
        <v>3</v>
      </c>
      <c r="I193" s="4">
        <v>12</v>
      </c>
      <c r="J193" s="2" t="s">
        <v>16</v>
      </c>
      <c r="K193">
        <f>H193*I193</f>
        <v>36</v>
      </c>
      <c r="L193" t="str">
        <f t="shared" si="4"/>
        <v>Feb</v>
      </c>
      <c r="M193">
        <f t="shared" si="5"/>
        <v>2</v>
      </c>
    </row>
    <row r="194" spans="1:13" x14ac:dyDescent="0.25">
      <c r="A194" s="2" t="s">
        <v>267</v>
      </c>
      <c r="B194" s="3">
        <v>45693</v>
      </c>
      <c r="C194" s="2" t="s">
        <v>102</v>
      </c>
      <c r="D194" s="2" t="s">
        <v>102</v>
      </c>
      <c r="E194" s="2" t="s">
        <v>36</v>
      </c>
      <c r="F194" s="2" t="s">
        <v>20</v>
      </c>
      <c r="G194" s="2" t="s">
        <v>21</v>
      </c>
      <c r="H194" s="2">
        <v>3</v>
      </c>
      <c r="I194" s="4">
        <v>35</v>
      </c>
      <c r="J194" s="2" t="s">
        <v>31</v>
      </c>
      <c r="K194">
        <f>H194*I194</f>
        <v>105</v>
      </c>
      <c r="L194" t="str">
        <f t="shared" si="4"/>
        <v>Feb</v>
      </c>
      <c r="M194">
        <f t="shared" si="5"/>
        <v>2</v>
      </c>
    </row>
    <row r="195" spans="1:13" x14ac:dyDescent="0.25">
      <c r="A195" s="2" t="s">
        <v>268</v>
      </c>
      <c r="B195" s="3">
        <v>45693</v>
      </c>
      <c r="C195" s="2" t="s">
        <v>18</v>
      </c>
      <c r="D195" s="2" t="s">
        <v>18</v>
      </c>
      <c r="E195" s="2" t="s">
        <v>19</v>
      </c>
      <c r="F195" s="2" t="s">
        <v>20</v>
      </c>
      <c r="G195" s="2" t="s">
        <v>21</v>
      </c>
      <c r="H195" s="2">
        <v>3</v>
      </c>
      <c r="I195" s="4">
        <v>15</v>
      </c>
      <c r="J195" s="2" t="s">
        <v>16</v>
      </c>
      <c r="K195">
        <f>H195*I195</f>
        <v>45</v>
      </c>
      <c r="L195" t="str">
        <f t="shared" ref="L195:L258" si="6">TEXT(B195,"mmm")</f>
        <v>Feb</v>
      </c>
      <c r="M195">
        <f t="shared" ref="M195:M258" si="7">MONTH(B195)</f>
        <v>2</v>
      </c>
    </row>
    <row r="196" spans="1:13" x14ac:dyDescent="0.25">
      <c r="A196" s="2" t="s">
        <v>269</v>
      </c>
      <c r="B196" s="3">
        <v>45693</v>
      </c>
      <c r="C196" s="2" t="s">
        <v>79</v>
      </c>
      <c r="D196" s="2" t="s">
        <v>80</v>
      </c>
      <c r="E196" s="2" t="s">
        <v>26</v>
      </c>
      <c r="F196" s="2" t="s">
        <v>14</v>
      </c>
      <c r="G196" s="2" t="s">
        <v>81</v>
      </c>
      <c r="H196" s="2">
        <v>3</v>
      </c>
      <c r="I196" s="4">
        <v>152</v>
      </c>
      <c r="J196" s="2" t="s">
        <v>16</v>
      </c>
      <c r="K196">
        <f>H196*I196</f>
        <v>456</v>
      </c>
      <c r="L196" t="str">
        <f t="shared" si="6"/>
        <v>Feb</v>
      </c>
      <c r="M196">
        <f t="shared" si="7"/>
        <v>2</v>
      </c>
    </row>
    <row r="197" spans="1:13" x14ac:dyDescent="0.25">
      <c r="A197" s="2" t="s">
        <v>270</v>
      </c>
      <c r="B197" s="3">
        <v>45693</v>
      </c>
      <c r="C197" s="2" t="s">
        <v>79</v>
      </c>
      <c r="D197" s="2" t="s">
        <v>80</v>
      </c>
      <c r="E197" s="2" t="s">
        <v>26</v>
      </c>
      <c r="F197" s="2" t="s">
        <v>14</v>
      </c>
      <c r="G197" s="2" t="s">
        <v>81</v>
      </c>
      <c r="H197" s="2">
        <v>4</v>
      </c>
      <c r="I197" s="4">
        <v>152</v>
      </c>
      <c r="J197" s="2" t="s">
        <v>16</v>
      </c>
      <c r="K197">
        <f>H197*I197</f>
        <v>608</v>
      </c>
      <c r="L197" t="str">
        <f t="shared" si="6"/>
        <v>Feb</v>
      </c>
      <c r="M197">
        <f t="shared" si="7"/>
        <v>2</v>
      </c>
    </row>
    <row r="198" spans="1:13" x14ac:dyDescent="0.25">
      <c r="A198" s="2" t="s">
        <v>271</v>
      </c>
      <c r="B198" s="3">
        <v>45693</v>
      </c>
      <c r="C198" s="2" t="s">
        <v>25</v>
      </c>
      <c r="D198" s="2" t="s">
        <v>25</v>
      </c>
      <c r="E198" s="2" t="s">
        <v>26</v>
      </c>
      <c r="F198" s="2" t="s">
        <v>20</v>
      </c>
      <c r="G198" s="2" t="s">
        <v>21</v>
      </c>
      <c r="H198" s="2">
        <v>2</v>
      </c>
      <c r="I198" s="4">
        <v>20</v>
      </c>
      <c r="J198" s="2" t="s">
        <v>16</v>
      </c>
      <c r="K198">
        <f>H198*I198</f>
        <v>40</v>
      </c>
      <c r="L198" t="str">
        <f t="shared" si="6"/>
        <v>Feb</v>
      </c>
      <c r="M198">
        <f t="shared" si="7"/>
        <v>2</v>
      </c>
    </row>
    <row r="199" spans="1:13" x14ac:dyDescent="0.25">
      <c r="A199" s="2" t="s">
        <v>272</v>
      </c>
      <c r="B199" s="3">
        <v>45693</v>
      </c>
      <c r="C199" s="2" t="s">
        <v>52</v>
      </c>
      <c r="D199" s="2" t="s">
        <v>30</v>
      </c>
      <c r="E199" s="2" t="s">
        <v>13</v>
      </c>
      <c r="F199" s="2" t="s">
        <v>14</v>
      </c>
      <c r="G199" s="2" t="s">
        <v>53</v>
      </c>
      <c r="H199" s="2">
        <v>2</v>
      </c>
      <c r="I199" s="4">
        <v>42</v>
      </c>
      <c r="J199" s="2" t="s">
        <v>22</v>
      </c>
      <c r="K199">
        <f>H199*I199</f>
        <v>84</v>
      </c>
      <c r="L199" t="str">
        <f t="shared" si="6"/>
        <v>Feb</v>
      </c>
      <c r="M199">
        <f t="shared" si="7"/>
        <v>2</v>
      </c>
    </row>
    <row r="200" spans="1:13" x14ac:dyDescent="0.25">
      <c r="A200" s="2" t="s">
        <v>273</v>
      </c>
      <c r="B200" s="3">
        <v>45693</v>
      </c>
      <c r="C200" s="2" t="s">
        <v>108</v>
      </c>
      <c r="D200" s="2" t="s">
        <v>109</v>
      </c>
      <c r="E200" s="2" t="s">
        <v>13</v>
      </c>
      <c r="F200" s="2" t="s">
        <v>14</v>
      </c>
      <c r="G200" s="2" t="s">
        <v>110</v>
      </c>
      <c r="H200" s="2">
        <v>4</v>
      </c>
      <c r="I200" s="4">
        <v>62</v>
      </c>
      <c r="J200" s="2" t="s">
        <v>16</v>
      </c>
      <c r="K200">
        <f>H200*I200</f>
        <v>248</v>
      </c>
      <c r="L200" t="str">
        <f t="shared" si="6"/>
        <v>Feb</v>
      </c>
      <c r="M200">
        <f t="shared" si="7"/>
        <v>2</v>
      </c>
    </row>
    <row r="201" spans="1:13" x14ac:dyDescent="0.25">
      <c r="A201" s="2" t="s">
        <v>274</v>
      </c>
      <c r="B201" s="3">
        <v>45693</v>
      </c>
      <c r="C201" s="2" t="s">
        <v>43</v>
      </c>
      <c r="D201" s="2" t="s">
        <v>43</v>
      </c>
      <c r="E201" s="2" t="s">
        <v>44</v>
      </c>
      <c r="F201" s="2" t="s">
        <v>20</v>
      </c>
      <c r="G201" s="2" t="s">
        <v>21</v>
      </c>
      <c r="H201" s="2">
        <v>2</v>
      </c>
      <c r="I201" s="4">
        <v>18</v>
      </c>
      <c r="J201" s="2" t="s">
        <v>38</v>
      </c>
      <c r="K201">
        <f>H201*I201</f>
        <v>36</v>
      </c>
      <c r="L201" t="str">
        <f t="shared" si="6"/>
        <v>Feb</v>
      </c>
      <c r="M201">
        <f t="shared" si="7"/>
        <v>2</v>
      </c>
    </row>
    <row r="202" spans="1:13" x14ac:dyDescent="0.25">
      <c r="A202" s="2" t="s">
        <v>275</v>
      </c>
      <c r="B202" s="3">
        <v>45694</v>
      </c>
      <c r="C202" s="2" t="s">
        <v>48</v>
      </c>
      <c r="D202" s="2" t="s">
        <v>48</v>
      </c>
      <c r="E202" s="2" t="s">
        <v>49</v>
      </c>
      <c r="F202" s="2" t="s">
        <v>20</v>
      </c>
      <c r="G202" s="2" t="s">
        <v>21</v>
      </c>
      <c r="H202" s="2">
        <v>5</v>
      </c>
      <c r="I202" s="4">
        <v>55</v>
      </c>
      <c r="J202" s="2" t="s">
        <v>16</v>
      </c>
      <c r="K202">
        <f>H202*I202</f>
        <v>275</v>
      </c>
      <c r="L202" t="str">
        <f t="shared" si="6"/>
        <v>Feb</v>
      </c>
      <c r="M202">
        <f t="shared" si="7"/>
        <v>2</v>
      </c>
    </row>
    <row r="203" spans="1:13" x14ac:dyDescent="0.25">
      <c r="A203" s="2" t="s">
        <v>276</v>
      </c>
      <c r="B203" s="3">
        <v>45694</v>
      </c>
      <c r="C203" s="2" t="s">
        <v>74</v>
      </c>
      <c r="D203" s="2" t="s">
        <v>75</v>
      </c>
      <c r="E203" s="2" t="s">
        <v>76</v>
      </c>
      <c r="F203" s="2" t="s">
        <v>14</v>
      </c>
      <c r="G203" s="2" t="s">
        <v>77</v>
      </c>
      <c r="H203" s="2">
        <v>3</v>
      </c>
      <c r="I203" s="4">
        <v>32</v>
      </c>
      <c r="J203" s="2" t="s">
        <v>38</v>
      </c>
      <c r="K203">
        <f>H203*I203</f>
        <v>96</v>
      </c>
      <c r="L203" t="str">
        <f t="shared" si="6"/>
        <v>Feb</v>
      </c>
      <c r="M203">
        <f t="shared" si="7"/>
        <v>2</v>
      </c>
    </row>
    <row r="204" spans="1:13" x14ac:dyDescent="0.25">
      <c r="A204" s="2" t="s">
        <v>277</v>
      </c>
      <c r="B204" s="3">
        <v>45694</v>
      </c>
      <c r="C204" s="2" t="s">
        <v>102</v>
      </c>
      <c r="D204" s="2" t="s">
        <v>102</v>
      </c>
      <c r="E204" s="2" t="s">
        <v>36</v>
      </c>
      <c r="F204" s="2" t="s">
        <v>20</v>
      </c>
      <c r="G204" s="2" t="s">
        <v>21</v>
      </c>
      <c r="H204" s="2">
        <v>6</v>
      </c>
      <c r="I204" s="4">
        <v>35</v>
      </c>
      <c r="J204" s="2" t="s">
        <v>38</v>
      </c>
      <c r="K204">
        <f>H204*I204</f>
        <v>210</v>
      </c>
      <c r="L204" t="str">
        <f t="shared" si="6"/>
        <v>Feb</v>
      </c>
      <c r="M204">
        <f t="shared" si="7"/>
        <v>2</v>
      </c>
    </row>
    <row r="205" spans="1:13" x14ac:dyDescent="0.25">
      <c r="A205" s="2" t="s">
        <v>278</v>
      </c>
      <c r="B205" s="3">
        <v>45695</v>
      </c>
      <c r="C205" s="2" t="s">
        <v>11</v>
      </c>
      <c r="D205" s="2" t="s">
        <v>12</v>
      </c>
      <c r="E205" s="2" t="s">
        <v>13</v>
      </c>
      <c r="F205" s="2" t="s">
        <v>14</v>
      </c>
      <c r="G205" s="2" t="s">
        <v>15</v>
      </c>
      <c r="H205" s="2">
        <v>1</v>
      </c>
      <c r="I205" s="4">
        <v>32</v>
      </c>
      <c r="J205" s="2" t="s">
        <v>16</v>
      </c>
      <c r="K205">
        <f>H205*I205</f>
        <v>32</v>
      </c>
      <c r="L205" t="str">
        <f t="shared" si="6"/>
        <v>Feb</v>
      </c>
      <c r="M205">
        <f t="shared" si="7"/>
        <v>2</v>
      </c>
    </row>
    <row r="206" spans="1:13" x14ac:dyDescent="0.25">
      <c r="A206" s="2" t="s">
        <v>279</v>
      </c>
      <c r="B206" s="3">
        <v>45695</v>
      </c>
      <c r="C206" s="2" t="s">
        <v>11</v>
      </c>
      <c r="D206" s="2" t="s">
        <v>12</v>
      </c>
      <c r="E206" s="2" t="s">
        <v>13</v>
      </c>
      <c r="F206" s="2" t="s">
        <v>14</v>
      </c>
      <c r="G206" s="2" t="s">
        <v>15</v>
      </c>
      <c r="H206" s="2">
        <v>1</v>
      </c>
      <c r="I206" s="4">
        <v>32</v>
      </c>
      <c r="J206" s="2" t="s">
        <v>22</v>
      </c>
      <c r="K206">
        <f>H206*I206</f>
        <v>32</v>
      </c>
      <c r="L206" t="str">
        <f t="shared" si="6"/>
        <v>Feb</v>
      </c>
      <c r="M206">
        <f t="shared" si="7"/>
        <v>2</v>
      </c>
    </row>
    <row r="207" spans="1:13" x14ac:dyDescent="0.25">
      <c r="A207" s="2" t="s">
        <v>280</v>
      </c>
      <c r="B207" s="3">
        <v>45695</v>
      </c>
      <c r="C207" s="2" t="s">
        <v>74</v>
      </c>
      <c r="D207" s="2" t="s">
        <v>75</v>
      </c>
      <c r="E207" s="2" t="s">
        <v>76</v>
      </c>
      <c r="F207" s="2" t="s">
        <v>14</v>
      </c>
      <c r="G207" s="2" t="s">
        <v>77</v>
      </c>
      <c r="H207" s="2">
        <v>2</v>
      </c>
      <c r="I207" s="4">
        <v>32</v>
      </c>
      <c r="J207" s="2" t="s">
        <v>16</v>
      </c>
      <c r="K207">
        <f>H207*I207</f>
        <v>64</v>
      </c>
      <c r="L207" t="str">
        <f t="shared" si="6"/>
        <v>Feb</v>
      </c>
      <c r="M207">
        <f t="shared" si="7"/>
        <v>2</v>
      </c>
    </row>
    <row r="208" spans="1:13" x14ac:dyDescent="0.25">
      <c r="A208" s="2" t="s">
        <v>281</v>
      </c>
      <c r="B208" s="3">
        <v>45695</v>
      </c>
      <c r="C208" s="2" t="s">
        <v>120</v>
      </c>
      <c r="D208" s="2" t="s">
        <v>120</v>
      </c>
      <c r="E208" s="2" t="s">
        <v>76</v>
      </c>
      <c r="F208" s="2" t="s">
        <v>20</v>
      </c>
      <c r="G208" s="2" t="s">
        <v>21</v>
      </c>
      <c r="H208" s="2">
        <v>6</v>
      </c>
      <c r="I208" s="4">
        <v>42</v>
      </c>
      <c r="J208" s="2" t="s">
        <v>22</v>
      </c>
      <c r="K208">
        <f>H208*I208</f>
        <v>252</v>
      </c>
      <c r="L208" t="str">
        <f t="shared" si="6"/>
        <v>Feb</v>
      </c>
      <c r="M208">
        <f t="shared" si="7"/>
        <v>2</v>
      </c>
    </row>
    <row r="209" spans="1:13" x14ac:dyDescent="0.25">
      <c r="A209" s="2" t="s">
        <v>282</v>
      </c>
      <c r="B209" s="3">
        <v>45695</v>
      </c>
      <c r="C209" s="2" t="s">
        <v>194</v>
      </c>
      <c r="D209" s="2" t="s">
        <v>98</v>
      </c>
      <c r="E209" s="2" t="s">
        <v>99</v>
      </c>
      <c r="F209" s="2" t="s">
        <v>20</v>
      </c>
      <c r="G209" s="2" t="s">
        <v>21</v>
      </c>
      <c r="H209" s="2">
        <v>1</v>
      </c>
      <c r="I209" s="4">
        <v>70</v>
      </c>
      <c r="J209" s="2" t="s">
        <v>16</v>
      </c>
      <c r="K209">
        <f>H209*I209</f>
        <v>70</v>
      </c>
      <c r="L209" t="str">
        <f t="shared" si="6"/>
        <v>Feb</v>
      </c>
      <c r="M209">
        <f t="shared" si="7"/>
        <v>2</v>
      </c>
    </row>
    <row r="210" spans="1:13" x14ac:dyDescent="0.25">
      <c r="A210" s="2" t="s">
        <v>283</v>
      </c>
      <c r="B210" s="3">
        <v>45695</v>
      </c>
      <c r="C210" s="2" t="s">
        <v>42</v>
      </c>
      <c r="D210" s="2" t="s">
        <v>43</v>
      </c>
      <c r="E210" s="2" t="s">
        <v>44</v>
      </c>
      <c r="F210" s="2" t="s">
        <v>14</v>
      </c>
      <c r="G210" s="2" t="s">
        <v>45</v>
      </c>
      <c r="H210" s="2">
        <v>5</v>
      </c>
      <c r="I210" s="4">
        <v>46</v>
      </c>
      <c r="J210" s="2" t="s">
        <v>16</v>
      </c>
      <c r="K210">
        <f>H210*I210</f>
        <v>230</v>
      </c>
      <c r="L210" t="str">
        <f t="shared" si="6"/>
        <v>Feb</v>
      </c>
      <c r="M210">
        <f t="shared" si="7"/>
        <v>2</v>
      </c>
    </row>
    <row r="211" spans="1:13" x14ac:dyDescent="0.25">
      <c r="A211" s="2" t="s">
        <v>284</v>
      </c>
      <c r="B211" s="3">
        <v>45696</v>
      </c>
      <c r="C211" s="2" t="s">
        <v>11</v>
      </c>
      <c r="D211" s="2" t="s">
        <v>12</v>
      </c>
      <c r="E211" s="2" t="s">
        <v>13</v>
      </c>
      <c r="F211" s="2" t="s">
        <v>14</v>
      </c>
      <c r="G211" s="2" t="s">
        <v>15</v>
      </c>
      <c r="H211" s="2">
        <v>1</v>
      </c>
      <c r="I211" s="4">
        <v>32</v>
      </c>
      <c r="J211" s="2" t="s">
        <v>22</v>
      </c>
      <c r="K211">
        <f>H211*I211</f>
        <v>32</v>
      </c>
      <c r="L211" t="str">
        <f t="shared" si="6"/>
        <v>Feb</v>
      </c>
      <c r="M211">
        <f t="shared" si="7"/>
        <v>2</v>
      </c>
    </row>
    <row r="212" spans="1:13" x14ac:dyDescent="0.25">
      <c r="A212" s="2" t="s">
        <v>285</v>
      </c>
      <c r="B212" s="3">
        <v>45696</v>
      </c>
      <c r="C212" s="2" t="s">
        <v>86</v>
      </c>
      <c r="D212" s="2" t="s">
        <v>48</v>
      </c>
      <c r="E212" s="2" t="s">
        <v>49</v>
      </c>
      <c r="F212" s="2" t="s">
        <v>14</v>
      </c>
      <c r="G212" s="2" t="s">
        <v>87</v>
      </c>
      <c r="H212" s="2">
        <v>5</v>
      </c>
      <c r="I212" s="4">
        <v>125</v>
      </c>
      <c r="J212" s="2" t="s">
        <v>38</v>
      </c>
      <c r="K212">
        <f>H212*I212</f>
        <v>625</v>
      </c>
      <c r="L212" t="str">
        <f t="shared" si="6"/>
        <v>Feb</v>
      </c>
      <c r="M212">
        <f t="shared" si="7"/>
        <v>2</v>
      </c>
    </row>
    <row r="213" spans="1:13" x14ac:dyDescent="0.25">
      <c r="A213" s="2" t="s">
        <v>286</v>
      </c>
      <c r="B213" s="3">
        <v>45696</v>
      </c>
      <c r="C213" s="2" t="s">
        <v>72</v>
      </c>
      <c r="D213" s="2" t="s">
        <v>68</v>
      </c>
      <c r="E213" s="2" t="s">
        <v>49</v>
      </c>
      <c r="F213" s="2" t="s">
        <v>20</v>
      </c>
      <c r="G213" s="2" t="s">
        <v>21</v>
      </c>
      <c r="H213" s="2">
        <v>4</v>
      </c>
      <c r="I213" s="4">
        <v>95</v>
      </c>
      <c r="J213" s="2" t="s">
        <v>16</v>
      </c>
      <c r="K213">
        <f>H213*I213</f>
        <v>380</v>
      </c>
      <c r="L213" t="str">
        <f t="shared" si="6"/>
        <v>Feb</v>
      </c>
      <c r="M213">
        <f t="shared" si="7"/>
        <v>2</v>
      </c>
    </row>
    <row r="214" spans="1:13" x14ac:dyDescent="0.25">
      <c r="A214" s="2" t="s">
        <v>287</v>
      </c>
      <c r="B214" s="3">
        <v>45696</v>
      </c>
      <c r="C214" s="2" t="s">
        <v>74</v>
      </c>
      <c r="D214" s="2" t="s">
        <v>75</v>
      </c>
      <c r="E214" s="2" t="s">
        <v>76</v>
      </c>
      <c r="F214" s="2" t="s">
        <v>14</v>
      </c>
      <c r="G214" s="2" t="s">
        <v>77</v>
      </c>
      <c r="H214" s="2">
        <v>2</v>
      </c>
      <c r="I214" s="4">
        <v>32</v>
      </c>
      <c r="J214" s="2" t="s">
        <v>16</v>
      </c>
      <c r="K214">
        <f>H214*I214</f>
        <v>64</v>
      </c>
      <c r="L214" t="str">
        <f t="shared" si="6"/>
        <v>Feb</v>
      </c>
      <c r="M214">
        <f t="shared" si="7"/>
        <v>2</v>
      </c>
    </row>
    <row r="215" spans="1:13" x14ac:dyDescent="0.25">
      <c r="A215" s="2" t="s">
        <v>288</v>
      </c>
      <c r="B215" s="3">
        <v>45696</v>
      </c>
      <c r="C215" s="2" t="s">
        <v>119</v>
      </c>
      <c r="D215" s="2" t="s">
        <v>120</v>
      </c>
      <c r="E215" s="2" t="s">
        <v>76</v>
      </c>
      <c r="F215" s="2" t="s">
        <v>14</v>
      </c>
      <c r="G215" s="2" t="s">
        <v>121</v>
      </c>
      <c r="H215" s="2">
        <v>3</v>
      </c>
      <c r="I215" s="4">
        <v>190</v>
      </c>
      <c r="J215" s="2" t="s">
        <v>16</v>
      </c>
      <c r="K215">
        <f>H215*I215</f>
        <v>570</v>
      </c>
      <c r="L215" t="str">
        <f t="shared" si="6"/>
        <v>Feb</v>
      </c>
      <c r="M215">
        <f t="shared" si="7"/>
        <v>2</v>
      </c>
    </row>
    <row r="216" spans="1:13" x14ac:dyDescent="0.25">
      <c r="A216" s="2" t="s">
        <v>289</v>
      </c>
      <c r="B216" s="3">
        <v>45696</v>
      </c>
      <c r="C216" s="2" t="s">
        <v>24</v>
      </c>
      <c r="D216" s="2" t="s">
        <v>25</v>
      </c>
      <c r="E216" s="2" t="s">
        <v>26</v>
      </c>
      <c r="F216" s="2" t="s">
        <v>14</v>
      </c>
      <c r="G216" s="2" t="s">
        <v>27</v>
      </c>
      <c r="H216" s="2">
        <v>2</v>
      </c>
      <c r="I216" s="4">
        <v>58</v>
      </c>
      <c r="J216" s="2" t="s">
        <v>22</v>
      </c>
      <c r="K216">
        <f>H216*I216</f>
        <v>116</v>
      </c>
      <c r="L216" t="str">
        <f t="shared" si="6"/>
        <v>Feb</v>
      </c>
      <c r="M216">
        <f t="shared" si="7"/>
        <v>2</v>
      </c>
    </row>
    <row r="217" spans="1:13" x14ac:dyDescent="0.25">
      <c r="A217" s="2" t="s">
        <v>290</v>
      </c>
      <c r="B217" s="3">
        <v>45696</v>
      </c>
      <c r="C217" s="2" t="s">
        <v>60</v>
      </c>
      <c r="D217" s="2" t="s">
        <v>61</v>
      </c>
      <c r="E217" s="2" t="s">
        <v>62</v>
      </c>
      <c r="F217" s="2" t="s">
        <v>14</v>
      </c>
      <c r="G217" s="2" t="s">
        <v>63</v>
      </c>
      <c r="H217" s="2">
        <v>5</v>
      </c>
      <c r="I217" s="4">
        <v>26</v>
      </c>
      <c r="J217" s="2" t="s">
        <v>16</v>
      </c>
      <c r="K217">
        <f>H217*I217</f>
        <v>130</v>
      </c>
      <c r="L217" t="str">
        <f t="shared" si="6"/>
        <v>Feb</v>
      </c>
      <c r="M217">
        <f t="shared" si="7"/>
        <v>2</v>
      </c>
    </row>
    <row r="218" spans="1:13" x14ac:dyDescent="0.25">
      <c r="A218" s="2" t="s">
        <v>291</v>
      </c>
      <c r="B218" s="3">
        <v>45696</v>
      </c>
      <c r="C218" s="2" t="s">
        <v>60</v>
      </c>
      <c r="D218" s="2" t="s">
        <v>61</v>
      </c>
      <c r="E218" s="2" t="s">
        <v>62</v>
      </c>
      <c r="F218" s="2" t="s">
        <v>14</v>
      </c>
      <c r="G218" s="2" t="s">
        <v>63</v>
      </c>
      <c r="H218" s="2">
        <v>5</v>
      </c>
      <c r="I218" s="4">
        <v>26</v>
      </c>
      <c r="J218" s="2" t="s">
        <v>16</v>
      </c>
      <c r="K218">
        <f>H218*I218</f>
        <v>130</v>
      </c>
      <c r="L218" t="str">
        <f t="shared" si="6"/>
        <v>Feb</v>
      </c>
      <c r="M218">
        <f t="shared" si="7"/>
        <v>2</v>
      </c>
    </row>
    <row r="219" spans="1:13" x14ac:dyDescent="0.25">
      <c r="A219" s="2" t="s">
        <v>292</v>
      </c>
      <c r="B219" s="3">
        <v>45696</v>
      </c>
      <c r="C219" s="2" t="s">
        <v>97</v>
      </c>
      <c r="D219" s="2" t="s">
        <v>98</v>
      </c>
      <c r="E219" s="2" t="s">
        <v>99</v>
      </c>
      <c r="F219" s="2" t="s">
        <v>14</v>
      </c>
      <c r="G219" s="2" t="s">
        <v>37</v>
      </c>
      <c r="H219" s="2">
        <v>2</v>
      </c>
      <c r="I219" s="4">
        <v>182</v>
      </c>
      <c r="J219" s="2" t="s">
        <v>16</v>
      </c>
      <c r="K219">
        <f>H219*I219</f>
        <v>364</v>
      </c>
      <c r="L219" t="str">
        <f t="shared" si="6"/>
        <v>Feb</v>
      </c>
      <c r="M219">
        <f t="shared" si="7"/>
        <v>2</v>
      </c>
    </row>
    <row r="220" spans="1:13" x14ac:dyDescent="0.25">
      <c r="A220" s="2" t="s">
        <v>293</v>
      </c>
      <c r="B220" s="3">
        <v>45697</v>
      </c>
      <c r="C220" s="2" t="s">
        <v>11</v>
      </c>
      <c r="D220" s="2" t="s">
        <v>12</v>
      </c>
      <c r="E220" s="2" t="s">
        <v>13</v>
      </c>
      <c r="F220" s="2" t="s">
        <v>14</v>
      </c>
      <c r="G220" s="2" t="s">
        <v>15</v>
      </c>
      <c r="H220" s="2">
        <v>3</v>
      </c>
      <c r="I220" s="4">
        <v>32</v>
      </c>
      <c r="J220" s="2" t="s">
        <v>38</v>
      </c>
      <c r="K220">
        <f>H220*I220</f>
        <v>96</v>
      </c>
      <c r="L220" t="str">
        <f t="shared" si="6"/>
        <v>Feb</v>
      </c>
      <c r="M220">
        <f t="shared" si="7"/>
        <v>2</v>
      </c>
    </row>
    <row r="221" spans="1:13" x14ac:dyDescent="0.25">
      <c r="A221" s="2" t="s">
        <v>294</v>
      </c>
      <c r="B221" s="3">
        <v>45697</v>
      </c>
      <c r="C221" s="2" t="s">
        <v>42</v>
      </c>
      <c r="D221" s="2" t="s">
        <v>43</v>
      </c>
      <c r="E221" s="2" t="s">
        <v>44</v>
      </c>
      <c r="F221" s="2" t="s">
        <v>14</v>
      </c>
      <c r="G221" s="2" t="s">
        <v>45</v>
      </c>
      <c r="H221" s="2">
        <v>1</v>
      </c>
      <c r="I221" s="4">
        <v>46</v>
      </c>
      <c r="J221" s="2" t="s">
        <v>16</v>
      </c>
      <c r="K221">
        <f>H221*I221</f>
        <v>46</v>
      </c>
      <c r="L221" t="str">
        <f t="shared" si="6"/>
        <v>Feb</v>
      </c>
      <c r="M221">
        <f t="shared" si="7"/>
        <v>2</v>
      </c>
    </row>
    <row r="222" spans="1:13" x14ac:dyDescent="0.25">
      <c r="A222" s="2" t="s">
        <v>295</v>
      </c>
      <c r="B222" s="3">
        <v>45697</v>
      </c>
      <c r="C222" s="2" t="s">
        <v>42</v>
      </c>
      <c r="D222" s="2" t="s">
        <v>43</v>
      </c>
      <c r="E222" s="2" t="s">
        <v>44</v>
      </c>
      <c r="F222" s="2" t="s">
        <v>14</v>
      </c>
      <c r="G222" s="2" t="s">
        <v>45</v>
      </c>
      <c r="H222" s="2">
        <v>2</v>
      </c>
      <c r="I222" s="4">
        <v>46</v>
      </c>
      <c r="J222" s="2" t="s">
        <v>16</v>
      </c>
      <c r="K222">
        <f>H222*I222</f>
        <v>92</v>
      </c>
      <c r="L222" t="str">
        <f t="shared" si="6"/>
        <v>Feb</v>
      </c>
      <c r="M222">
        <f t="shared" si="7"/>
        <v>2</v>
      </c>
    </row>
    <row r="223" spans="1:13" x14ac:dyDescent="0.25">
      <c r="A223" s="2" t="s">
        <v>296</v>
      </c>
      <c r="B223" s="3">
        <v>45698</v>
      </c>
      <c r="C223" s="2" t="s">
        <v>72</v>
      </c>
      <c r="D223" s="2" t="s">
        <v>68</v>
      </c>
      <c r="E223" s="2" t="s">
        <v>49</v>
      </c>
      <c r="F223" s="2" t="s">
        <v>20</v>
      </c>
      <c r="G223" s="2" t="s">
        <v>21</v>
      </c>
      <c r="H223" s="2">
        <v>3</v>
      </c>
      <c r="I223" s="4">
        <v>95</v>
      </c>
      <c r="J223" s="2" t="s">
        <v>38</v>
      </c>
      <c r="K223">
        <f>H223*I223</f>
        <v>285</v>
      </c>
      <c r="L223" t="str">
        <f t="shared" si="6"/>
        <v>Feb</v>
      </c>
      <c r="M223">
        <f t="shared" si="7"/>
        <v>2</v>
      </c>
    </row>
    <row r="224" spans="1:13" x14ac:dyDescent="0.25">
      <c r="A224" s="2" t="s">
        <v>297</v>
      </c>
      <c r="B224" s="3">
        <v>45698</v>
      </c>
      <c r="C224" s="2" t="s">
        <v>119</v>
      </c>
      <c r="D224" s="2" t="s">
        <v>120</v>
      </c>
      <c r="E224" s="2" t="s">
        <v>76</v>
      </c>
      <c r="F224" s="2" t="s">
        <v>14</v>
      </c>
      <c r="G224" s="2" t="s">
        <v>121</v>
      </c>
      <c r="H224" s="2">
        <v>3</v>
      </c>
      <c r="I224" s="4">
        <v>190</v>
      </c>
      <c r="J224" s="2" t="s">
        <v>38</v>
      </c>
      <c r="K224">
        <f>H224*I224</f>
        <v>570</v>
      </c>
      <c r="L224" t="str">
        <f t="shared" si="6"/>
        <v>Feb</v>
      </c>
      <c r="M224">
        <f t="shared" si="7"/>
        <v>2</v>
      </c>
    </row>
    <row r="225" spans="1:13" x14ac:dyDescent="0.25">
      <c r="A225" s="2" t="s">
        <v>298</v>
      </c>
      <c r="B225" s="3">
        <v>45698</v>
      </c>
      <c r="C225" s="2" t="s">
        <v>102</v>
      </c>
      <c r="D225" s="2" t="s">
        <v>102</v>
      </c>
      <c r="E225" s="2" t="s">
        <v>36</v>
      </c>
      <c r="F225" s="2" t="s">
        <v>20</v>
      </c>
      <c r="G225" s="2" t="s">
        <v>21</v>
      </c>
      <c r="H225" s="2">
        <v>3</v>
      </c>
      <c r="I225" s="4">
        <v>35</v>
      </c>
      <c r="J225" s="2" t="s">
        <v>22</v>
      </c>
      <c r="K225">
        <f>H225*I225</f>
        <v>105</v>
      </c>
      <c r="L225" t="str">
        <f t="shared" si="6"/>
        <v>Feb</v>
      </c>
      <c r="M225">
        <f t="shared" si="7"/>
        <v>2</v>
      </c>
    </row>
    <row r="226" spans="1:13" x14ac:dyDescent="0.25">
      <c r="A226" s="2" t="s">
        <v>299</v>
      </c>
      <c r="B226" s="3">
        <v>45698</v>
      </c>
      <c r="C226" s="2" t="s">
        <v>102</v>
      </c>
      <c r="D226" s="2" t="s">
        <v>102</v>
      </c>
      <c r="E226" s="2" t="s">
        <v>36</v>
      </c>
      <c r="F226" s="2" t="s">
        <v>20</v>
      </c>
      <c r="G226" s="2" t="s">
        <v>21</v>
      </c>
      <c r="H226" s="2">
        <v>6</v>
      </c>
      <c r="I226" s="4">
        <v>35</v>
      </c>
      <c r="J226" s="2" t="s">
        <v>38</v>
      </c>
      <c r="K226">
        <f>H226*I226</f>
        <v>210</v>
      </c>
      <c r="L226" t="str">
        <f t="shared" si="6"/>
        <v>Feb</v>
      </c>
      <c r="M226">
        <f t="shared" si="7"/>
        <v>2</v>
      </c>
    </row>
    <row r="227" spans="1:13" x14ac:dyDescent="0.25">
      <c r="A227" s="2" t="s">
        <v>300</v>
      </c>
      <c r="B227" s="3">
        <v>45698</v>
      </c>
      <c r="C227" s="2" t="s">
        <v>190</v>
      </c>
      <c r="D227" s="2" t="s">
        <v>40</v>
      </c>
      <c r="E227" s="2" t="s">
        <v>19</v>
      </c>
      <c r="F227" s="2" t="s">
        <v>14</v>
      </c>
      <c r="G227" s="2" t="s">
        <v>191</v>
      </c>
      <c r="H227" s="2">
        <v>6</v>
      </c>
      <c r="I227" s="4">
        <v>142</v>
      </c>
      <c r="J227" s="2" t="s">
        <v>16</v>
      </c>
      <c r="K227">
        <f>H227*I227</f>
        <v>852</v>
      </c>
      <c r="L227" t="str">
        <f t="shared" si="6"/>
        <v>Feb</v>
      </c>
      <c r="M227">
        <f t="shared" si="7"/>
        <v>2</v>
      </c>
    </row>
    <row r="228" spans="1:13" x14ac:dyDescent="0.25">
      <c r="A228" s="2" t="s">
        <v>301</v>
      </c>
      <c r="B228" s="3">
        <v>45698</v>
      </c>
      <c r="C228" s="2" t="s">
        <v>40</v>
      </c>
      <c r="D228" s="2" t="s">
        <v>40</v>
      </c>
      <c r="E228" s="2" t="s">
        <v>19</v>
      </c>
      <c r="F228" s="2" t="s">
        <v>20</v>
      </c>
      <c r="G228" s="2" t="s">
        <v>21</v>
      </c>
      <c r="H228" s="2">
        <v>6</v>
      </c>
      <c r="I228" s="4">
        <v>46</v>
      </c>
      <c r="J228" s="2" t="s">
        <v>38</v>
      </c>
      <c r="K228">
        <f>H228*I228</f>
        <v>276</v>
      </c>
      <c r="L228" t="str">
        <f t="shared" si="6"/>
        <v>Feb</v>
      </c>
      <c r="M228">
        <f t="shared" si="7"/>
        <v>2</v>
      </c>
    </row>
    <row r="229" spans="1:13" x14ac:dyDescent="0.25">
      <c r="A229" s="2" t="s">
        <v>302</v>
      </c>
      <c r="B229" s="3">
        <v>45698</v>
      </c>
      <c r="C229" s="2" t="s">
        <v>25</v>
      </c>
      <c r="D229" s="2" t="s">
        <v>25</v>
      </c>
      <c r="E229" s="2" t="s">
        <v>26</v>
      </c>
      <c r="F229" s="2" t="s">
        <v>20</v>
      </c>
      <c r="G229" s="2" t="s">
        <v>21</v>
      </c>
      <c r="H229" s="2">
        <v>3</v>
      </c>
      <c r="I229" s="4">
        <v>20</v>
      </c>
      <c r="J229" s="2" t="s">
        <v>16</v>
      </c>
      <c r="K229">
        <f>H229*I229</f>
        <v>60</v>
      </c>
      <c r="L229" t="str">
        <f t="shared" si="6"/>
        <v>Feb</v>
      </c>
      <c r="M229">
        <f t="shared" si="7"/>
        <v>2</v>
      </c>
    </row>
    <row r="230" spans="1:13" x14ac:dyDescent="0.25">
      <c r="A230" s="2" t="s">
        <v>303</v>
      </c>
      <c r="B230" s="3">
        <v>45699</v>
      </c>
      <c r="C230" s="2" t="s">
        <v>48</v>
      </c>
      <c r="D230" s="2" t="s">
        <v>48</v>
      </c>
      <c r="E230" s="2" t="s">
        <v>49</v>
      </c>
      <c r="F230" s="2" t="s">
        <v>20</v>
      </c>
      <c r="G230" s="2" t="s">
        <v>21</v>
      </c>
      <c r="H230" s="2">
        <v>1</v>
      </c>
      <c r="I230" s="4">
        <v>55</v>
      </c>
      <c r="J230" s="2" t="s">
        <v>16</v>
      </c>
      <c r="K230">
        <f>H230*I230</f>
        <v>55</v>
      </c>
      <c r="L230" t="str">
        <f t="shared" si="6"/>
        <v>Feb</v>
      </c>
      <c r="M230">
        <f t="shared" si="7"/>
        <v>2</v>
      </c>
    </row>
    <row r="231" spans="1:13" x14ac:dyDescent="0.25">
      <c r="A231" s="2" t="s">
        <v>304</v>
      </c>
      <c r="B231" s="3">
        <v>45699</v>
      </c>
      <c r="C231" s="2" t="s">
        <v>75</v>
      </c>
      <c r="D231" s="2" t="s">
        <v>75</v>
      </c>
      <c r="E231" s="2" t="s">
        <v>76</v>
      </c>
      <c r="F231" s="2" t="s">
        <v>20</v>
      </c>
      <c r="G231" s="2" t="s">
        <v>21</v>
      </c>
      <c r="H231" s="2">
        <v>1</v>
      </c>
      <c r="I231" s="4">
        <v>12</v>
      </c>
      <c r="J231" s="2" t="s">
        <v>16</v>
      </c>
      <c r="K231">
        <f>H231*I231</f>
        <v>12</v>
      </c>
      <c r="L231" t="str">
        <f t="shared" si="6"/>
        <v>Feb</v>
      </c>
      <c r="M231">
        <f t="shared" si="7"/>
        <v>2</v>
      </c>
    </row>
    <row r="232" spans="1:13" x14ac:dyDescent="0.25">
      <c r="A232" s="2" t="s">
        <v>305</v>
      </c>
      <c r="B232" s="3">
        <v>45699</v>
      </c>
      <c r="C232" s="2" t="s">
        <v>124</v>
      </c>
      <c r="D232" s="2" t="s">
        <v>18</v>
      </c>
      <c r="E232" s="2" t="s">
        <v>19</v>
      </c>
      <c r="F232" s="2" t="s">
        <v>14</v>
      </c>
      <c r="G232" s="2" t="s">
        <v>125</v>
      </c>
      <c r="H232" s="2">
        <v>6</v>
      </c>
      <c r="I232" s="4">
        <v>45</v>
      </c>
      <c r="J232" s="2" t="s">
        <v>16</v>
      </c>
      <c r="K232">
        <f>H232*I232</f>
        <v>270</v>
      </c>
      <c r="L232" t="str">
        <f t="shared" si="6"/>
        <v>Feb</v>
      </c>
      <c r="M232">
        <f t="shared" si="7"/>
        <v>2</v>
      </c>
    </row>
    <row r="233" spans="1:13" x14ac:dyDescent="0.25">
      <c r="A233" s="2" t="s">
        <v>306</v>
      </c>
      <c r="B233" s="3">
        <v>45699</v>
      </c>
      <c r="C233" s="2" t="s">
        <v>124</v>
      </c>
      <c r="D233" s="2" t="s">
        <v>18</v>
      </c>
      <c r="E233" s="2" t="s">
        <v>19</v>
      </c>
      <c r="F233" s="2" t="s">
        <v>14</v>
      </c>
      <c r="G233" s="2" t="s">
        <v>125</v>
      </c>
      <c r="H233" s="2">
        <v>6</v>
      </c>
      <c r="I233" s="4">
        <v>45</v>
      </c>
      <c r="J233" s="2" t="s">
        <v>16</v>
      </c>
      <c r="K233">
        <f>H233*I233</f>
        <v>270</v>
      </c>
      <c r="L233" t="str">
        <f t="shared" si="6"/>
        <v>Feb</v>
      </c>
      <c r="M233">
        <f t="shared" si="7"/>
        <v>2</v>
      </c>
    </row>
    <row r="234" spans="1:13" x14ac:dyDescent="0.25">
      <c r="A234" s="2" t="s">
        <v>307</v>
      </c>
      <c r="B234" s="3">
        <v>45699</v>
      </c>
      <c r="C234" s="2" t="s">
        <v>79</v>
      </c>
      <c r="D234" s="2" t="s">
        <v>80</v>
      </c>
      <c r="E234" s="2" t="s">
        <v>26</v>
      </c>
      <c r="F234" s="2" t="s">
        <v>14</v>
      </c>
      <c r="G234" s="2" t="s">
        <v>81</v>
      </c>
      <c r="H234" s="2">
        <v>5</v>
      </c>
      <c r="I234" s="4">
        <v>152</v>
      </c>
      <c r="J234" s="2" t="s">
        <v>16</v>
      </c>
      <c r="K234">
        <f>H234*I234</f>
        <v>760</v>
      </c>
      <c r="L234" t="str">
        <f t="shared" si="6"/>
        <v>Feb</v>
      </c>
      <c r="M234">
        <f t="shared" si="7"/>
        <v>2</v>
      </c>
    </row>
    <row r="235" spans="1:13" x14ac:dyDescent="0.25">
      <c r="A235" s="2" t="s">
        <v>308</v>
      </c>
      <c r="B235" s="3">
        <v>45700</v>
      </c>
      <c r="C235" s="2" t="s">
        <v>12</v>
      </c>
      <c r="D235" s="2" t="s">
        <v>12</v>
      </c>
      <c r="E235" s="2" t="s">
        <v>13</v>
      </c>
      <c r="F235" s="2" t="s">
        <v>20</v>
      </c>
      <c r="G235" s="2" t="s">
        <v>21</v>
      </c>
      <c r="H235" s="2">
        <v>5</v>
      </c>
      <c r="I235" s="4">
        <v>14</v>
      </c>
      <c r="J235" s="2" t="s">
        <v>16</v>
      </c>
      <c r="K235">
        <f>H235*I235</f>
        <v>70</v>
      </c>
      <c r="L235" t="str">
        <f t="shared" si="6"/>
        <v>Feb</v>
      </c>
      <c r="M235">
        <f t="shared" si="7"/>
        <v>2</v>
      </c>
    </row>
    <row r="236" spans="1:13" x14ac:dyDescent="0.25">
      <c r="A236" s="2" t="s">
        <v>309</v>
      </c>
      <c r="B236" s="3">
        <v>45700</v>
      </c>
      <c r="C236" s="2" t="s">
        <v>18</v>
      </c>
      <c r="D236" s="2" t="s">
        <v>18</v>
      </c>
      <c r="E236" s="2" t="s">
        <v>19</v>
      </c>
      <c r="F236" s="2" t="s">
        <v>20</v>
      </c>
      <c r="G236" s="2" t="s">
        <v>21</v>
      </c>
      <c r="H236" s="2">
        <v>3</v>
      </c>
      <c r="I236" s="4">
        <v>15</v>
      </c>
      <c r="J236" s="2" t="s">
        <v>16</v>
      </c>
      <c r="K236">
        <f>H236*I236</f>
        <v>45</v>
      </c>
      <c r="L236" t="str">
        <f t="shared" si="6"/>
        <v>Feb</v>
      </c>
      <c r="M236">
        <f t="shared" si="7"/>
        <v>2</v>
      </c>
    </row>
    <row r="237" spans="1:13" x14ac:dyDescent="0.25">
      <c r="A237" s="2" t="s">
        <v>310</v>
      </c>
      <c r="B237" s="3">
        <v>45700</v>
      </c>
      <c r="C237" s="2" t="s">
        <v>60</v>
      </c>
      <c r="D237" s="2" t="s">
        <v>61</v>
      </c>
      <c r="E237" s="2" t="s">
        <v>62</v>
      </c>
      <c r="F237" s="2" t="s">
        <v>14</v>
      </c>
      <c r="G237" s="2" t="s">
        <v>63</v>
      </c>
      <c r="H237" s="2">
        <v>2</v>
      </c>
      <c r="I237" s="4">
        <v>26</v>
      </c>
      <c r="J237" s="2" t="s">
        <v>16</v>
      </c>
      <c r="K237">
        <f>H237*I237</f>
        <v>52</v>
      </c>
      <c r="L237" t="str">
        <f t="shared" si="6"/>
        <v>Feb</v>
      </c>
      <c r="M237">
        <f t="shared" si="7"/>
        <v>2</v>
      </c>
    </row>
    <row r="238" spans="1:13" x14ac:dyDescent="0.25">
      <c r="A238" s="2" t="s">
        <v>311</v>
      </c>
      <c r="B238" s="3">
        <v>45700</v>
      </c>
      <c r="C238" s="2" t="s">
        <v>42</v>
      </c>
      <c r="D238" s="2" t="s">
        <v>43</v>
      </c>
      <c r="E238" s="2" t="s">
        <v>44</v>
      </c>
      <c r="F238" s="2" t="s">
        <v>14</v>
      </c>
      <c r="G238" s="2" t="s">
        <v>45</v>
      </c>
      <c r="H238" s="2">
        <v>3</v>
      </c>
      <c r="I238" s="4">
        <v>46</v>
      </c>
      <c r="J238" s="2" t="s">
        <v>16</v>
      </c>
      <c r="K238">
        <f>H238*I238</f>
        <v>138</v>
      </c>
      <c r="L238" t="str">
        <f t="shared" si="6"/>
        <v>Feb</v>
      </c>
      <c r="M238">
        <f t="shared" si="7"/>
        <v>2</v>
      </c>
    </row>
    <row r="239" spans="1:13" x14ac:dyDescent="0.25">
      <c r="A239" s="2" t="s">
        <v>312</v>
      </c>
      <c r="B239" s="3">
        <v>45701</v>
      </c>
      <c r="C239" s="2" t="s">
        <v>40</v>
      </c>
      <c r="D239" s="2" t="s">
        <v>40</v>
      </c>
      <c r="E239" s="2" t="s">
        <v>19</v>
      </c>
      <c r="F239" s="2" t="s">
        <v>20</v>
      </c>
      <c r="G239" s="2" t="s">
        <v>21</v>
      </c>
      <c r="H239" s="2">
        <v>3</v>
      </c>
      <c r="I239" s="4">
        <v>46</v>
      </c>
      <c r="J239" s="2" t="s">
        <v>22</v>
      </c>
      <c r="K239">
        <f>H239*I239</f>
        <v>138</v>
      </c>
      <c r="L239" t="str">
        <f t="shared" si="6"/>
        <v>Feb</v>
      </c>
      <c r="M239">
        <f t="shared" si="7"/>
        <v>2</v>
      </c>
    </row>
    <row r="240" spans="1:13" x14ac:dyDescent="0.25">
      <c r="A240" s="2" t="s">
        <v>313</v>
      </c>
      <c r="B240" s="3">
        <v>45701</v>
      </c>
      <c r="C240" s="2" t="s">
        <v>79</v>
      </c>
      <c r="D240" s="2" t="s">
        <v>80</v>
      </c>
      <c r="E240" s="2" t="s">
        <v>26</v>
      </c>
      <c r="F240" s="2" t="s">
        <v>14</v>
      </c>
      <c r="G240" s="2" t="s">
        <v>81</v>
      </c>
      <c r="H240" s="2">
        <v>2</v>
      </c>
      <c r="I240" s="4">
        <v>152</v>
      </c>
      <c r="J240" s="2" t="s">
        <v>31</v>
      </c>
      <c r="K240">
        <f>H240*I240</f>
        <v>304</v>
      </c>
      <c r="L240" t="str">
        <f t="shared" si="6"/>
        <v>Feb</v>
      </c>
      <c r="M240">
        <f t="shared" si="7"/>
        <v>2</v>
      </c>
    </row>
    <row r="241" spans="1:13" x14ac:dyDescent="0.25">
      <c r="A241" s="2" t="s">
        <v>314</v>
      </c>
      <c r="B241" s="3">
        <v>45701</v>
      </c>
      <c r="C241" s="2" t="s">
        <v>79</v>
      </c>
      <c r="D241" s="2" t="s">
        <v>80</v>
      </c>
      <c r="E241" s="2" t="s">
        <v>26</v>
      </c>
      <c r="F241" s="2" t="s">
        <v>14</v>
      </c>
      <c r="G241" s="2" t="s">
        <v>81</v>
      </c>
      <c r="H241" s="2">
        <v>1</v>
      </c>
      <c r="I241" s="4">
        <v>152</v>
      </c>
      <c r="J241" s="2" t="s">
        <v>31</v>
      </c>
      <c r="K241">
        <f>H241*I241</f>
        <v>152</v>
      </c>
      <c r="L241" t="str">
        <f t="shared" si="6"/>
        <v>Feb</v>
      </c>
      <c r="M241">
        <f t="shared" si="7"/>
        <v>2</v>
      </c>
    </row>
    <row r="242" spans="1:13" x14ac:dyDescent="0.25">
      <c r="A242" s="2" t="s">
        <v>315</v>
      </c>
      <c r="B242" s="3">
        <v>45701</v>
      </c>
      <c r="C242" s="2" t="s">
        <v>80</v>
      </c>
      <c r="D242" s="2" t="s">
        <v>80</v>
      </c>
      <c r="E242" s="2" t="s">
        <v>26</v>
      </c>
      <c r="F242" s="2" t="s">
        <v>20</v>
      </c>
      <c r="G242" s="2" t="s">
        <v>21</v>
      </c>
      <c r="H242" s="2">
        <v>3</v>
      </c>
      <c r="I242" s="4">
        <v>50</v>
      </c>
      <c r="J242" s="2" t="s">
        <v>22</v>
      </c>
      <c r="K242">
        <f>H242*I242</f>
        <v>150</v>
      </c>
      <c r="L242" t="str">
        <f t="shared" si="6"/>
        <v>Feb</v>
      </c>
      <c r="M242">
        <f t="shared" si="7"/>
        <v>2</v>
      </c>
    </row>
    <row r="243" spans="1:13" x14ac:dyDescent="0.25">
      <c r="A243" s="2" t="s">
        <v>316</v>
      </c>
      <c r="B243" s="3">
        <v>45701</v>
      </c>
      <c r="C243" s="2" t="s">
        <v>61</v>
      </c>
      <c r="D243" s="2" t="s">
        <v>61</v>
      </c>
      <c r="E243" s="2" t="s">
        <v>62</v>
      </c>
      <c r="F243" s="2" t="s">
        <v>20</v>
      </c>
      <c r="G243" s="2" t="s">
        <v>21</v>
      </c>
      <c r="H243" s="2">
        <v>3</v>
      </c>
      <c r="I243" s="4">
        <v>8</v>
      </c>
      <c r="J243" s="2" t="s">
        <v>16</v>
      </c>
      <c r="K243">
        <f>H243*I243</f>
        <v>24</v>
      </c>
      <c r="L243" t="str">
        <f t="shared" si="6"/>
        <v>Feb</v>
      </c>
      <c r="M243">
        <f t="shared" si="7"/>
        <v>2</v>
      </c>
    </row>
    <row r="244" spans="1:13" x14ac:dyDescent="0.25">
      <c r="A244" s="2" t="s">
        <v>317</v>
      </c>
      <c r="B244" s="3">
        <v>45701</v>
      </c>
      <c r="C244" s="2" t="s">
        <v>61</v>
      </c>
      <c r="D244" s="2" t="s">
        <v>61</v>
      </c>
      <c r="E244" s="2" t="s">
        <v>62</v>
      </c>
      <c r="F244" s="2" t="s">
        <v>20</v>
      </c>
      <c r="G244" s="2" t="s">
        <v>21</v>
      </c>
      <c r="H244" s="2">
        <v>2</v>
      </c>
      <c r="I244" s="4">
        <v>8</v>
      </c>
      <c r="J244" s="2" t="s">
        <v>38</v>
      </c>
      <c r="K244">
        <f>H244*I244</f>
        <v>16</v>
      </c>
      <c r="L244" t="str">
        <f t="shared" si="6"/>
        <v>Feb</v>
      </c>
      <c r="M244">
        <f t="shared" si="7"/>
        <v>2</v>
      </c>
    </row>
    <row r="245" spans="1:13" x14ac:dyDescent="0.25">
      <c r="A245" s="2" t="s">
        <v>318</v>
      </c>
      <c r="B245" s="3">
        <v>45702</v>
      </c>
      <c r="C245" s="2" t="s">
        <v>12</v>
      </c>
      <c r="D245" s="2" t="s">
        <v>12</v>
      </c>
      <c r="E245" s="2" t="s">
        <v>13</v>
      </c>
      <c r="F245" s="2" t="s">
        <v>20</v>
      </c>
      <c r="G245" s="2" t="s">
        <v>21</v>
      </c>
      <c r="H245" s="2">
        <v>3</v>
      </c>
      <c r="I245" s="4">
        <v>14</v>
      </c>
      <c r="J245" s="2" t="s">
        <v>38</v>
      </c>
      <c r="K245">
        <f>H245*I245</f>
        <v>42</v>
      </c>
      <c r="L245" t="str">
        <f t="shared" si="6"/>
        <v>Feb</v>
      </c>
      <c r="M245">
        <f t="shared" si="7"/>
        <v>2</v>
      </c>
    </row>
    <row r="246" spans="1:13" x14ac:dyDescent="0.25">
      <c r="A246" s="2" t="s">
        <v>319</v>
      </c>
      <c r="B246" s="3">
        <v>45702</v>
      </c>
      <c r="C246" s="2" t="s">
        <v>74</v>
      </c>
      <c r="D246" s="2" t="s">
        <v>75</v>
      </c>
      <c r="E246" s="2" t="s">
        <v>76</v>
      </c>
      <c r="F246" s="2" t="s">
        <v>14</v>
      </c>
      <c r="G246" s="2" t="s">
        <v>77</v>
      </c>
      <c r="H246" s="2">
        <v>12</v>
      </c>
      <c r="I246" s="4">
        <v>32</v>
      </c>
      <c r="J246" s="2" t="s">
        <v>16</v>
      </c>
      <c r="K246">
        <f>H246*I246</f>
        <v>384</v>
      </c>
      <c r="L246" t="str">
        <f t="shared" si="6"/>
        <v>Feb</v>
      </c>
      <c r="M246">
        <f t="shared" si="7"/>
        <v>2</v>
      </c>
    </row>
    <row r="247" spans="1:13" x14ac:dyDescent="0.25">
      <c r="A247" s="2" t="s">
        <v>320</v>
      </c>
      <c r="B247" s="3">
        <v>45702</v>
      </c>
      <c r="C247" s="2" t="s">
        <v>34</v>
      </c>
      <c r="D247" s="2" t="s">
        <v>35</v>
      </c>
      <c r="E247" s="2" t="s">
        <v>36</v>
      </c>
      <c r="F247" s="2" t="s">
        <v>14</v>
      </c>
      <c r="G247" s="2" t="s">
        <v>37</v>
      </c>
      <c r="H247" s="2">
        <v>6</v>
      </c>
      <c r="I247" s="4">
        <v>165</v>
      </c>
      <c r="J247" s="2" t="s">
        <v>16</v>
      </c>
      <c r="K247">
        <f>H247*I247</f>
        <v>990</v>
      </c>
      <c r="L247" t="str">
        <f t="shared" si="6"/>
        <v>Feb</v>
      </c>
      <c r="M247">
        <f t="shared" si="7"/>
        <v>2</v>
      </c>
    </row>
    <row r="248" spans="1:13" x14ac:dyDescent="0.25">
      <c r="A248" s="2" t="s">
        <v>321</v>
      </c>
      <c r="B248" s="3">
        <v>45703</v>
      </c>
      <c r="C248" s="2" t="s">
        <v>35</v>
      </c>
      <c r="D248" s="2" t="s">
        <v>35</v>
      </c>
      <c r="E248" s="2" t="s">
        <v>36</v>
      </c>
      <c r="F248" s="2" t="s">
        <v>20</v>
      </c>
      <c r="G248" s="2" t="s">
        <v>21</v>
      </c>
      <c r="H248" s="2">
        <v>3</v>
      </c>
      <c r="I248" s="4">
        <v>58</v>
      </c>
      <c r="J248" s="2" t="s">
        <v>16</v>
      </c>
      <c r="K248">
        <f>H248*I248</f>
        <v>174</v>
      </c>
      <c r="L248" t="str">
        <f t="shared" si="6"/>
        <v>Feb</v>
      </c>
      <c r="M248">
        <f t="shared" si="7"/>
        <v>2</v>
      </c>
    </row>
    <row r="249" spans="1:13" x14ac:dyDescent="0.25">
      <c r="A249" s="2" t="s">
        <v>322</v>
      </c>
      <c r="B249" s="3">
        <v>45703</v>
      </c>
      <c r="C249" s="2" t="s">
        <v>18</v>
      </c>
      <c r="D249" s="2" t="s">
        <v>18</v>
      </c>
      <c r="E249" s="2" t="s">
        <v>19</v>
      </c>
      <c r="F249" s="2" t="s">
        <v>20</v>
      </c>
      <c r="G249" s="2" t="s">
        <v>21</v>
      </c>
      <c r="H249" s="2">
        <v>3</v>
      </c>
      <c r="I249" s="4">
        <v>15</v>
      </c>
      <c r="J249" s="2" t="s">
        <v>38</v>
      </c>
      <c r="K249">
        <f>H249*I249</f>
        <v>45</v>
      </c>
      <c r="L249" t="str">
        <f t="shared" si="6"/>
        <v>Feb</v>
      </c>
      <c r="M249">
        <f t="shared" si="7"/>
        <v>2</v>
      </c>
    </row>
    <row r="250" spans="1:13" x14ac:dyDescent="0.25">
      <c r="A250" s="2" t="s">
        <v>323</v>
      </c>
      <c r="B250" s="3">
        <v>45703</v>
      </c>
      <c r="C250" s="2" t="s">
        <v>18</v>
      </c>
      <c r="D250" s="2" t="s">
        <v>18</v>
      </c>
      <c r="E250" s="2" t="s">
        <v>19</v>
      </c>
      <c r="F250" s="2" t="s">
        <v>20</v>
      </c>
      <c r="G250" s="2" t="s">
        <v>21</v>
      </c>
      <c r="H250" s="2">
        <v>2</v>
      </c>
      <c r="I250" s="4">
        <v>15</v>
      </c>
      <c r="J250" s="2" t="s">
        <v>16</v>
      </c>
      <c r="K250">
        <f>H250*I250</f>
        <v>30</v>
      </c>
      <c r="L250" t="str">
        <f t="shared" si="6"/>
        <v>Feb</v>
      </c>
      <c r="M250">
        <f t="shared" si="7"/>
        <v>2</v>
      </c>
    </row>
    <row r="251" spans="1:13" x14ac:dyDescent="0.25">
      <c r="A251" s="2" t="s">
        <v>324</v>
      </c>
      <c r="B251" s="3">
        <v>45703</v>
      </c>
      <c r="C251" s="2" t="s">
        <v>60</v>
      </c>
      <c r="D251" s="2" t="s">
        <v>61</v>
      </c>
      <c r="E251" s="2" t="s">
        <v>62</v>
      </c>
      <c r="F251" s="2" t="s">
        <v>14</v>
      </c>
      <c r="G251" s="2" t="s">
        <v>63</v>
      </c>
      <c r="H251" s="2">
        <v>2</v>
      </c>
      <c r="I251" s="4">
        <v>26</v>
      </c>
      <c r="J251" s="2" t="s">
        <v>31</v>
      </c>
      <c r="K251">
        <f>H251*I251</f>
        <v>52</v>
      </c>
      <c r="L251" t="str">
        <f t="shared" si="6"/>
        <v>Feb</v>
      </c>
      <c r="M251">
        <f t="shared" si="7"/>
        <v>2</v>
      </c>
    </row>
    <row r="252" spans="1:13" x14ac:dyDescent="0.25">
      <c r="A252" s="2" t="s">
        <v>325</v>
      </c>
      <c r="B252" s="3">
        <v>45703</v>
      </c>
      <c r="C252" s="2" t="s">
        <v>61</v>
      </c>
      <c r="D252" s="2" t="s">
        <v>61</v>
      </c>
      <c r="E252" s="2" t="s">
        <v>62</v>
      </c>
      <c r="F252" s="2" t="s">
        <v>20</v>
      </c>
      <c r="G252" s="2" t="s">
        <v>21</v>
      </c>
      <c r="H252" s="2">
        <v>2</v>
      </c>
      <c r="I252" s="4">
        <v>8</v>
      </c>
      <c r="J252" s="2" t="s">
        <v>16</v>
      </c>
      <c r="K252">
        <f>H252*I252</f>
        <v>16</v>
      </c>
      <c r="L252" t="str">
        <f t="shared" si="6"/>
        <v>Feb</v>
      </c>
      <c r="M252">
        <f t="shared" si="7"/>
        <v>2</v>
      </c>
    </row>
    <row r="253" spans="1:13" x14ac:dyDescent="0.25">
      <c r="A253" s="2" t="s">
        <v>326</v>
      </c>
      <c r="B253" s="3">
        <v>45704</v>
      </c>
      <c r="C253" s="2" t="s">
        <v>101</v>
      </c>
      <c r="D253" s="2" t="s">
        <v>102</v>
      </c>
      <c r="E253" s="2" t="s">
        <v>36</v>
      </c>
      <c r="F253" s="2" t="s">
        <v>14</v>
      </c>
      <c r="G253" s="2" t="s">
        <v>103</v>
      </c>
      <c r="H253" s="2">
        <v>3</v>
      </c>
      <c r="I253" s="4">
        <v>92</v>
      </c>
      <c r="J253" s="2" t="s">
        <v>16</v>
      </c>
      <c r="K253">
        <f>H253*I253</f>
        <v>276</v>
      </c>
      <c r="L253" t="str">
        <f t="shared" si="6"/>
        <v>Feb</v>
      </c>
      <c r="M253">
        <f t="shared" si="7"/>
        <v>2</v>
      </c>
    </row>
    <row r="254" spans="1:13" x14ac:dyDescent="0.25">
      <c r="A254" s="2" t="s">
        <v>327</v>
      </c>
      <c r="B254" s="3">
        <v>45704</v>
      </c>
      <c r="C254" s="2" t="s">
        <v>124</v>
      </c>
      <c r="D254" s="2" t="s">
        <v>18</v>
      </c>
      <c r="E254" s="2" t="s">
        <v>19</v>
      </c>
      <c r="F254" s="2" t="s">
        <v>14</v>
      </c>
      <c r="G254" s="2" t="s">
        <v>125</v>
      </c>
      <c r="H254" s="2">
        <v>1</v>
      </c>
      <c r="I254" s="4">
        <v>45</v>
      </c>
      <c r="J254" s="2" t="s">
        <v>16</v>
      </c>
      <c r="K254">
        <f>H254*I254</f>
        <v>45</v>
      </c>
      <c r="L254" t="str">
        <f t="shared" si="6"/>
        <v>Feb</v>
      </c>
      <c r="M254">
        <f t="shared" si="7"/>
        <v>2</v>
      </c>
    </row>
    <row r="255" spans="1:13" x14ac:dyDescent="0.25">
      <c r="A255" s="2" t="s">
        <v>328</v>
      </c>
      <c r="B255" s="3">
        <v>45704</v>
      </c>
      <c r="C255" s="2" t="s">
        <v>40</v>
      </c>
      <c r="D255" s="2" t="s">
        <v>40</v>
      </c>
      <c r="E255" s="2" t="s">
        <v>19</v>
      </c>
      <c r="F255" s="2" t="s">
        <v>20</v>
      </c>
      <c r="G255" s="2" t="s">
        <v>21</v>
      </c>
      <c r="H255" s="2">
        <v>3</v>
      </c>
      <c r="I255" s="4">
        <v>46</v>
      </c>
      <c r="J255" s="2" t="s">
        <v>38</v>
      </c>
      <c r="K255">
        <f>H255*I255</f>
        <v>138</v>
      </c>
      <c r="L255" t="str">
        <f t="shared" si="6"/>
        <v>Feb</v>
      </c>
      <c r="M255">
        <f t="shared" si="7"/>
        <v>2</v>
      </c>
    </row>
    <row r="256" spans="1:13" x14ac:dyDescent="0.25">
      <c r="A256" s="2" t="s">
        <v>329</v>
      </c>
      <c r="B256" s="3">
        <v>45704</v>
      </c>
      <c r="C256" s="2" t="s">
        <v>24</v>
      </c>
      <c r="D256" s="2" t="s">
        <v>25</v>
      </c>
      <c r="E256" s="2" t="s">
        <v>26</v>
      </c>
      <c r="F256" s="2" t="s">
        <v>14</v>
      </c>
      <c r="G256" s="2" t="s">
        <v>27</v>
      </c>
      <c r="H256" s="2">
        <v>1</v>
      </c>
      <c r="I256" s="4">
        <v>58</v>
      </c>
      <c r="J256" s="2" t="s">
        <v>31</v>
      </c>
      <c r="K256">
        <f>H256*I256</f>
        <v>58</v>
      </c>
      <c r="L256" t="str">
        <f t="shared" si="6"/>
        <v>Feb</v>
      </c>
      <c r="M256">
        <f t="shared" si="7"/>
        <v>2</v>
      </c>
    </row>
    <row r="257" spans="1:13" x14ac:dyDescent="0.25">
      <c r="A257" s="2" t="s">
        <v>330</v>
      </c>
      <c r="B257" s="3">
        <v>45704</v>
      </c>
      <c r="C257" s="2" t="s">
        <v>61</v>
      </c>
      <c r="D257" s="2" t="s">
        <v>61</v>
      </c>
      <c r="E257" s="2" t="s">
        <v>62</v>
      </c>
      <c r="F257" s="2" t="s">
        <v>20</v>
      </c>
      <c r="G257" s="2" t="s">
        <v>21</v>
      </c>
      <c r="H257" s="2">
        <v>2</v>
      </c>
      <c r="I257" s="4">
        <v>8</v>
      </c>
      <c r="J257" s="2" t="s">
        <v>38</v>
      </c>
      <c r="K257">
        <f>H257*I257</f>
        <v>16</v>
      </c>
      <c r="L257" t="str">
        <f t="shared" si="6"/>
        <v>Feb</v>
      </c>
      <c r="M257">
        <f t="shared" si="7"/>
        <v>2</v>
      </c>
    </row>
    <row r="258" spans="1:13" x14ac:dyDescent="0.25">
      <c r="A258" s="2" t="s">
        <v>331</v>
      </c>
      <c r="B258" s="3">
        <v>45705</v>
      </c>
      <c r="C258" s="2" t="s">
        <v>67</v>
      </c>
      <c r="D258" s="2" t="s">
        <v>68</v>
      </c>
      <c r="E258" s="2" t="s">
        <v>49</v>
      </c>
      <c r="F258" s="2" t="s">
        <v>14</v>
      </c>
      <c r="G258" s="2" t="s">
        <v>69</v>
      </c>
      <c r="H258" s="2">
        <v>2</v>
      </c>
      <c r="I258" s="4">
        <v>205</v>
      </c>
      <c r="J258" s="2" t="s">
        <v>16</v>
      </c>
      <c r="K258">
        <f>H258*I258</f>
        <v>410</v>
      </c>
      <c r="L258" t="str">
        <f t="shared" si="6"/>
        <v>Feb</v>
      </c>
      <c r="M258">
        <f t="shared" si="7"/>
        <v>2</v>
      </c>
    </row>
    <row r="259" spans="1:13" x14ac:dyDescent="0.25">
      <c r="A259" s="2" t="s">
        <v>332</v>
      </c>
      <c r="B259" s="3">
        <v>45705</v>
      </c>
      <c r="C259" s="2" t="s">
        <v>190</v>
      </c>
      <c r="D259" s="2" t="s">
        <v>40</v>
      </c>
      <c r="E259" s="2" t="s">
        <v>19</v>
      </c>
      <c r="F259" s="2" t="s">
        <v>14</v>
      </c>
      <c r="G259" s="2" t="s">
        <v>191</v>
      </c>
      <c r="H259" s="2">
        <v>6</v>
      </c>
      <c r="I259" s="4">
        <v>142</v>
      </c>
      <c r="J259" s="2" t="s">
        <v>16</v>
      </c>
      <c r="K259">
        <f>H259*I259</f>
        <v>852</v>
      </c>
      <c r="L259" t="str">
        <f t="shared" ref="L259:L322" si="8">TEXT(B259,"mmm")</f>
        <v>Feb</v>
      </c>
      <c r="M259">
        <f t="shared" ref="M259:M322" si="9">MONTH(B259)</f>
        <v>2</v>
      </c>
    </row>
    <row r="260" spans="1:13" x14ac:dyDescent="0.25">
      <c r="A260" s="2" t="s">
        <v>333</v>
      </c>
      <c r="B260" s="3">
        <v>45705</v>
      </c>
      <c r="C260" s="2" t="s">
        <v>194</v>
      </c>
      <c r="D260" s="2" t="s">
        <v>98</v>
      </c>
      <c r="E260" s="2" t="s">
        <v>99</v>
      </c>
      <c r="F260" s="2" t="s">
        <v>20</v>
      </c>
      <c r="G260" s="2" t="s">
        <v>21</v>
      </c>
      <c r="H260" s="2">
        <v>2</v>
      </c>
      <c r="I260" s="4">
        <v>70</v>
      </c>
      <c r="J260" s="2" t="s">
        <v>16</v>
      </c>
      <c r="K260">
        <f>H260*I260</f>
        <v>140</v>
      </c>
      <c r="L260" t="str">
        <f t="shared" si="8"/>
        <v>Feb</v>
      </c>
      <c r="M260">
        <f t="shared" si="9"/>
        <v>2</v>
      </c>
    </row>
    <row r="261" spans="1:13" x14ac:dyDescent="0.25">
      <c r="A261" s="2" t="s">
        <v>334</v>
      </c>
      <c r="B261" s="3">
        <v>45706</v>
      </c>
      <c r="C261" s="2" t="s">
        <v>102</v>
      </c>
      <c r="D261" s="2" t="s">
        <v>102</v>
      </c>
      <c r="E261" s="2" t="s">
        <v>36</v>
      </c>
      <c r="F261" s="2" t="s">
        <v>20</v>
      </c>
      <c r="G261" s="2" t="s">
        <v>21</v>
      </c>
      <c r="H261" s="2">
        <v>3</v>
      </c>
      <c r="I261" s="4">
        <v>35</v>
      </c>
      <c r="J261" s="2" t="s">
        <v>38</v>
      </c>
      <c r="K261">
        <f>H261*I261</f>
        <v>105</v>
      </c>
      <c r="L261" t="str">
        <f t="shared" si="8"/>
        <v>Feb</v>
      </c>
      <c r="M261">
        <f t="shared" si="9"/>
        <v>2</v>
      </c>
    </row>
    <row r="262" spans="1:13" x14ac:dyDescent="0.25">
      <c r="A262" s="2" t="s">
        <v>335</v>
      </c>
      <c r="B262" s="3">
        <v>45706</v>
      </c>
      <c r="C262" s="2" t="s">
        <v>18</v>
      </c>
      <c r="D262" s="2" t="s">
        <v>18</v>
      </c>
      <c r="E262" s="2" t="s">
        <v>19</v>
      </c>
      <c r="F262" s="2" t="s">
        <v>20</v>
      </c>
      <c r="G262" s="2" t="s">
        <v>21</v>
      </c>
      <c r="H262" s="2">
        <v>3</v>
      </c>
      <c r="I262" s="4">
        <v>15</v>
      </c>
      <c r="J262" s="2" t="s">
        <v>31</v>
      </c>
      <c r="K262">
        <f>H262*I262</f>
        <v>45</v>
      </c>
      <c r="L262" t="str">
        <f t="shared" si="8"/>
        <v>Feb</v>
      </c>
      <c r="M262">
        <f t="shared" si="9"/>
        <v>2</v>
      </c>
    </row>
    <row r="263" spans="1:13" x14ac:dyDescent="0.25">
      <c r="A263" s="2" t="s">
        <v>336</v>
      </c>
      <c r="B263" s="3">
        <v>45706</v>
      </c>
      <c r="C263" s="2" t="s">
        <v>190</v>
      </c>
      <c r="D263" s="2" t="s">
        <v>40</v>
      </c>
      <c r="E263" s="2" t="s">
        <v>19</v>
      </c>
      <c r="F263" s="2" t="s">
        <v>14</v>
      </c>
      <c r="G263" s="2" t="s">
        <v>191</v>
      </c>
      <c r="H263" s="2">
        <v>1</v>
      </c>
      <c r="I263" s="4">
        <v>142</v>
      </c>
      <c r="J263" s="2" t="s">
        <v>38</v>
      </c>
      <c r="K263">
        <f>H263*I263</f>
        <v>142</v>
      </c>
      <c r="L263" t="str">
        <f t="shared" si="8"/>
        <v>Feb</v>
      </c>
      <c r="M263">
        <f t="shared" si="9"/>
        <v>2</v>
      </c>
    </row>
    <row r="264" spans="1:13" x14ac:dyDescent="0.25">
      <c r="A264" s="2" t="s">
        <v>337</v>
      </c>
      <c r="B264" s="3">
        <v>45706</v>
      </c>
      <c r="C264" s="2" t="s">
        <v>60</v>
      </c>
      <c r="D264" s="2" t="s">
        <v>61</v>
      </c>
      <c r="E264" s="2" t="s">
        <v>62</v>
      </c>
      <c r="F264" s="2" t="s">
        <v>14</v>
      </c>
      <c r="G264" s="2" t="s">
        <v>63</v>
      </c>
      <c r="H264" s="2">
        <v>1</v>
      </c>
      <c r="I264" s="4">
        <v>26</v>
      </c>
      <c r="J264" s="2" t="s">
        <v>16</v>
      </c>
      <c r="K264">
        <f>H264*I264</f>
        <v>26</v>
      </c>
      <c r="L264" t="str">
        <f t="shared" si="8"/>
        <v>Feb</v>
      </c>
      <c r="M264">
        <f t="shared" si="9"/>
        <v>2</v>
      </c>
    </row>
    <row r="265" spans="1:13" x14ac:dyDescent="0.25">
      <c r="A265" s="2" t="s">
        <v>338</v>
      </c>
      <c r="B265" s="3">
        <v>45706</v>
      </c>
      <c r="C265" s="2" t="s">
        <v>52</v>
      </c>
      <c r="D265" s="2" t="s">
        <v>30</v>
      </c>
      <c r="E265" s="2" t="s">
        <v>13</v>
      </c>
      <c r="F265" s="2" t="s">
        <v>14</v>
      </c>
      <c r="G265" s="2" t="s">
        <v>53</v>
      </c>
      <c r="H265" s="2">
        <v>1</v>
      </c>
      <c r="I265" s="4">
        <v>42</v>
      </c>
      <c r="J265" s="2" t="s">
        <v>16</v>
      </c>
      <c r="K265">
        <f>H265*I265</f>
        <v>42</v>
      </c>
      <c r="L265" t="str">
        <f t="shared" si="8"/>
        <v>Feb</v>
      </c>
      <c r="M265">
        <f t="shared" si="9"/>
        <v>2</v>
      </c>
    </row>
    <row r="266" spans="1:13" x14ac:dyDescent="0.25">
      <c r="A266" s="2" t="s">
        <v>339</v>
      </c>
      <c r="B266" s="3">
        <v>45707</v>
      </c>
      <c r="C266" s="2" t="s">
        <v>75</v>
      </c>
      <c r="D266" s="2" t="s">
        <v>75</v>
      </c>
      <c r="E266" s="2" t="s">
        <v>76</v>
      </c>
      <c r="F266" s="2" t="s">
        <v>20</v>
      </c>
      <c r="G266" s="2" t="s">
        <v>21</v>
      </c>
      <c r="H266" s="2">
        <v>3</v>
      </c>
      <c r="I266" s="4">
        <v>12</v>
      </c>
      <c r="J266" s="2" t="s">
        <v>16</v>
      </c>
      <c r="K266">
        <f>H266*I266</f>
        <v>36</v>
      </c>
      <c r="L266" t="str">
        <f t="shared" si="8"/>
        <v>Feb</v>
      </c>
      <c r="M266">
        <f t="shared" si="9"/>
        <v>2</v>
      </c>
    </row>
    <row r="267" spans="1:13" x14ac:dyDescent="0.25">
      <c r="A267" s="2" t="s">
        <v>340</v>
      </c>
      <c r="B267" s="3">
        <v>45707</v>
      </c>
      <c r="C267" s="2" t="s">
        <v>75</v>
      </c>
      <c r="D267" s="2" t="s">
        <v>75</v>
      </c>
      <c r="E267" s="2" t="s">
        <v>76</v>
      </c>
      <c r="F267" s="2" t="s">
        <v>20</v>
      </c>
      <c r="G267" s="2" t="s">
        <v>21</v>
      </c>
      <c r="H267" s="2">
        <v>12</v>
      </c>
      <c r="I267" s="4">
        <v>12</v>
      </c>
      <c r="J267" s="2" t="s">
        <v>16</v>
      </c>
      <c r="K267">
        <f>H267*I267</f>
        <v>144</v>
      </c>
      <c r="L267" t="str">
        <f t="shared" si="8"/>
        <v>Feb</v>
      </c>
      <c r="M267">
        <f t="shared" si="9"/>
        <v>2</v>
      </c>
    </row>
    <row r="268" spans="1:13" x14ac:dyDescent="0.25">
      <c r="A268" s="2" t="s">
        <v>341</v>
      </c>
      <c r="B268" s="3">
        <v>45707</v>
      </c>
      <c r="C268" s="2" t="s">
        <v>34</v>
      </c>
      <c r="D268" s="2" t="s">
        <v>35</v>
      </c>
      <c r="E268" s="2" t="s">
        <v>36</v>
      </c>
      <c r="F268" s="2" t="s">
        <v>14</v>
      </c>
      <c r="G268" s="2" t="s">
        <v>37</v>
      </c>
      <c r="H268" s="2">
        <v>2</v>
      </c>
      <c r="I268" s="4">
        <v>165</v>
      </c>
      <c r="J268" s="2" t="s">
        <v>38</v>
      </c>
      <c r="K268">
        <f>H268*I268</f>
        <v>330</v>
      </c>
      <c r="L268" t="str">
        <f t="shared" si="8"/>
        <v>Feb</v>
      </c>
      <c r="M268">
        <f t="shared" si="9"/>
        <v>2</v>
      </c>
    </row>
    <row r="269" spans="1:13" x14ac:dyDescent="0.25">
      <c r="A269" s="2" t="s">
        <v>342</v>
      </c>
      <c r="B269" s="3">
        <v>45707</v>
      </c>
      <c r="C269" s="2" t="s">
        <v>25</v>
      </c>
      <c r="D269" s="2" t="s">
        <v>25</v>
      </c>
      <c r="E269" s="2" t="s">
        <v>26</v>
      </c>
      <c r="F269" s="2" t="s">
        <v>20</v>
      </c>
      <c r="G269" s="2" t="s">
        <v>21</v>
      </c>
      <c r="H269" s="2">
        <v>1</v>
      </c>
      <c r="I269" s="4">
        <v>20</v>
      </c>
      <c r="J269" s="2" t="s">
        <v>16</v>
      </c>
      <c r="K269">
        <f>H269*I269</f>
        <v>20</v>
      </c>
      <c r="L269" t="str">
        <f t="shared" si="8"/>
        <v>Feb</v>
      </c>
      <c r="M269">
        <f t="shared" si="9"/>
        <v>2</v>
      </c>
    </row>
    <row r="270" spans="1:13" x14ac:dyDescent="0.25">
      <c r="A270" s="2" t="s">
        <v>343</v>
      </c>
      <c r="B270" s="3">
        <v>45708</v>
      </c>
      <c r="C270" s="2" t="s">
        <v>11</v>
      </c>
      <c r="D270" s="2" t="s">
        <v>12</v>
      </c>
      <c r="E270" s="2" t="s">
        <v>13</v>
      </c>
      <c r="F270" s="2" t="s">
        <v>14</v>
      </c>
      <c r="G270" s="2" t="s">
        <v>15</v>
      </c>
      <c r="H270" s="2">
        <v>1</v>
      </c>
      <c r="I270" s="4">
        <v>32</v>
      </c>
      <c r="J270" s="2" t="s">
        <v>16</v>
      </c>
      <c r="K270">
        <f>H270*I270</f>
        <v>32</v>
      </c>
      <c r="L270" t="str">
        <f t="shared" si="8"/>
        <v>Feb</v>
      </c>
      <c r="M270">
        <f t="shared" si="9"/>
        <v>2</v>
      </c>
    </row>
    <row r="271" spans="1:13" x14ac:dyDescent="0.25">
      <c r="A271" s="2" t="s">
        <v>344</v>
      </c>
      <c r="B271" s="3">
        <v>45708</v>
      </c>
      <c r="C271" s="2" t="s">
        <v>119</v>
      </c>
      <c r="D271" s="2" t="s">
        <v>120</v>
      </c>
      <c r="E271" s="2" t="s">
        <v>76</v>
      </c>
      <c r="F271" s="2" t="s">
        <v>14</v>
      </c>
      <c r="G271" s="2" t="s">
        <v>121</v>
      </c>
      <c r="H271" s="2">
        <v>2</v>
      </c>
      <c r="I271" s="4">
        <v>190</v>
      </c>
      <c r="J271" s="2" t="s">
        <v>31</v>
      </c>
      <c r="K271">
        <f>H271*I271</f>
        <v>380</v>
      </c>
      <c r="L271" t="str">
        <f t="shared" si="8"/>
        <v>Feb</v>
      </c>
      <c r="M271">
        <f t="shared" si="9"/>
        <v>2</v>
      </c>
    </row>
    <row r="272" spans="1:13" x14ac:dyDescent="0.25">
      <c r="A272" s="2" t="s">
        <v>345</v>
      </c>
      <c r="B272" s="3">
        <v>45709</v>
      </c>
      <c r="C272" s="2" t="s">
        <v>12</v>
      </c>
      <c r="D272" s="2" t="s">
        <v>12</v>
      </c>
      <c r="E272" s="2" t="s">
        <v>13</v>
      </c>
      <c r="F272" s="2" t="s">
        <v>20</v>
      </c>
      <c r="G272" s="2" t="s">
        <v>21</v>
      </c>
      <c r="H272" s="2">
        <v>3</v>
      </c>
      <c r="I272" s="4">
        <v>14</v>
      </c>
      <c r="J272" s="2" t="s">
        <v>16</v>
      </c>
      <c r="K272">
        <f>H272*I272</f>
        <v>42</v>
      </c>
      <c r="L272" t="str">
        <f t="shared" si="8"/>
        <v>Feb</v>
      </c>
      <c r="M272">
        <f t="shared" si="9"/>
        <v>2</v>
      </c>
    </row>
    <row r="273" spans="1:13" x14ac:dyDescent="0.25">
      <c r="A273" s="2" t="s">
        <v>346</v>
      </c>
      <c r="B273" s="3">
        <v>45709</v>
      </c>
      <c r="C273" s="2" t="s">
        <v>67</v>
      </c>
      <c r="D273" s="2" t="s">
        <v>68</v>
      </c>
      <c r="E273" s="2" t="s">
        <v>49</v>
      </c>
      <c r="F273" s="2" t="s">
        <v>14</v>
      </c>
      <c r="G273" s="2" t="s">
        <v>69</v>
      </c>
      <c r="H273" s="2">
        <v>5</v>
      </c>
      <c r="I273" s="4">
        <v>205</v>
      </c>
      <c r="J273" s="2" t="s">
        <v>31</v>
      </c>
      <c r="K273">
        <f>H273*I273</f>
        <v>1025</v>
      </c>
      <c r="L273" t="str">
        <f t="shared" si="8"/>
        <v>Feb</v>
      </c>
      <c r="M273">
        <f t="shared" si="9"/>
        <v>2</v>
      </c>
    </row>
    <row r="274" spans="1:13" x14ac:dyDescent="0.25">
      <c r="A274" s="2" t="s">
        <v>347</v>
      </c>
      <c r="B274" s="3">
        <v>45709</v>
      </c>
      <c r="C274" s="2" t="s">
        <v>97</v>
      </c>
      <c r="D274" s="2" t="s">
        <v>98</v>
      </c>
      <c r="E274" s="2" t="s">
        <v>99</v>
      </c>
      <c r="F274" s="2" t="s">
        <v>14</v>
      </c>
      <c r="G274" s="2" t="s">
        <v>37</v>
      </c>
      <c r="H274" s="2">
        <v>1</v>
      </c>
      <c r="I274" s="4">
        <v>182</v>
      </c>
      <c r="J274" s="2" t="s">
        <v>16</v>
      </c>
      <c r="K274">
        <f>H274*I274</f>
        <v>182</v>
      </c>
      <c r="L274" t="str">
        <f t="shared" si="8"/>
        <v>Feb</v>
      </c>
      <c r="M274">
        <f t="shared" si="9"/>
        <v>2</v>
      </c>
    </row>
    <row r="275" spans="1:13" x14ac:dyDescent="0.25">
      <c r="A275" s="2" t="s">
        <v>348</v>
      </c>
      <c r="B275" s="3">
        <v>45709</v>
      </c>
      <c r="C275" s="2" t="s">
        <v>30</v>
      </c>
      <c r="D275" s="2" t="s">
        <v>30</v>
      </c>
      <c r="E275" s="2" t="s">
        <v>13</v>
      </c>
      <c r="F275" s="2" t="s">
        <v>20</v>
      </c>
      <c r="G275" s="2" t="s">
        <v>21</v>
      </c>
      <c r="H275" s="2">
        <v>1</v>
      </c>
      <c r="I275" s="4">
        <v>15</v>
      </c>
      <c r="J275" s="2" t="s">
        <v>16</v>
      </c>
      <c r="K275">
        <f>H275*I275</f>
        <v>15</v>
      </c>
      <c r="L275" t="str">
        <f t="shared" si="8"/>
        <v>Feb</v>
      </c>
      <c r="M275">
        <f t="shared" si="9"/>
        <v>2</v>
      </c>
    </row>
    <row r="276" spans="1:13" x14ac:dyDescent="0.25">
      <c r="A276" s="2" t="s">
        <v>349</v>
      </c>
      <c r="B276" s="3">
        <v>45710</v>
      </c>
      <c r="C276" s="2" t="s">
        <v>11</v>
      </c>
      <c r="D276" s="2" t="s">
        <v>12</v>
      </c>
      <c r="E276" s="2" t="s">
        <v>13</v>
      </c>
      <c r="F276" s="2" t="s">
        <v>14</v>
      </c>
      <c r="G276" s="2" t="s">
        <v>15</v>
      </c>
      <c r="H276" s="2">
        <v>4</v>
      </c>
      <c r="I276" s="4">
        <v>32</v>
      </c>
      <c r="J276" s="2" t="s">
        <v>22</v>
      </c>
      <c r="K276">
        <f>H276*I276</f>
        <v>128</v>
      </c>
      <c r="L276" t="str">
        <f t="shared" si="8"/>
        <v>Feb</v>
      </c>
      <c r="M276">
        <f t="shared" si="9"/>
        <v>2</v>
      </c>
    </row>
    <row r="277" spans="1:13" x14ac:dyDescent="0.25">
      <c r="A277" s="2" t="s">
        <v>350</v>
      </c>
      <c r="B277" s="3">
        <v>45710</v>
      </c>
      <c r="C277" s="2" t="s">
        <v>101</v>
      </c>
      <c r="D277" s="2" t="s">
        <v>102</v>
      </c>
      <c r="E277" s="2" t="s">
        <v>36</v>
      </c>
      <c r="F277" s="2" t="s">
        <v>14</v>
      </c>
      <c r="G277" s="2" t="s">
        <v>103</v>
      </c>
      <c r="H277" s="2">
        <v>1</v>
      </c>
      <c r="I277" s="4">
        <v>92</v>
      </c>
      <c r="J277" s="2" t="s">
        <v>38</v>
      </c>
      <c r="K277">
        <f>H277*I277</f>
        <v>92</v>
      </c>
      <c r="L277" t="str">
        <f t="shared" si="8"/>
        <v>Feb</v>
      </c>
      <c r="M277">
        <f t="shared" si="9"/>
        <v>2</v>
      </c>
    </row>
    <row r="278" spans="1:13" x14ac:dyDescent="0.25">
      <c r="A278" s="2" t="s">
        <v>351</v>
      </c>
      <c r="B278" s="3">
        <v>45710</v>
      </c>
      <c r="C278" s="2" t="s">
        <v>101</v>
      </c>
      <c r="D278" s="2" t="s">
        <v>102</v>
      </c>
      <c r="E278" s="2" t="s">
        <v>36</v>
      </c>
      <c r="F278" s="2" t="s">
        <v>14</v>
      </c>
      <c r="G278" s="2" t="s">
        <v>103</v>
      </c>
      <c r="H278" s="2">
        <v>1</v>
      </c>
      <c r="I278" s="4">
        <v>92</v>
      </c>
      <c r="J278" s="2" t="s">
        <v>38</v>
      </c>
      <c r="K278">
        <f>H278*I278</f>
        <v>92</v>
      </c>
      <c r="L278" t="str">
        <f t="shared" si="8"/>
        <v>Feb</v>
      </c>
      <c r="M278">
        <f t="shared" si="9"/>
        <v>2</v>
      </c>
    </row>
    <row r="279" spans="1:13" x14ac:dyDescent="0.25">
      <c r="A279" s="2" t="s">
        <v>352</v>
      </c>
      <c r="B279" s="3">
        <v>45710</v>
      </c>
      <c r="C279" s="2" t="s">
        <v>124</v>
      </c>
      <c r="D279" s="2" t="s">
        <v>18</v>
      </c>
      <c r="E279" s="2" t="s">
        <v>19</v>
      </c>
      <c r="F279" s="2" t="s">
        <v>14</v>
      </c>
      <c r="G279" s="2" t="s">
        <v>125</v>
      </c>
      <c r="H279" s="2">
        <v>6</v>
      </c>
      <c r="I279" s="4">
        <v>45</v>
      </c>
      <c r="J279" s="2" t="s">
        <v>16</v>
      </c>
      <c r="K279">
        <f>H279*I279</f>
        <v>270</v>
      </c>
      <c r="L279" t="str">
        <f t="shared" si="8"/>
        <v>Feb</v>
      </c>
      <c r="M279">
        <f t="shared" si="9"/>
        <v>2</v>
      </c>
    </row>
    <row r="280" spans="1:13" x14ac:dyDescent="0.25">
      <c r="A280" s="2" t="s">
        <v>353</v>
      </c>
      <c r="B280" s="3">
        <v>45710</v>
      </c>
      <c r="C280" s="2" t="s">
        <v>40</v>
      </c>
      <c r="D280" s="2" t="s">
        <v>40</v>
      </c>
      <c r="E280" s="2" t="s">
        <v>19</v>
      </c>
      <c r="F280" s="2" t="s">
        <v>20</v>
      </c>
      <c r="G280" s="2" t="s">
        <v>21</v>
      </c>
      <c r="H280" s="2">
        <v>3</v>
      </c>
      <c r="I280" s="4">
        <v>46</v>
      </c>
      <c r="J280" s="2" t="s">
        <v>38</v>
      </c>
      <c r="K280">
        <f>H280*I280</f>
        <v>138</v>
      </c>
      <c r="L280" t="str">
        <f t="shared" si="8"/>
        <v>Feb</v>
      </c>
      <c r="M280">
        <f t="shared" si="9"/>
        <v>2</v>
      </c>
    </row>
    <row r="281" spans="1:13" x14ac:dyDescent="0.25">
      <c r="A281" s="2" t="s">
        <v>354</v>
      </c>
      <c r="B281" s="3">
        <v>45710</v>
      </c>
      <c r="C281" s="2" t="s">
        <v>97</v>
      </c>
      <c r="D281" s="2" t="s">
        <v>98</v>
      </c>
      <c r="E281" s="2" t="s">
        <v>99</v>
      </c>
      <c r="F281" s="2" t="s">
        <v>14</v>
      </c>
      <c r="G281" s="2" t="s">
        <v>37</v>
      </c>
      <c r="H281" s="2">
        <v>1</v>
      </c>
      <c r="I281" s="4">
        <v>182</v>
      </c>
      <c r="J281" s="2" t="s">
        <v>31</v>
      </c>
      <c r="K281">
        <f>H281*I281</f>
        <v>182</v>
      </c>
      <c r="L281" t="str">
        <f t="shared" si="8"/>
        <v>Feb</v>
      </c>
      <c r="M281">
        <f t="shared" si="9"/>
        <v>2</v>
      </c>
    </row>
    <row r="282" spans="1:13" x14ac:dyDescent="0.25">
      <c r="A282" s="2" t="s">
        <v>355</v>
      </c>
      <c r="B282" s="3">
        <v>45710</v>
      </c>
      <c r="C282" s="2" t="s">
        <v>52</v>
      </c>
      <c r="D282" s="2" t="s">
        <v>30</v>
      </c>
      <c r="E282" s="2" t="s">
        <v>13</v>
      </c>
      <c r="F282" s="2" t="s">
        <v>14</v>
      </c>
      <c r="G282" s="2" t="s">
        <v>53</v>
      </c>
      <c r="H282" s="2">
        <v>4</v>
      </c>
      <c r="I282" s="4">
        <v>42</v>
      </c>
      <c r="J282" s="2" t="s">
        <v>16</v>
      </c>
      <c r="K282">
        <f>H282*I282</f>
        <v>168</v>
      </c>
      <c r="L282" t="str">
        <f t="shared" si="8"/>
        <v>Feb</v>
      </c>
      <c r="M282">
        <f t="shared" si="9"/>
        <v>2</v>
      </c>
    </row>
    <row r="283" spans="1:13" x14ac:dyDescent="0.25">
      <c r="A283" s="2" t="s">
        <v>356</v>
      </c>
      <c r="B283" s="3">
        <v>45710</v>
      </c>
      <c r="C283" s="2" t="s">
        <v>52</v>
      </c>
      <c r="D283" s="2" t="s">
        <v>30</v>
      </c>
      <c r="E283" s="2" t="s">
        <v>13</v>
      </c>
      <c r="F283" s="2" t="s">
        <v>14</v>
      </c>
      <c r="G283" s="2" t="s">
        <v>53</v>
      </c>
      <c r="H283" s="2">
        <v>2</v>
      </c>
      <c r="I283" s="4">
        <v>42</v>
      </c>
      <c r="J283" s="2" t="s">
        <v>16</v>
      </c>
      <c r="K283">
        <f>H283*I283</f>
        <v>84</v>
      </c>
      <c r="L283" t="str">
        <f t="shared" si="8"/>
        <v>Feb</v>
      </c>
      <c r="M283">
        <f t="shared" si="9"/>
        <v>2</v>
      </c>
    </row>
    <row r="284" spans="1:13" x14ac:dyDescent="0.25">
      <c r="A284" s="2" t="s">
        <v>357</v>
      </c>
      <c r="B284" s="3">
        <v>45711</v>
      </c>
      <c r="C284" s="2" t="s">
        <v>67</v>
      </c>
      <c r="D284" s="2" t="s">
        <v>68</v>
      </c>
      <c r="E284" s="2" t="s">
        <v>49</v>
      </c>
      <c r="F284" s="2" t="s">
        <v>14</v>
      </c>
      <c r="G284" s="2" t="s">
        <v>69</v>
      </c>
      <c r="H284" s="2">
        <v>2</v>
      </c>
      <c r="I284" s="4">
        <v>205</v>
      </c>
      <c r="J284" s="2" t="s">
        <v>31</v>
      </c>
      <c r="K284">
        <f>H284*I284</f>
        <v>410</v>
      </c>
      <c r="L284" t="str">
        <f t="shared" si="8"/>
        <v>Feb</v>
      </c>
      <c r="M284">
        <f t="shared" si="9"/>
        <v>2</v>
      </c>
    </row>
    <row r="285" spans="1:13" x14ac:dyDescent="0.25">
      <c r="A285" s="2" t="s">
        <v>358</v>
      </c>
      <c r="B285" s="3">
        <v>45711</v>
      </c>
      <c r="C285" s="2" t="s">
        <v>74</v>
      </c>
      <c r="D285" s="2" t="s">
        <v>75</v>
      </c>
      <c r="E285" s="2" t="s">
        <v>76</v>
      </c>
      <c r="F285" s="2" t="s">
        <v>14</v>
      </c>
      <c r="G285" s="2" t="s">
        <v>77</v>
      </c>
      <c r="H285" s="2">
        <v>3</v>
      </c>
      <c r="I285" s="4">
        <v>32</v>
      </c>
      <c r="J285" s="2" t="s">
        <v>16</v>
      </c>
      <c r="K285">
        <f>H285*I285</f>
        <v>96</v>
      </c>
      <c r="L285" t="str">
        <f t="shared" si="8"/>
        <v>Feb</v>
      </c>
      <c r="M285">
        <f t="shared" si="9"/>
        <v>2</v>
      </c>
    </row>
    <row r="286" spans="1:13" x14ac:dyDescent="0.25">
      <c r="A286" s="2" t="s">
        <v>359</v>
      </c>
      <c r="B286" s="3">
        <v>45711</v>
      </c>
      <c r="C286" s="2" t="s">
        <v>101</v>
      </c>
      <c r="D286" s="2" t="s">
        <v>102</v>
      </c>
      <c r="E286" s="2" t="s">
        <v>36</v>
      </c>
      <c r="F286" s="2" t="s">
        <v>14</v>
      </c>
      <c r="G286" s="2" t="s">
        <v>103</v>
      </c>
      <c r="H286" s="2">
        <v>6</v>
      </c>
      <c r="I286" s="4">
        <v>92</v>
      </c>
      <c r="J286" s="2" t="s">
        <v>31</v>
      </c>
      <c r="K286">
        <f>H286*I286</f>
        <v>552</v>
      </c>
      <c r="L286" t="str">
        <f t="shared" si="8"/>
        <v>Feb</v>
      </c>
      <c r="M286">
        <f t="shared" si="9"/>
        <v>2</v>
      </c>
    </row>
    <row r="287" spans="1:13" x14ac:dyDescent="0.25">
      <c r="A287" s="2" t="s">
        <v>360</v>
      </c>
      <c r="B287" s="3">
        <v>45711</v>
      </c>
      <c r="C287" s="2" t="s">
        <v>18</v>
      </c>
      <c r="D287" s="2" t="s">
        <v>18</v>
      </c>
      <c r="E287" s="2" t="s">
        <v>19</v>
      </c>
      <c r="F287" s="2" t="s">
        <v>20</v>
      </c>
      <c r="G287" s="2" t="s">
        <v>21</v>
      </c>
      <c r="H287" s="2">
        <v>1</v>
      </c>
      <c r="I287" s="4">
        <v>15</v>
      </c>
      <c r="J287" s="2" t="s">
        <v>31</v>
      </c>
      <c r="K287">
        <f>H287*I287</f>
        <v>15</v>
      </c>
      <c r="L287" t="str">
        <f t="shared" si="8"/>
        <v>Feb</v>
      </c>
      <c r="M287">
        <f t="shared" si="9"/>
        <v>2</v>
      </c>
    </row>
    <row r="288" spans="1:13" x14ac:dyDescent="0.25">
      <c r="A288" s="2" t="s">
        <v>361</v>
      </c>
      <c r="B288" s="3">
        <v>45711</v>
      </c>
      <c r="C288" s="2" t="s">
        <v>80</v>
      </c>
      <c r="D288" s="2" t="s">
        <v>80</v>
      </c>
      <c r="E288" s="2" t="s">
        <v>26</v>
      </c>
      <c r="F288" s="2" t="s">
        <v>20</v>
      </c>
      <c r="G288" s="2" t="s">
        <v>21</v>
      </c>
      <c r="H288" s="2">
        <v>4</v>
      </c>
      <c r="I288" s="4">
        <v>50</v>
      </c>
      <c r="J288" s="2" t="s">
        <v>31</v>
      </c>
      <c r="K288">
        <f>H288*I288</f>
        <v>200</v>
      </c>
      <c r="L288" t="str">
        <f t="shared" si="8"/>
        <v>Feb</v>
      </c>
      <c r="M288">
        <f t="shared" si="9"/>
        <v>2</v>
      </c>
    </row>
    <row r="289" spans="1:13" x14ac:dyDescent="0.25">
      <c r="A289" s="2" t="s">
        <v>362</v>
      </c>
      <c r="B289" s="3">
        <v>45711</v>
      </c>
      <c r="C289" s="2" t="s">
        <v>24</v>
      </c>
      <c r="D289" s="2" t="s">
        <v>25</v>
      </c>
      <c r="E289" s="2" t="s">
        <v>26</v>
      </c>
      <c r="F289" s="2" t="s">
        <v>14</v>
      </c>
      <c r="G289" s="2" t="s">
        <v>27</v>
      </c>
      <c r="H289" s="2">
        <v>1</v>
      </c>
      <c r="I289" s="4">
        <v>58</v>
      </c>
      <c r="J289" s="2" t="s">
        <v>16</v>
      </c>
      <c r="K289">
        <f>H289*I289</f>
        <v>58</v>
      </c>
      <c r="L289" t="str">
        <f t="shared" si="8"/>
        <v>Feb</v>
      </c>
      <c r="M289">
        <f t="shared" si="9"/>
        <v>2</v>
      </c>
    </row>
    <row r="290" spans="1:13" x14ac:dyDescent="0.25">
      <c r="A290" s="2" t="s">
        <v>363</v>
      </c>
      <c r="B290" s="3">
        <v>45711</v>
      </c>
      <c r="C290" s="2" t="s">
        <v>61</v>
      </c>
      <c r="D290" s="2" t="s">
        <v>61</v>
      </c>
      <c r="E290" s="2" t="s">
        <v>62</v>
      </c>
      <c r="F290" s="2" t="s">
        <v>20</v>
      </c>
      <c r="G290" s="2" t="s">
        <v>21</v>
      </c>
      <c r="H290" s="2">
        <v>2</v>
      </c>
      <c r="I290" s="4">
        <v>8</v>
      </c>
      <c r="J290" s="2" t="s">
        <v>22</v>
      </c>
      <c r="K290">
        <f>H290*I290</f>
        <v>16</v>
      </c>
      <c r="L290" t="str">
        <f t="shared" si="8"/>
        <v>Feb</v>
      </c>
      <c r="M290">
        <f t="shared" si="9"/>
        <v>2</v>
      </c>
    </row>
    <row r="291" spans="1:13" x14ac:dyDescent="0.25">
      <c r="A291" s="2" t="s">
        <v>364</v>
      </c>
      <c r="B291" s="3">
        <v>45711</v>
      </c>
      <c r="C291" s="2" t="s">
        <v>30</v>
      </c>
      <c r="D291" s="2" t="s">
        <v>30</v>
      </c>
      <c r="E291" s="2" t="s">
        <v>13</v>
      </c>
      <c r="F291" s="2" t="s">
        <v>20</v>
      </c>
      <c r="G291" s="2" t="s">
        <v>21</v>
      </c>
      <c r="H291" s="2">
        <v>2</v>
      </c>
      <c r="I291" s="4">
        <v>15</v>
      </c>
      <c r="J291" s="2" t="s">
        <v>16</v>
      </c>
      <c r="K291">
        <f>H291*I291</f>
        <v>30</v>
      </c>
      <c r="L291" t="str">
        <f t="shared" si="8"/>
        <v>Feb</v>
      </c>
      <c r="M291">
        <f t="shared" si="9"/>
        <v>2</v>
      </c>
    </row>
    <row r="292" spans="1:13" x14ac:dyDescent="0.25">
      <c r="A292" s="2" t="s">
        <v>365</v>
      </c>
      <c r="B292" s="3">
        <v>45712</v>
      </c>
      <c r="C292" s="2" t="s">
        <v>86</v>
      </c>
      <c r="D292" s="2" t="s">
        <v>48</v>
      </c>
      <c r="E292" s="2" t="s">
        <v>49</v>
      </c>
      <c r="F292" s="2" t="s">
        <v>14</v>
      </c>
      <c r="G292" s="2" t="s">
        <v>87</v>
      </c>
      <c r="H292" s="2">
        <v>2</v>
      </c>
      <c r="I292" s="4">
        <v>125</v>
      </c>
      <c r="J292" s="2" t="s">
        <v>38</v>
      </c>
      <c r="K292">
        <f>H292*I292</f>
        <v>250</v>
      </c>
      <c r="L292" t="str">
        <f t="shared" si="8"/>
        <v>Feb</v>
      </c>
      <c r="M292">
        <f t="shared" si="9"/>
        <v>2</v>
      </c>
    </row>
    <row r="293" spans="1:13" x14ac:dyDescent="0.25">
      <c r="A293" s="2" t="s">
        <v>366</v>
      </c>
      <c r="B293" s="3">
        <v>45712</v>
      </c>
      <c r="C293" s="2" t="s">
        <v>67</v>
      </c>
      <c r="D293" s="2" t="s">
        <v>68</v>
      </c>
      <c r="E293" s="2" t="s">
        <v>49</v>
      </c>
      <c r="F293" s="2" t="s">
        <v>14</v>
      </c>
      <c r="G293" s="2" t="s">
        <v>69</v>
      </c>
      <c r="H293" s="2">
        <v>4</v>
      </c>
      <c r="I293" s="4">
        <v>205</v>
      </c>
      <c r="J293" s="2" t="s">
        <v>38</v>
      </c>
      <c r="K293">
        <f>H293*I293</f>
        <v>820</v>
      </c>
      <c r="L293" t="str">
        <f t="shared" si="8"/>
        <v>Feb</v>
      </c>
      <c r="M293">
        <f t="shared" si="9"/>
        <v>2</v>
      </c>
    </row>
    <row r="294" spans="1:13" x14ac:dyDescent="0.25">
      <c r="A294" s="2" t="s">
        <v>367</v>
      </c>
      <c r="B294" s="3">
        <v>45712</v>
      </c>
      <c r="C294" s="2" t="s">
        <v>74</v>
      </c>
      <c r="D294" s="2" t="s">
        <v>75</v>
      </c>
      <c r="E294" s="2" t="s">
        <v>76</v>
      </c>
      <c r="F294" s="2" t="s">
        <v>14</v>
      </c>
      <c r="G294" s="2" t="s">
        <v>77</v>
      </c>
      <c r="H294" s="2">
        <v>6</v>
      </c>
      <c r="I294" s="4">
        <v>32</v>
      </c>
      <c r="J294" s="2" t="s">
        <v>16</v>
      </c>
      <c r="K294">
        <f>H294*I294</f>
        <v>192</v>
      </c>
      <c r="L294" t="str">
        <f t="shared" si="8"/>
        <v>Feb</v>
      </c>
      <c r="M294">
        <f t="shared" si="9"/>
        <v>2</v>
      </c>
    </row>
    <row r="295" spans="1:13" x14ac:dyDescent="0.25">
      <c r="A295" s="2" t="s">
        <v>368</v>
      </c>
      <c r="B295" s="3">
        <v>45712</v>
      </c>
      <c r="C295" s="2" t="s">
        <v>109</v>
      </c>
      <c r="D295" s="2" t="s">
        <v>109</v>
      </c>
      <c r="E295" s="2" t="s">
        <v>13</v>
      </c>
      <c r="F295" s="2" t="s">
        <v>20</v>
      </c>
      <c r="G295" s="2" t="s">
        <v>21</v>
      </c>
      <c r="H295" s="2">
        <v>4</v>
      </c>
      <c r="I295" s="4">
        <v>20</v>
      </c>
      <c r="J295" s="2" t="s">
        <v>22</v>
      </c>
      <c r="K295">
        <f>H295*I295</f>
        <v>80</v>
      </c>
      <c r="L295" t="str">
        <f t="shared" si="8"/>
        <v>Feb</v>
      </c>
      <c r="M295">
        <f t="shared" si="9"/>
        <v>2</v>
      </c>
    </row>
    <row r="296" spans="1:13" x14ac:dyDescent="0.25">
      <c r="A296" s="2" t="s">
        <v>369</v>
      </c>
      <c r="B296" s="3">
        <v>45712</v>
      </c>
      <c r="C296" s="2" t="s">
        <v>109</v>
      </c>
      <c r="D296" s="2" t="s">
        <v>109</v>
      </c>
      <c r="E296" s="2" t="s">
        <v>13</v>
      </c>
      <c r="F296" s="2" t="s">
        <v>20</v>
      </c>
      <c r="G296" s="2" t="s">
        <v>21</v>
      </c>
      <c r="H296" s="2">
        <v>1</v>
      </c>
      <c r="I296" s="4">
        <v>20</v>
      </c>
      <c r="J296" s="2" t="s">
        <v>22</v>
      </c>
      <c r="K296">
        <f>H296*I296</f>
        <v>20</v>
      </c>
      <c r="L296" t="str">
        <f t="shared" si="8"/>
        <v>Feb</v>
      </c>
      <c r="M296">
        <f t="shared" si="9"/>
        <v>2</v>
      </c>
    </row>
    <row r="297" spans="1:13" x14ac:dyDescent="0.25">
      <c r="A297" s="2" t="s">
        <v>370</v>
      </c>
      <c r="B297" s="3">
        <v>45713</v>
      </c>
      <c r="C297" s="2" t="s">
        <v>11</v>
      </c>
      <c r="D297" s="2" t="s">
        <v>12</v>
      </c>
      <c r="E297" s="2" t="s">
        <v>13</v>
      </c>
      <c r="F297" s="2" t="s">
        <v>14</v>
      </c>
      <c r="G297" s="2" t="s">
        <v>15</v>
      </c>
      <c r="H297" s="2">
        <v>2</v>
      </c>
      <c r="I297" s="4">
        <v>32</v>
      </c>
      <c r="J297" s="2" t="s">
        <v>38</v>
      </c>
      <c r="K297">
        <f>H297*I297</f>
        <v>64</v>
      </c>
      <c r="L297" t="str">
        <f t="shared" si="8"/>
        <v>Feb</v>
      </c>
      <c r="M297">
        <f t="shared" si="9"/>
        <v>2</v>
      </c>
    </row>
    <row r="298" spans="1:13" x14ac:dyDescent="0.25">
      <c r="A298" s="2" t="s">
        <v>371</v>
      </c>
      <c r="B298" s="3">
        <v>45713</v>
      </c>
      <c r="C298" s="2" t="s">
        <v>86</v>
      </c>
      <c r="D298" s="2" t="s">
        <v>48</v>
      </c>
      <c r="E298" s="2" t="s">
        <v>49</v>
      </c>
      <c r="F298" s="2" t="s">
        <v>14</v>
      </c>
      <c r="G298" s="2" t="s">
        <v>87</v>
      </c>
      <c r="H298" s="2">
        <v>5</v>
      </c>
      <c r="I298" s="4">
        <v>125</v>
      </c>
      <c r="J298" s="2" t="s">
        <v>16</v>
      </c>
      <c r="K298">
        <f>H298*I298</f>
        <v>625</v>
      </c>
      <c r="L298" t="str">
        <f t="shared" si="8"/>
        <v>Feb</v>
      </c>
      <c r="M298">
        <f t="shared" si="9"/>
        <v>2</v>
      </c>
    </row>
    <row r="299" spans="1:13" x14ac:dyDescent="0.25">
      <c r="A299" s="2" t="s">
        <v>372</v>
      </c>
      <c r="B299" s="3">
        <v>45713</v>
      </c>
      <c r="C299" s="2" t="s">
        <v>67</v>
      </c>
      <c r="D299" s="2" t="s">
        <v>68</v>
      </c>
      <c r="E299" s="2" t="s">
        <v>49</v>
      </c>
      <c r="F299" s="2" t="s">
        <v>14</v>
      </c>
      <c r="G299" s="2" t="s">
        <v>69</v>
      </c>
      <c r="H299" s="2">
        <v>2</v>
      </c>
      <c r="I299" s="4">
        <v>205</v>
      </c>
      <c r="J299" s="2" t="s">
        <v>16</v>
      </c>
      <c r="K299">
        <f>H299*I299</f>
        <v>410</v>
      </c>
      <c r="L299" t="str">
        <f t="shared" si="8"/>
        <v>Feb</v>
      </c>
      <c r="M299">
        <f t="shared" si="9"/>
        <v>2</v>
      </c>
    </row>
    <row r="300" spans="1:13" x14ac:dyDescent="0.25">
      <c r="A300" s="2" t="s">
        <v>373</v>
      </c>
      <c r="B300" s="3">
        <v>45713</v>
      </c>
      <c r="C300" s="2" t="s">
        <v>119</v>
      </c>
      <c r="D300" s="2" t="s">
        <v>120</v>
      </c>
      <c r="E300" s="2" t="s">
        <v>76</v>
      </c>
      <c r="F300" s="2" t="s">
        <v>14</v>
      </c>
      <c r="G300" s="2" t="s">
        <v>121</v>
      </c>
      <c r="H300" s="2">
        <v>6</v>
      </c>
      <c r="I300" s="4">
        <v>190</v>
      </c>
      <c r="J300" s="2" t="s">
        <v>38</v>
      </c>
      <c r="K300">
        <f>H300*I300</f>
        <v>1140</v>
      </c>
      <c r="L300" t="str">
        <f t="shared" si="8"/>
        <v>Feb</v>
      </c>
      <c r="M300">
        <f t="shared" si="9"/>
        <v>2</v>
      </c>
    </row>
    <row r="301" spans="1:13" x14ac:dyDescent="0.25">
      <c r="A301" s="2" t="s">
        <v>374</v>
      </c>
      <c r="B301" s="3">
        <v>45713</v>
      </c>
      <c r="C301" s="2" t="s">
        <v>35</v>
      </c>
      <c r="D301" s="2" t="s">
        <v>35</v>
      </c>
      <c r="E301" s="2" t="s">
        <v>36</v>
      </c>
      <c r="F301" s="2" t="s">
        <v>20</v>
      </c>
      <c r="G301" s="2" t="s">
        <v>21</v>
      </c>
      <c r="H301" s="2">
        <v>1</v>
      </c>
      <c r="I301" s="4">
        <v>58</v>
      </c>
      <c r="J301" s="2" t="s">
        <v>22</v>
      </c>
      <c r="K301">
        <f>H301*I301</f>
        <v>58</v>
      </c>
      <c r="L301" t="str">
        <f t="shared" si="8"/>
        <v>Feb</v>
      </c>
      <c r="M301">
        <f t="shared" si="9"/>
        <v>2</v>
      </c>
    </row>
    <row r="302" spans="1:13" x14ac:dyDescent="0.25">
      <c r="A302" s="2" t="s">
        <v>375</v>
      </c>
      <c r="B302" s="3">
        <v>45713</v>
      </c>
      <c r="C302" s="2" t="s">
        <v>124</v>
      </c>
      <c r="D302" s="2" t="s">
        <v>18</v>
      </c>
      <c r="E302" s="2" t="s">
        <v>19</v>
      </c>
      <c r="F302" s="2" t="s">
        <v>14</v>
      </c>
      <c r="G302" s="2" t="s">
        <v>125</v>
      </c>
      <c r="H302" s="2">
        <v>6</v>
      </c>
      <c r="I302" s="4">
        <v>45</v>
      </c>
      <c r="J302" s="2" t="s">
        <v>22</v>
      </c>
      <c r="K302">
        <f>H302*I302</f>
        <v>270</v>
      </c>
      <c r="L302" t="str">
        <f t="shared" si="8"/>
        <v>Feb</v>
      </c>
      <c r="M302">
        <f t="shared" si="9"/>
        <v>2</v>
      </c>
    </row>
    <row r="303" spans="1:13" x14ac:dyDescent="0.25">
      <c r="A303" s="2" t="s">
        <v>376</v>
      </c>
      <c r="B303" s="3">
        <v>45713</v>
      </c>
      <c r="C303" s="2" t="s">
        <v>18</v>
      </c>
      <c r="D303" s="2" t="s">
        <v>18</v>
      </c>
      <c r="E303" s="2" t="s">
        <v>19</v>
      </c>
      <c r="F303" s="2" t="s">
        <v>20</v>
      </c>
      <c r="G303" s="2" t="s">
        <v>21</v>
      </c>
      <c r="H303" s="2">
        <v>1</v>
      </c>
      <c r="I303" s="4">
        <v>15</v>
      </c>
      <c r="J303" s="2" t="s">
        <v>38</v>
      </c>
      <c r="K303">
        <f>H303*I303</f>
        <v>15</v>
      </c>
      <c r="L303" t="str">
        <f t="shared" si="8"/>
        <v>Feb</v>
      </c>
      <c r="M303">
        <f t="shared" si="9"/>
        <v>2</v>
      </c>
    </row>
    <row r="304" spans="1:13" x14ac:dyDescent="0.25">
      <c r="A304" s="2" t="s">
        <v>377</v>
      </c>
      <c r="B304" s="3">
        <v>45713</v>
      </c>
      <c r="C304" s="2" t="s">
        <v>190</v>
      </c>
      <c r="D304" s="2" t="s">
        <v>40</v>
      </c>
      <c r="E304" s="2" t="s">
        <v>19</v>
      </c>
      <c r="F304" s="2" t="s">
        <v>14</v>
      </c>
      <c r="G304" s="2" t="s">
        <v>191</v>
      </c>
      <c r="H304" s="2">
        <v>3</v>
      </c>
      <c r="I304" s="4">
        <v>142</v>
      </c>
      <c r="J304" s="2" t="s">
        <v>16</v>
      </c>
      <c r="K304">
        <f>H304*I304</f>
        <v>426</v>
      </c>
      <c r="L304" t="str">
        <f t="shared" si="8"/>
        <v>Feb</v>
      </c>
      <c r="M304">
        <f t="shared" si="9"/>
        <v>2</v>
      </c>
    </row>
    <row r="305" spans="1:13" x14ac:dyDescent="0.25">
      <c r="A305" s="2" t="s">
        <v>378</v>
      </c>
      <c r="B305" s="3">
        <v>45714</v>
      </c>
      <c r="C305" s="2" t="s">
        <v>12</v>
      </c>
      <c r="D305" s="2" t="s">
        <v>12</v>
      </c>
      <c r="E305" s="2" t="s">
        <v>13</v>
      </c>
      <c r="F305" s="2" t="s">
        <v>20</v>
      </c>
      <c r="G305" s="2" t="s">
        <v>21</v>
      </c>
      <c r="H305" s="2">
        <v>1</v>
      </c>
      <c r="I305" s="4">
        <v>14</v>
      </c>
      <c r="J305" s="2" t="s">
        <v>38</v>
      </c>
      <c r="K305">
        <f>H305*I305</f>
        <v>14</v>
      </c>
      <c r="L305" t="str">
        <f t="shared" si="8"/>
        <v>Feb</v>
      </c>
      <c r="M305">
        <f t="shared" si="9"/>
        <v>2</v>
      </c>
    </row>
    <row r="306" spans="1:13" x14ac:dyDescent="0.25">
      <c r="A306" s="2" t="s">
        <v>379</v>
      </c>
      <c r="B306" s="3">
        <v>45714</v>
      </c>
      <c r="C306" s="2" t="s">
        <v>48</v>
      </c>
      <c r="D306" s="2" t="s">
        <v>48</v>
      </c>
      <c r="E306" s="2" t="s">
        <v>49</v>
      </c>
      <c r="F306" s="2" t="s">
        <v>20</v>
      </c>
      <c r="G306" s="2" t="s">
        <v>21</v>
      </c>
      <c r="H306" s="2">
        <v>2</v>
      </c>
      <c r="I306" s="4">
        <v>55</v>
      </c>
      <c r="J306" s="2" t="s">
        <v>16</v>
      </c>
      <c r="K306">
        <f>H306*I306</f>
        <v>110</v>
      </c>
      <c r="L306" t="str">
        <f t="shared" si="8"/>
        <v>Feb</v>
      </c>
      <c r="M306">
        <f t="shared" si="9"/>
        <v>2</v>
      </c>
    </row>
    <row r="307" spans="1:13" x14ac:dyDescent="0.25">
      <c r="A307" s="2" t="s">
        <v>380</v>
      </c>
      <c r="B307" s="3">
        <v>45714</v>
      </c>
      <c r="C307" s="2" t="s">
        <v>80</v>
      </c>
      <c r="D307" s="2" t="s">
        <v>80</v>
      </c>
      <c r="E307" s="2" t="s">
        <v>26</v>
      </c>
      <c r="F307" s="2" t="s">
        <v>20</v>
      </c>
      <c r="G307" s="2" t="s">
        <v>21</v>
      </c>
      <c r="H307" s="2">
        <v>2</v>
      </c>
      <c r="I307" s="4">
        <v>50</v>
      </c>
      <c r="J307" s="2" t="s">
        <v>38</v>
      </c>
      <c r="K307">
        <f>H307*I307</f>
        <v>100</v>
      </c>
      <c r="L307" t="str">
        <f t="shared" si="8"/>
        <v>Feb</v>
      </c>
      <c r="M307">
        <f t="shared" si="9"/>
        <v>2</v>
      </c>
    </row>
    <row r="308" spans="1:13" x14ac:dyDescent="0.25">
      <c r="A308" s="2" t="s">
        <v>381</v>
      </c>
      <c r="B308" s="3">
        <v>45714</v>
      </c>
      <c r="C308" s="2" t="s">
        <v>60</v>
      </c>
      <c r="D308" s="2" t="s">
        <v>61</v>
      </c>
      <c r="E308" s="2" t="s">
        <v>62</v>
      </c>
      <c r="F308" s="2" t="s">
        <v>14</v>
      </c>
      <c r="G308" s="2" t="s">
        <v>63</v>
      </c>
      <c r="H308" s="2">
        <v>5</v>
      </c>
      <c r="I308" s="4">
        <v>26</v>
      </c>
      <c r="J308" s="2" t="s">
        <v>22</v>
      </c>
      <c r="K308">
        <f>H308*I308</f>
        <v>130</v>
      </c>
      <c r="L308" t="str">
        <f t="shared" si="8"/>
        <v>Feb</v>
      </c>
      <c r="M308">
        <f t="shared" si="9"/>
        <v>2</v>
      </c>
    </row>
    <row r="309" spans="1:13" x14ac:dyDescent="0.25">
      <c r="A309" s="2" t="s">
        <v>382</v>
      </c>
      <c r="B309" s="3">
        <v>45714</v>
      </c>
      <c r="C309" s="2" t="s">
        <v>52</v>
      </c>
      <c r="D309" s="2" t="s">
        <v>30</v>
      </c>
      <c r="E309" s="2" t="s">
        <v>13</v>
      </c>
      <c r="F309" s="2" t="s">
        <v>14</v>
      </c>
      <c r="G309" s="2" t="s">
        <v>53</v>
      </c>
      <c r="H309" s="2">
        <v>1</v>
      </c>
      <c r="I309" s="4">
        <v>42</v>
      </c>
      <c r="J309" s="2" t="s">
        <v>31</v>
      </c>
      <c r="K309">
        <f>H309*I309</f>
        <v>42</v>
      </c>
      <c r="L309" t="str">
        <f t="shared" si="8"/>
        <v>Feb</v>
      </c>
      <c r="M309">
        <f t="shared" si="9"/>
        <v>2</v>
      </c>
    </row>
    <row r="310" spans="1:13" x14ac:dyDescent="0.25">
      <c r="A310" s="2" t="s">
        <v>383</v>
      </c>
      <c r="B310" s="3">
        <v>45715</v>
      </c>
      <c r="C310" s="2" t="s">
        <v>11</v>
      </c>
      <c r="D310" s="2" t="s">
        <v>12</v>
      </c>
      <c r="E310" s="2" t="s">
        <v>13</v>
      </c>
      <c r="F310" s="2" t="s">
        <v>14</v>
      </c>
      <c r="G310" s="2" t="s">
        <v>15</v>
      </c>
      <c r="H310" s="2">
        <v>2</v>
      </c>
      <c r="I310" s="4">
        <v>32</v>
      </c>
      <c r="J310" s="2" t="s">
        <v>22</v>
      </c>
      <c r="K310">
        <f>H310*I310</f>
        <v>64</v>
      </c>
      <c r="L310" t="str">
        <f t="shared" si="8"/>
        <v>Feb</v>
      </c>
      <c r="M310">
        <f t="shared" si="9"/>
        <v>2</v>
      </c>
    </row>
    <row r="311" spans="1:13" x14ac:dyDescent="0.25">
      <c r="A311" s="2" t="s">
        <v>384</v>
      </c>
      <c r="B311" s="3">
        <v>45715</v>
      </c>
      <c r="C311" s="2" t="s">
        <v>12</v>
      </c>
      <c r="D311" s="2" t="s">
        <v>12</v>
      </c>
      <c r="E311" s="2" t="s">
        <v>13</v>
      </c>
      <c r="F311" s="2" t="s">
        <v>20</v>
      </c>
      <c r="G311" s="2" t="s">
        <v>21</v>
      </c>
      <c r="H311" s="2">
        <v>5</v>
      </c>
      <c r="I311" s="4">
        <v>14</v>
      </c>
      <c r="J311" s="2" t="s">
        <v>16</v>
      </c>
      <c r="K311">
        <f>H311*I311</f>
        <v>70</v>
      </c>
      <c r="L311" t="str">
        <f t="shared" si="8"/>
        <v>Feb</v>
      </c>
      <c r="M311">
        <f t="shared" si="9"/>
        <v>2</v>
      </c>
    </row>
    <row r="312" spans="1:13" x14ac:dyDescent="0.25">
      <c r="A312" s="2" t="s">
        <v>385</v>
      </c>
      <c r="B312" s="3">
        <v>45715</v>
      </c>
      <c r="C312" s="2" t="s">
        <v>86</v>
      </c>
      <c r="D312" s="2" t="s">
        <v>48</v>
      </c>
      <c r="E312" s="2" t="s">
        <v>49</v>
      </c>
      <c r="F312" s="2" t="s">
        <v>14</v>
      </c>
      <c r="G312" s="2" t="s">
        <v>87</v>
      </c>
      <c r="H312" s="2">
        <v>2</v>
      </c>
      <c r="I312" s="4">
        <v>125</v>
      </c>
      <c r="J312" s="2" t="s">
        <v>16</v>
      </c>
      <c r="K312">
        <f>H312*I312</f>
        <v>250</v>
      </c>
      <c r="L312" t="str">
        <f t="shared" si="8"/>
        <v>Feb</v>
      </c>
      <c r="M312">
        <f t="shared" si="9"/>
        <v>2</v>
      </c>
    </row>
    <row r="313" spans="1:13" x14ac:dyDescent="0.25">
      <c r="A313" s="2" t="s">
        <v>386</v>
      </c>
      <c r="B313" s="3">
        <v>45715</v>
      </c>
      <c r="C313" s="2" t="s">
        <v>86</v>
      </c>
      <c r="D313" s="2" t="s">
        <v>48</v>
      </c>
      <c r="E313" s="2" t="s">
        <v>49</v>
      </c>
      <c r="F313" s="2" t="s">
        <v>14</v>
      </c>
      <c r="G313" s="2" t="s">
        <v>87</v>
      </c>
      <c r="H313" s="2">
        <v>1</v>
      </c>
      <c r="I313" s="4">
        <v>125</v>
      </c>
      <c r="J313" s="2" t="s">
        <v>16</v>
      </c>
      <c r="K313">
        <f>H313*I313</f>
        <v>125</v>
      </c>
      <c r="L313" t="str">
        <f t="shared" si="8"/>
        <v>Feb</v>
      </c>
      <c r="M313">
        <f t="shared" si="9"/>
        <v>2</v>
      </c>
    </row>
    <row r="314" spans="1:13" x14ac:dyDescent="0.25">
      <c r="A314" s="2" t="s">
        <v>387</v>
      </c>
      <c r="B314" s="3">
        <v>45715</v>
      </c>
      <c r="C314" s="2" t="s">
        <v>190</v>
      </c>
      <c r="D314" s="2" t="s">
        <v>40</v>
      </c>
      <c r="E314" s="2" t="s">
        <v>19</v>
      </c>
      <c r="F314" s="2" t="s">
        <v>14</v>
      </c>
      <c r="G314" s="2" t="s">
        <v>191</v>
      </c>
      <c r="H314" s="2">
        <v>3</v>
      </c>
      <c r="I314" s="4">
        <v>142</v>
      </c>
      <c r="J314" s="2" t="s">
        <v>16</v>
      </c>
      <c r="K314">
        <f>H314*I314</f>
        <v>426</v>
      </c>
      <c r="L314" t="str">
        <f t="shared" si="8"/>
        <v>Feb</v>
      </c>
      <c r="M314">
        <f t="shared" si="9"/>
        <v>2</v>
      </c>
    </row>
    <row r="315" spans="1:13" x14ac:dyDescent="0.25">
      <c r="A315" s="2" t="s">
        <v>388</v>
      </c>
      <c r="B315" s="3">
        <v>45715</v>
      </c>
      <c r="C315" s="2" t="s">
        <v>194</v>
      </c>
      <c r="D315" s="2" t="s">
        <v>98</v>
      </c>
      <c r="E315" s="2" t="s">
        <v>99</v>
      </c>
      <c r="F315" s="2" t="s">
        <v>20</v>
      </c>
      <c r="G315" s="2" t="s">
        <v>21</v>
      </c>
      <c r="H315" s="2">
        <v>5</v>
      </c>
      <c r="I315" s="4">
        <v>70</v>
      </c>
      <c r="J315" s="2" t="s">
        <v>22</v>
      </c>
      <c r="K315">
        <f>H315*I315</f>
        <v>350</v>
      </c>
      <c r="L315" t="str">
        <f t="shared" si="8"/>
        <v>Feb</v>
      </c>
      <c r="M315">
        <f t="shared" si="9"/>
        <v>2</v>
      </c>
    </row>
    <row r="316" spans="1:13" x14ac:dyDescent="0.25">
      <c r="A316" s="2" t="s">
        <v>389</v>
      </c>
      <c r="B316" s="3">
        <v>45715</v>
      </c>
      <c r="C316" s="2" t="s">
        <v>52</v>
      </c>
      <c r="D316" s="2" t="s">
        <v>30</v>
      </c>
      <c r="E316" s="2" t="s">
        <v>13</v>
      </c>
      <c r="F316" s="2" t="s">
        <v>14</v>
      </c>
      <c r="G316" s="2" t="s">
        <v>53</v>
      </c>
      <c r="H316" s="2">
        <v>3</v>
      </c>
      <c r="I316" s="4">
        <v>42</v>
      </c>
      <c r="J316" s="2" t="s">
        <v>22</v>
      </c>
      <c r="K316">
        <f>H316*I316</f>
        <v>126</v>
      </c>
      <c r="L316" t="str">
        <f t="shared" si="8"/>
        <v>Feb</v>
      </c>
      <c r="M316">
        <f t="shared" si="9"/>
        <v>2</v>
      </c>
    </row>
    <row r="317" spans="1:13" x14ac:dyDescent="0.25">
      <c r="A317" s="2" t="s">
        <v>390</v>
      </c>
      <c r="B317" s="3">
        <v>45716</v>
      </c>
      <c r="C317" s="2" t="s">
        <v>80</v>
      </c>
      <c r="D317" s="2" t="s">
        <v>80</v>
      </c>
      <c r="E317" s="2" t="s">
        <v>26</v>
      </c>
      <c r="F317" s="2" t="s">
        <v>20</v>
      </c>
      <c r="G317" s="2" t="s">
        <v>21</v>
      </c>
      <c r="H317" s="2">
        <v>3</v>
      </c>
      <c r="I317" s="4">
        <v>50</v>
      </c>
      <c r="J317" s="2" t="s">
        <v>38</v>
      </c>
      <c r="K317">
        <f>H317*I317</f>
        <v>150</v>
      </c>
      <c r="L317" t="str">
        <f t="shared" si="8"/>
        <v>Feb</v>
      </c>
      <c r="M317">
        <f t="shared" si="9"/>
        <v>2</v>
      </c>
    </row>
    <row r="318" spans="1:13" x14ac:dyDescent="0.25">
      <c r="A318" s="2" t="s">
        <v>391</v>
      </c>
      <c r="B318" s="3">
        <v>45716</v>
      </c>
      <c r="C318" s="2" t="s">
        <v>60</v>
      </c>
      <c r="D318" s="2" t="s">
        <v>61</v>
      </c>
      <c r="E318" s="2" t="s">
        <v>62</v>
      </c>
      <c r="F318" s="2" t="s">
        <v>14</v>
      </c>
      <c r="G318" s="2" t="s">
        <v>63</v>
      </c>
      <c r="H318" s="2">
        <v>4</v>
      </c>
      <c r="I318" s="4">
        <v>26</v>
      </c>
      <c r="J318" s="2" t="s">
        <v>22</v>
      </c>
      <c r="K318">
        <f>H318*I318</f>
        <v>104</v>
      </c>
      <c r="L318" t="str">
        <f t="shared" si="8"/>
        <v>Feb</v>
      </c>
      <c r="M318">
        <f t="shared" si="9"/>
        <v>2</v>
      </c>
    </row>
    <row r="319" spans="1:13" x14ac:dyDescent="0.25">
      <c r="A319" s="2" t="s">
        <v>392</v>
      </c>
      <c r="B319" s="3">
        <v>45716</v>
      </c>
      <c r="C319" s="2" t="s">
        <v>61</v>
      </c>
      <c r="D319" s="2" t="s">
        <v>61</v>
      </c>
      <c r="E319" s="2" t="s">
        <v>62</v>
      </c>
      <c r="F319" s="2" t="s">
        <v>20</v>
      </c>
      <c r="G319" s="2" t="s">
        <v>21</v>
      </c>
      <c r="H319" s="2">
        <v>5</v>
      </c>
      <c r="I319" s="4">
        <v>8</v>
      </c>
      <c r="J319" s="2" t="s">
        <v>16</v>
      </c>
      <c r="K319">
        <f>H319*I319</f>
        <v>40</v>
      </c>
      <c r="L319" t="str">
        <f t="shared" si="8"/>
        <v>Feb</v>
      </c>
      <c r="M319">
        <f t="shared" si="9"/>
        <v>2</v>
      </c>
    </row>
    <row r="320" spans="1:13" x14ac:dyDescent="0.25">
      <c r="A320" s="2" t="s">
        <v>393</v>
      </c>
      <c r="B320" s="3">
        <v>45716</v>
      </c>
      <c r="C320" s="2" t="s">
        <v>61</v>
      </c>
      <c r="D320" s="2" t="s">
        <v>61</v>
      </c>
      <c r="E320" s="2" t="s">
        <v>62</v>
      </c>
      <c r="F320" s="2" t="s">
        <v>20</v>
      </c>
      <c r="G320" s="2" t="s">
        <v>21</v>
      </c>
      <c r="H320" s="2">
        <v>1</v>
      </c>
      <c r="I320" s="4">
        <v>8</v>
      </c>
      <c r="J320" s="2" t="s">
        <v>22</v>
      </c>
      <c r="K320">
        <f>H320*I320</f>
        <v>8</v>
      </c>
      <c r="L320" t="str">
        <f t="shared" si="8"/>
        <v>Feb</v>
      </c>
      <c r="M320">
        <f t="shared" si="9"/>
        <v>2</v>
      </c>
    </row>
    <row r="321" spans="1:13" x14ac:dyDescent="0.25">
      <c r="A321" s="2" t="s">
        <v>394</v>
      </c>
      <c r="B321" s="3">
        <v>45716</v>
      </c>
      <c r="C321" s="2" t="s">
        <v>42</v>
      </c>
      <c r="D321" s="2" t="s">
        <v>43</v>
      </c>
      <c r="E321" s="2" t="s">
        <v>44</v>
      </c>
      <c r="F321" s="2" t="s">
        <v>14</v>
      </c>
      <c r="G321" s="2" t="s">
        <v>45</v>
      </c>
      <c r="H321" s="2">
        <v>3</v>
      </c>
      <c r="I321" s="4">
        <v>46</v>
      </c>
      <c r="J321" s="2" t="s">
        <v>22</v>
      </c>
      <c r="K321">
        <f>H321*I321</f>
        <v>138</v>
      </c>
      <c r="L321" t="str">
        <f t="shared" si="8"/>
        <v>Feb</v>
      </c>
      <c r="M321">
        <f t="shared" si="9"/>
        <v>2</v>
      </c>
    </row>
    <row r="322" spans="1:13" x14ac:dyDescent="0.25">
      <c r="A322" s="2" t="s">
        <v>395</v>
      </c>
      <c r="B322" s="3">
        <v>45717</v>
      </c>
      <c r="C322" s="2" t="s">
        <v>11</v>
      </c>
      <c r="D322" s="2" t="s">
        <v>12</v>
      </c>
      <c r="E322" s="2" t="s">
        <v>13</v>
      </c>
      <c r="F322" s="2" t="s">
        <v>14</v>
      </c>
      <c r="G322" s="2" t="s">
        <v>15</v>
      </c>
      <c r="H322" s="2">
        <v>1</v>
      </c>
      <c r="I322" s="4">
        <v>32</v>
      </c>
      <c r="J322" s="2" t="s">
        <v>31</v>
      </c>
      <c r="K322">
        <f>H322*I322</f>
        <v>32</v>
      </c>
      <c r="L322" t="str">
        <f t="shared" si="8"/>
        <v>Mar</v>
      </c>
      <c r="M322">
        <f t="shared" si="9"/>
        <v>3</v>
      </c>
    </row>
    <row r="323" spans="1:13" x14ac:dyDescent="0.25">
      <c r="A323" s="2" t="s">
        <v>396</v>
      </c>
      <c r="B323" s="3">
        <v>45717</v>
      </c>
      <c r="C323" s="2" t="s">
        <v>61</v>
      </c>
      <c r="D323" s="2" t="s">
        <v>61</v>
      </c>
      <c r="E323" s="2" t="s">
        <v>62</v>
      </c>
      <c r="F323" s="2" t="s">
        <v>20</v>
      </c>
      <c r="G323" s="2" t="s">
        <v>21</v>
      </c>
      <c r="H323" s="2">
        <v>1</v>
      </c>
      <c r="I323" s="4">
        <v>8</v>
      </c>
      <c r="J323" s="2" t="s">
        <v>16</v>
      </c>
      <c r="K323">
        <f>H323*I323</f>
        <v>8</v>
      </c>
      <c r="L323" t="str">
        <f t="shared" ref="L323:L386" si="10">TEXT(B323,"mmm")</f>
        <v>Mar</v>
      </c>
      <c r="M323">
        <f t="shared" ref="M323:M386" si="11">MONTH(B323)</f>
        <v>3</v>
      </c>
    </row>
    <row r="324" spans="1:13" x14ac:dyDescent="0.25">
      <c r="A324" s="2" t="s">
        <v>397</v>
      </c>
      <c r="B324" s="3">
        <v>45718</v>
      </c>
      <c r="C324" s="2" t="s">
        <v>12</v>
      </c>
      <c r="D324" s="2" t="s">
        <v>12</v>
      </c>
      <c r="E324" s="2" t="s">
        <v>13</v>
      </c>
      <c r="F324" s="2" t="s">
        <v>20</v>
      </c>
      <c r="G324" s="2" t="s">
        <v>21</v>
      </c>
      <c r="H324" s="2">
        <v>2</v>
      </c>
      <c r="I324" s="4">
        <v>14</v>
      </c>
      <c r="J324" s="2" t="s">
        <v>22</v>
      </c>
      <c r="K324">
        <f>H324*I324</f>
        <v>28</v>
      </c>
      <c r="L324" t="str">
        <f t="shared" si="10"/>
        <v>Mar</v>
      </c>
      <c r="M324">
        <f t="shared" si="11"/>
        <v>3</v>
      </c>
    </row>
    <row r="325" spans="1:13" x14ac:dyDescent="0.25">
      <c r="A325" s="2" t="s">
        <v>398</v>
      </c>
      <c r="B325" s="3">
        <v>45718</v>
      </c>
      <c r="C325" s="2" t="s">
        <v>75</v>
      </c>
      <c r="D325" s="2" t="s">
        <v>75</v>
      </c>
      <c r="E325" s="2" t="s">
        <v>76</v>
      </c>
      <c r="F325" s="2" t="s">
        <v>20</v>
      </c>
      <c r="G325" s="2" t="s">
        <v>21</v>
      </c>
      <c r="H325" s="2">
        <v>6</v>
      </c>
      <c r="I325" s="4">
        <v>12</v>
      </c>
      <c r="J325" s="2" t="s">
        <v>16</v>
      </c>
      <c r="K325">
        <f>H325*I325</f>
        <v>72</v>
      </c>
      <c r="L325" t="str">
        <f t="shared" si="10"/>
        <v>Mar</v>
      </c>
      <c r="M325">
        <f t="shared" si="11"/>
        <v>3</v>
      </c>
    </row>
    <row r="326" spans="1:13" x14ac:dyDescent="0.25">
      <c r="A326" s="2" t="s">
        <v>399</v>
      </c>
      <c r="B326" s="3">
        <v>45718</v>
      </c>
      <c r="C326" s="2" t="s">
        <v>124</v>
      </c>
      <c r="D326" s="2" t="s">
        <v>18</v>
      </c>
      <c r="E326" s="2" t="s">
        <v>19</v>
      </c>
      <c r="F326" s="2" t="s">
        <v>14</v>
      </c>
      <c r="G326" s="2" t="s">
        <v>125</v>
      </c>
      <c r="H326" s="2">
        <v>6</v>
      </c>
      <c r="I326" s="4">
        <v>45</v>
      </c>
      <c r="J326" s="2" t="s">
        <v>16</v>
      </c>
      <c r="K326">
        <f>H326*I326</f>
        <v>270</v>
      </c>
      <c r="L326" t="str">
        <f t="shared" si="10"/>
        <v>Mar</v>
      </c>
      <c r="M326">
        <f t="shared" si="11"/>
        <v>3</v>
      </c>
    </row>
    <row r="327" spans="1:13" x14ac:dyDescent="0.25">
      <c r="A327" s="2" t="s">
        <v>400</v>
      </c>
      <c r="B327" s="3">
        <v>45718</v>
      </c>
      <c r="C327" s="2" t="s">
        <v>80</v>
      </c>
      <c r="D327" s="2" t="s">
        <v>80</v>
      </c>
      <c r="E327" s="2" t="s">
        <v>26</v>
      </c>
      <c r="F327" s="2" t="s">
        <v>20</v>
      </c>
      <c r="G327" s="2" t="s">
        <v>21</v>
      </c>
      <c r="H327" s="2">
        <v>4</v>
      </c>
      <c r="I327" s="4">
        <v>50</v>
      </c>
      <c r="J327" s="2" t="s">
        <v>22</v>
      </c>
      <c r="K327">
        <f>H327*I327</f>
        <v>200</v>
      </c>
      <c r="L327" t="str">
        <f t="shared" si="10"/>
        <v>Mar</v>
      </c>
      <c r="M327">
        <f t="shared" si="11"/>
        <v>3</v>
      </c>
    </row>
    <row r="328" spans="1:13" x14ac:dyDescent="0.25">
      <c r="A328" s="2" t="s">
        <v>401</v>
      </c>
      <c r="B328" s="3">
        <v>45718</v>
      </c>
      <c r="C328" s="2" t="s">
        <v>52</v>
      </c>
      <c r="D328" s="2" t="s">
        <v>30</v>
      </c>
      <c r="E328" s="2" t="s">
        <v>13</v>
      </c>
      <c r="F328" s="2" t="s">
        <v>14</v>
      </c>
      <c r="G328" s="2" t="s">
        <v>53</v>
      </c>
      <c r="H328" s="2">
        <v>4</v>
      </c>
      <c r="I328" s="4">
        <v>42</v>
      </c>
      <c r="J328" s="2" t="s">
        <v>16</v>
      </c>
      <c r="K328">
        <f>H328*I328</f>
        <v>168</v>
      </c>
      <c r="L328" t="str">
        <f t="shared" si="10"/>
        <v>Mar</v>
      </c>
      <c r="M328">
        <f t="shared" si="11"/>
        <v>3</v>
      </c>
    </row>
    <row r="329" spans="1:13" x14ac:dyDescent="0.25">
      <c r="A329" s="2" t="s">
        <v>402</v>
      </c>
      <c r="B329" s="3">
        <v>45719</v>
      </c>
      <c r="C329" s="2" t="s">
        <v>12</v>
      </c>
      <c r="D329" s="2" t="s">
        <v>12</v>
      </c>
      <c r="E329" s="2" t="s">
        <v>13</v>
      </c>
      <c r="F329" s="2" t="s">
        <v>20</v>
      </c>
      <c r="G329" s="2" t="s">
        <v>21</v>
      </c>
      <c r="H329" s="2">
        <v>1</v>
      </c>
      <c r="I329" s="4">
        <v>14</v>
      </c>
      <c r="J329" s="2" t="s">
        <v>38</v>
      </c>
      <c r="K329">
        <f>H329*I329</f>
        <v>14</v>
      </c>
      <c r="L329" t="str">
        <f t="shared" si="10"/>
        <v>Mar</v>
      </c>
      <c r="M329">
        <f t="shared" si="11"/>
        <v>3</v>
      </c>
    </row>
    <row r="330" spans="1:13" x14ac:dyDescent="0.25">
      <c r="A330" s="2" t="s">
        <v>403</v>
      </c>
      <c r="B330" s="3">
        <v>45719</v>
      </c>
      <c r="C330" s="2" t="s">
        <v>75</v>
      </c>
      <c r="D330" s="2" t="s">
        <v>75</v>
      </c>
      <c r="E330" s="2" t="s">
        <v>76</v>
      </c>
      <c r="F330" s="2" t="s">
        <v>20</v>
      </c>
      <c r="G330" s="2" t="s">
        <v>21</v>
      </c>
      <c r="H330" s="2">
        <v>2</v>
      </c>
      <c r="I330" s="4">
        <v>12</v>
      </c>
      <c r="J330" s="2" t="s">
        <v>31</v>
      </c>
      <c r="K330">
        <f>H330*I330</f>
        <v>24</v>
      </c>
      <c r="L330" t="str">
        <f t="shared" si="10"/>
        <v>Mar</v>
      </c>
      <c r="M330">
        <f t="shared" si="11"/>
        <v>3</v>
      </c>
    </row>
    <row r="331" spans="1:13" x14ac:dyDescent="0.25">
      <c r="A331" s="2" t="s">
        <v>404</v>
      </c>
      <c r="B331" s="3">
        <v>45719</v>
      </c>
      <c r="C331" s="2" t="s">
        <v>75</v>
      </c>
      <c r="D331" s="2" t="s">
        <v>75</v>
      </c>
      <c r="E331" s="2" t="s">
        <v>76</v>
      </c>
      <c r="F331" s="2" t="s">
        <v>20</v>
      </c>
      <c r="G331" s="2" t="s">
        <v>21</v>
      </c>
      <c r="H331" s="2">
        <v>12</v>
      </c>
      <c r="I331" s="4">
        <v>12</v>
      </c>
      <c r="J331" s="2" t="s">
        <v>16</v>
      </c>
      <c r="K331">
        <f>H331*I331</f>
        <v>144</v>
      </c>
      <c r="L331" t="str">
        <f t="shared" si="10"/>
        <v>Mar</v>
      </c>
      <c r="M331">
        <f t="shared" si="11"/>
        <v>3</v>
      </c>
    </row>
    <row r="332" spans="1:13" x14ac:dyDescent="0.25">
      <c r="A332" s="2" t="s">
        <v>405</v>
      </c>
      <c r="B332" s="3">
        <v>45719</v>
      </c>
      <c r="C332" s="2" t="s">
        <v>75</v>
      </c>
      <c r="D332" s="2" t="s">
        <v>75</v>
      </c>
      <c r="E332" s="2" t="s">
        <v>76</v>
      </c>
      <c r="F332" s="2" t="s">
        <v>20</v>
      </c>
      <c r="G332" s="2" t="s">
        <v>21</v>
      </c>
      <c r="H332" s="2">
        <v>1</v>
      </c>
      <c r="I332" s="4">
        <v>12</v>
      </c>
      <c r="J332" s="2" t="s">
        <v>38</v>
      </c>
      <c r="K332">
        <f>H332*I332</f>
        <v>12</v>
      </c>
      <c r="L332" t="str">
        <f t="shared" si="10"/>
        <v>Mar</v>
      </c>
      <c r="M332">
        <f t="shared" si="11"/>
        <v>3</v>
      </c>
    </row>
    <row r="333" spans="1:13" x14ac:dyDescent="0.25">
      <c r="A333" s="2" t="s">
        <v>406</v>
      </c>
      <c r="B333" s="3">
        <v>45719</v>
      </c>
      <c r="C333" s="2" t="s">
        <v>102</v>
      </c>
      <c r="D333" s="2" t="s">
        <v>102</v>
      </c>
      <c r="E333" s="2" t="s">
        <v>36</v>
      </c>
      <c r="F333" s="2" t="s">
        <v>20</v>
      </c>
      <c r="G333" s="2" t="s">
        <v>21</v>
      </c>
      <c r="H333" s="2">
        <v>6</v>
      </c>
      <c r="I333" s="4">
        <v>35</v>
      </c>
      <c r="J333" s="2" t="s">
        <v>38</v>
      </c>
      <c r="K333">
        <f>H333*I333</f>
        <v>210</v>
      </c>
      <c r="L333" t="str">
        <f t="shared" si="10"/>
        <v>Mar</v>
      </c>
      <c r="M333">
        <f t="shared" si="11"/>
        <v>3</v>
      </c>
    </row>
    <row r="334" spans="1:13" x14ac:dyDescent="0.25">
      <c r="A334" s="2" t="s">
        <v>407</v>
      </c>
      <c r="B334" s="3">
        <v>45719</v>
      </c>
      <c r="C334" s="2" t="s">
        <v>190</v>
      </c>
      <c r="D334" s="2" t="s">
        <v>40</v>
      </c>
      <c r="E334" s="2" t="s">
        <v>19</v>
      </c>
      <c r="F334" s="2" t="s">
        <v>14</v>
      </c>
      <c r="G334" s="2" t="s">
        <v>191</v>
      </c>
      <c r="H334" s="2">
        <v>6</v>
      </c>
      <c r="I334" s="4">
        <v>142</v>
      </c>
      <c r="J334" s="2" t="s">
        <v>16</v>
      </c>
      <c r="K334">
        <f>H334*I334</f>
        <v>852</v>
      </c>
      <c r="L334" t="str">
        <f t="shared" si="10"/>
        <v>Mar</v>
      </c>
      <c r="M334">
        <f t="shared" si="11"/>
        <v>3</v>
      </c>
    </row>
    <row r="335" spans="1:13" x14ac:dyDescent="0.25">
      <c r="A335" s="2" t="s">
        <v>408</v>
      </c>
      <c r="B335" s="3">
        <v>45719</v>
      </c>
      <c r="C335" s="2" t="s">
        <v>52</v>
      </c>
      <c r="D335" s="2" t="s">
        <v>30</v>
      </c>
      <c r="E335" s="2" t="s">
        <v>13</v>
      </c>
      <c r="F335" s="2" t="s">
        <v>14</v>
      </c>
      <c r="G335" s="2" t="s">
        <v>53</v>
      </c>
      <c r="H335" s="2">
        <v>1</v>
      </c>
      <c r="I335" s="4">
        <v>42</v>
      </c>
      <c r="J335" s="2" t="s">
        <v>16</v>
      </c>
      <c r="K335">
        <f>H335*I335</f>
        <v>42</v>
      </c>
      <c r="L335" t="str">
        <f t="shared" si="10"/>
        <v>Mar</v>
      </c>
      <c r="M335">
        <f t="shared" si="11"/>
        <v>3</v>
      </c>
    </row>
    <row r="336" spans="1:13" x14ac:dyDescent="0.25">
      <c r="A336" s="2" t="s">
        <v>409</v>
      </c>
      <c r="B336" s="3">
        <v>45719</v>
      </c>
      <c r="C336" s="2" t="s">
        <v>43</v>
      </c>
      <c r="D336" s="2" t="s">
        <v>43</v>
      </c>
      <c r="E336" s="2" t="s">
        <v>44</v>
      </c>
      <c r="F336" s="2" t="s">
        <v>20</v>
      </c>
      <c r="G336" s="2" t="s">
        <v>21</v>
      </c>
      <c r="H336" s="2">
        <v>4</v>
      </c>
      <c r="I336" s="4">
        <v>18</v>
      </c>
      <c r="J336" s="2" t="s">
        <v>16</v>
      </c>
      <c r="K336">
        <f>H336*I336</f>
        <v>72</v>
      </c>
      <c r="L336" t="str">
        <f t="shared" si="10"/>
        <v>Mar</v>
      </c>
      <c r="M336">
        <f t="shared" si="11"/>
        <v>3</v>
      </c>
    </row>
    <row r="337" spans="1:13" x14ac:dyDescent="0.25">
      <c r="A337" s="2" t="s">
        <v>410</v>
      </c>
      <c r="B337" s="3">
        <v>45720</v>
      </c>
      <c r="C337" s="2" t="s">
        <v>11</v>
      </c>
      <c r="D337" s="2" t="s">
        <v>12</v>
      </c>
      <c r="E337" s="2" t="s">
        <v>13</v>
      </c>
      <c r="F337" s="2" t="s">
        <v>14</v>
      </c>
      <c r="G337" s="2" t="s">
        <v>15</v>
      </c>
      <c r="H337" s="2">
        <v>5</v>
      </c>
      <c r="I337" s="4">
        <v>32</v>
      </c>
      <c r="J337" s="2" t="s">
        <v>16</v>
      </c>
      <c r="K337">
        <f>H337*I337</f>
        <v>160</v>
      </c>
      <c r="L337" t="str">
        <f t="shared" si="10"/>
        <v>Mar</v>
      </c>
      <c r="M337">
        <f t="shared" si="11"/>
        <v>3</v>
      </c>
    </row>
    <row r="338" spans="1:13" x14ac:dyDescent="0.25">
      <c r="A338" s="2" t="s">
        <v>411</v>
      </c>
      <c r="B338" s="3">
        <v>45720</v>
      </c>
      <c r="C338" s="2" t="s">
        <v>12</v>
      </c>
      <c r="D338" s="2" t="s">
        <v>12</v>
      </c>
      <c r="E338" s="2" t="s">
        <v>13</v>
      </c>
      <c r="F338" s="2" t="s">
        <v>20</v>
      </c>
      <c r="G338" s="2" t="s">
        <v>21</v>
      </c>
      <c r="H338" s="2">
        <v>5</v>
      </c>
      <c r="I338" s="4">
        <v>14</v>
      </c>
      <c r="J338" s="2" t="s">
        <v>16</v>
      </c>
      <c r="K338">
        <f>H338*I338</f>
        <v>70</v>
      </c>
      <c r="L338" t="str">
        <f t="shared" si="10"/>
        <v>Mar</v>
      </c>
      <c r="M338">
        <f t="shared" si="11"/>
        <v>3</v>
      </c>
    </row>
    <row r="339" spans="1:13" x14ac:dyDescent="0.25">
      <c r="A339" s="2" t="s">
        <v>412</v>
      </c>
      <c r="B339" s="3">
        <v>45720</v>
      </c>
      <c r="C339" s="2" t="s">
        <v>67</v>
      </c>
      <c r="D339" s="2" t="s">
        <v>68</v>
      </c>
      <c r="E339" s="2" t="s">
        <v>49</v>
      </c>
      <c r="F339" s="2" t="s">
        <v>14</v>
      </c>
      <c r="G339" s="2" t="s">
        <v>69</v>
      </c>
      <c r="H339" s="2">
        <v>3</v>
      </c>
      <c r="I339" s="4">
        <v>205</v>
      </c>
      <c r="J339" s="2" t="s">
        <v>38</v>
      </c>
      <c r="K339">
        <f>H339*I339</f>
        <v>615</v>
      </c>
      <c r="L339" t="str">
        <f t="shared" si="10"/>
        <v>Mar</v>
      </c>
      <c r="M339">
        <f t="shared" si="11"/>
        <v>3</v>
      </c>
    </row>
    <row r="340" spans="1:13" x14ac:dyDescent="0.25">
      <c r="A340" s="2" t="s">
        <v>413</v>
      </c>
      <c r="B340" s="3">
        <v>45720</v>
      </c>
      <c r="C340" s="2" t="s">
        <v>119</v>
      </c>
      <c r="D340" s="2" t="s">
        <v>120</v>
      </c>
      <c r="E340" s="2" t="s">
        <v>76</v>
      </c>
      <c r="F340" s="2" t="s">
        <v>14</v>
      </c>
      <c r="G340" s="2" t="s">
        <v>121</v>
      </c>
      <c r="H340" s="2">
        <v>6</v>
      </c>
      <c r="I340" s="4">
        <v>190</v>
      </c>
      <c r="J340" s="2" t="s">
        <v>38</v>
      </c>
      <c r="K340">
        <f>H340*I340</f>
        <v>1140</v>
      </c>
      <c r="L340" t="str">
        <f t="shared" si="10"/>
        <v>Mar</v>
      </c>
      <c r="M340">
        <f t="shared" si="11"/>
        <v>3</v>
      </c>
    </row>
    <row r="341" spans="1:13" x14ac:dyDescent="0.25">
      <c r="A341" s="2" t="s">
        <v>414</v>
      </c>
      <c r="B341" s="3">
        <v>45720</v>
      </c>
      <c r="C341" s="2" t="s">
        <v>120</v>
      </c>
      <c r="D341" s="2" t="s">
        <v>120</v>
      </c>
      <c r="E341" s="2" t="s">
        <v>76</v>
      </c>
      <c r="F341" s="2" t="s">
        <v>20</v>
      </c>
      <c r="G341" s="2" t="s">
        <v>21</v>
      </c>
      <c r="H341" s="2">
        <v>1</v>
      </c>
      <c r="I341" s="4">
        <v>42</v>
      </c>
      <c r="J341" s="2" t="s">
        <v>16</v>
      </c>
      <c r="K341">
        <f>H341*I341</f>
        <v>42</v>
      </c>
      <c r="L341" t="str">
        <f t="shared" si="10"/>
        <v>Mar</v>
      </c>
      <c r="M341">
        <f t="shared" si="11"/>
        <v>3</v>
      </c>
    </row>
    <row r="342" spans="1:13" x14ac:dyDescent="0.25">
      <c r="A342" s="2" t="s">
        <v>415</v>
      </c>
      <c r="B342" s="3">
        <v>45721</v>
      </c>
      <c r="C342" s="2" t="s">
        <v>11</v>
      </c>
      <c r="D342" s="2" t="s">
        <v>12</v>
      </c>
      <c r="E342" s="2" t="s">
        <v>13</v>
      </c>
      <c r="F342" s="2" t="s">
        <v>14</v>
      </c>
      <c r="G342" s="2" t="s">
        <v>15</v>
      </c>
      <c r="H342" s="2">
        <v>2</v>
      </c>
      <c r="I342" s="4">
        <v>32</v>
      </c>
      <c r="J342" s="2" t="s">
        <v>31</v>
      </c>
      <c r="K342">
        <f>H342*I342</f>
        <v>64</v>
      </c>
      <c r="L342" t="str">
        <f t="shared" si="10"/>
        <v>Mar</v>
      </c>
      <c r="M342">
        <f t="shared" si="11"/>
        <v>3</v>
      </c>
    </row>
    <row r="343" spans="1:13" x14ac:dyDescent="0.25">
      <c r="A343" s="2" t="s">
        <v>416</v>
      </c>
      <c r="B343" s="3">
        <v>45721</v>
      </c>
      <c r="C343" s="2" t="s">
        <v>11</v>
      </c>
      <c r="D343" s="2" t="s">
        <v>12</v>
      </c>
      <c r="E343" s="2" t="s">
        <v>13</v>
      </c>
      <c r="F343" s="2" t="s">
        <v>14</v>
      </c>
      <c r="G343" s="2" t="s">
        <v>15</v>
      </c>
      <c r="H343" s="2">
        <v>4</v>
      </c>
      <c r="I343" s="4">
        <v>32</v>
      </c>
      <c r="J343" s="2" t="s">
        <v>31</v>
      </c>
      <c r="K343">
        <f>H343*I343</f>
        <v>128</v>
      </c>
      <c r="L343" t="str">
        <f t="shared" si="10"/>
        <v>Mar</v>
      </c>
      <c r="M343">
        <f t="shared" si="11"/>
        <v>3</v>
      </c>
    </row>
    <row r="344" spans="1:13" x14ac:dyDescent="0.25">
      <c r="A344" s="2" t="s">
        <v>417</v>
      </c>
      <c r="B344" s="3">
        <v>45721</v>
      </c>
      <c r="C344" s="2" t="s">
        <v>86</v>
      </c>
      <c r="D344" s="2" t="s">
        <v>48</v>
      </c>
      <c r="E344" s="2" t="s">
        <v>49</v>
      </c>
      <c r="F344" s="2" t="s">
        <v>14</v>
      </c>
      <c r="G344" s="2" t="s">
        <v>87</v>
      </c>
      <c r="H344" s="2">
        <v>2</v>
      </c>
      <c r="I344" s="4">
        <v>125</v>
      </c>
      <c r="J344" s="2" t="s">
        <v>22</v>
      </c>
      <c r="K344">
        <f>H344*I344</f>
        <v>250</v>
      </c>
      <c r="L344" t="str">
        <f t="shared" si="10"/>
        <v>Mar</v>
      </c>
      <c r="M344">
        <f t="shared" si="11"/>
        <v>3</v>
      </c>
    </row>
    <row r="345" spans="1:13" x14ac:dyDescent="0.25">
      <c r="A345" s="2" t="s">
        <v>418</v>
      </c>
      <c r="B345" s="3">
        <v>45721</v>
      </c>
      <c r="C345" s="2" t="s">
        <v>74</v>
      </c>
      <c r="D345" s="2" t="s">
        <v>75</v>
      </c>
      <c r="E345" s="2" t="s">
        <v>76</v>
      </c>
      <c r="F345" s="2" t="s">
        <v>14</v>
      </c>
      <c r="G345" s="2" t="s">
        <v>77</v>
      </c>
      <c r="H345" s="2">
        <v>6</v>
      </c>
      <c r="I345" s="4">
        <v>32</v>
      </c>
      <c r="J345" s="2" t="s">
        <v>31</v>
      </c>
      <c r="K345">
        <f>H345*I345</f>
        <v>192</v>
      </c>
      <c r="L345" t="str">
        <f t="shared" si="10"/>
        <v>Mar</v>
      </c>
      <c r="M345">
        <f t="shared" si="11"/>
        <v>3</v>
      </c>
    </row>
    <row r="346" spans="1:13" x14ac:dyDescent="0.25">
      <c r="A346" s="2" t="s">
        <v>419</v>
      </c>
      <c r="B346" s="3">
        <v>45721</v>
      </c>
      <c r="C346" s="2" t="s">
        <v>79</v>
      </c>
      <c r="D346" s="2" t="s">
        <v>80</v>
      </c>
      <c r="E346" s="2" t="s">
        <v>26</v>
      </c>
      <c r="F346" s="2" t="s">
        <v>14</v>
      </c>
      <c r="G346" s="2" t="s">
        <v>81</v>
      </c>
      <c r="H346" s="2">
        <v>1</v>
      </c>
      <c r="I346" s="4">
        <v>152</v>
      </c>
      <c r="J346" s="2" t="s">
        <v>16</v>
      </c>
      <c r="K346">
        <f>H346*I346</f>
        <v>152</v>
      </c>
      <c r="L346" t="str">
        <f t="shared" si="10"/>
        <v>Mar</v>
      </c>
      <c r="M346">
        <f t="shared" si="11"/>
        <v>3</v>
      </c>
    </row>
    <row r="347" spans="1:13" x14ac:dyDescent="0.25">
      <c r="A347" s="2" t="s">
        <v>420</v>
      </c>
      <c r="B347" s="3">
        <v>45721</v>
      </c>
      <c r="C347" s="2" t="s">
        <v>61</v>
      </c>
      <c r="D347" s="2" t="s">
        <v>61</v>
      </c>
      <c r="E347" s="2" t="s">
        <v>62</v>
      </c>
      <c r="F347" s="2" t="s">
        <v>20</v>
      </c>
      <c r="G347" s="2" t="s">
        <v>21</v>
      </c>
      <c r="H347" s="2">
        <v>1</v>
      </c>
      <c r="I347" s="4">
        <v>8</v>
      </c>
      <c r="J347" s="2" t="s">
        <v>16</v>
      </c>
      <c r="K347">
        <f>H347*I347</f>
        <v>8</v>
      </c>
      <c r="L347" t="str">
        <f t="shared" si="10"/>
        <v>Mar</v>
      </c>
      <c r="M347">
        <f t="shared" si="11"/>
        <v>3</v>
      </c>
    </row>
    <row r="348" spans="1:13" x14ac:dyDescent="0.25">
      <c r="A348" s="2" t="s">
        <v>421</v>
      </c>
      <c r="B348" s="3">
        <v>45722</v>
      </c>
      <c r="C348" s="2" t="s">
        <v>74</v>
      </c>
      <c r="D348" s="2" t="s">
        <v>75</v>
      </c>
      <c r="E348" s="2" t="s">
        <v>76</v>
      </c>
      <c r="F348" s="2" t="s">
        <v>14</v>
      </c>
      <c r="G348" s="2" t="s">
        <v>77</v>
      </c>
      <c r="H348" s="2">
        <v>6</v>
      </c>
      <c r="I348" s="4">
        <v>32</v>
      </c>
      <c r="J348" s="2" t="s">
        <v>16</v>
      </c>
      <c r="K348">
        <f>H348*I348</f>
        <v>192</v>
      </c>
      <c r="L348" t="str">
        <f t="shared" si="10"/>
        <v>Mar</v>
      </c>
      <c r="M348">
        <f t="shared" si="11"/>
        <v>3</v>
      </c>
    </row>
    <row r="349" spans="1:13" x14ac:dyDescent="0.25">
      <c r="A349" s="2" t="s">
        <v>422</v>
      </c>
      <c r="B349" s="3">
        <v>45722</v>
      </c>
      <c r="C349" s="2" t="s">
        <v>120</v>
      </c>
      <c r="D349" s="2" t="s">
        <v>120</v>
      </c>
      <c r="E349" s="2" t="s">
        <v>76</v>
      </c>
      <c r="F349" s="2" t="s">
        <v>20</v>
      </c>
      <c r="G349" s="2" t="s">
        <v>21</v>
      </c>
      <c r="H349" s="2">
        <v>1</v>
      </c>
      <c r="I349" s="4">
        <v>42</v>
      </c>
      <c r="J349" s="2" t="s">
        <v>22</v>
      </c>
      <c r="K349">
        <f>H349*I349</f>
        <v>42</v>
      </c>
      <c r="L349" t="str">
        <f t="shared" si="10"/>
        <v>Mar</v>
      </c>
      <c r="M349">
        <f t="shared" si="11"/>
        <v>3</v>
      </c>
    </row>
    <row r="350" spans="1:13" x14ac:dyDescent="0.25">
      <c r="A350" s="2" t="s">
        <v>423</v>
      </c>
      <c r="B350" s="3">
        <v>45722</v>
      </c>
      <c r="C350" s="2" t="s">
        <v>101</v>
      </c>
      <c r="D350" s="2" t="s">
        <v>102</v>
      </c>
      <c r="E350" s="2" t="s">
        <v>36</v>
      </c>
      <c r="F350" s="2" t="s">
        <v>14</v>
      </c>
      <c r="G350" s="2" t="s">
        <v>103</v>
      </c>
      <c r="H350" s="2">
        <v>3</v>
      </c>
      <c r="I350" s="4">
        <v>92</v>
      </c>
      <c r="J350" s="2" t="s">
        <v>16</v>
      </c>
      <c r="K350">
        <f>H350*I350</f>
        <v>276</v>
      </c>
      <c r="L350" t="str">
        <f t="shared" si="10"/>
        <v>Mar</v>
      </c>
      <c r="M350">
        <f t="shared" si="11"/>
        <v>3</v>
      </c>
    </row>
    <row r="351" spans="1:13" x14ac:dyDescent="0.25">
      <c r="A351" s="2" t="s">
        <v>424</v>
      </c>
      <c r="B351" s="3">
        <v>45722</v>
      </c>
      <c r="C351" s="2" t="s">
        <v>18</v>
      </c>
      <c r="D351" s="2" t="s">
        <v>18</v>
      </c>
      <c r="E351" s="2" t="s">
        <v>19</v>
      </c>
      <c r="F351" s="2" t="s">
        <v>20</v>
      </c>
      <c r="G351" s="2" t="s">
        <v>21</v>
      </c>
      <c r="H351" s="2">
        <v>3</v>
      </c>
      <c r="I351" s="4">
        <v>15</v>
      </c>
      <c r="J351" s="2" t="s">
        <v>16</v>
      </c>
      <c r="K351">
        <f>H351*I351</f>
        <v>45</v>
      </c>
      <c r="L351" t="str">
        <f t="shared" si="10"/>
        <v>Mar</v>
      </c>
      <c r="M351">
        <f t="shared" si="11"/>
        <v>3</v>
      </c>
    </row>
    <row r="352" spans="1:13" x14ac:dyDescent="0.25">
      <c r="A352" s="2" t="s">
        <v>425</v>
      </c>
      <c r="B352" s="3">
        <v>45722</v>
      </c>
      <c r="C352" s="2" t="s">
        <v>80</v>
      </c>
      <c r="D352" s="2" t="s">
        <v>80</v>
      </c>
      <c r="E352" s="2" t="s">
        <v>26</v>
      </c>
      <c r="F352" s="2" t="s">
        <v>20</v>
      </c>
      <c r="G352" s="2" t="s">
        <v>21</v>
      </c>
      <c r="H352" s="2">
        <v>1</v>
      </c>
      <c r="I352" s="4">
        <v>50</v>
      </c>
      <c r="J352" s="2" t="s">
        <v>16</v>
      </c>
      <c r="K352">
        <f>H352*I352</f>
        <v>50</v>
      </c>
      <c r="L352" t="str">
        <f t="shared" si="10"/>
        <v>Mar</v>
      </c>
      <c r="M352">
        <f t="shared" si="11"/>
        <v>3</v>
      </c>
    </row>
    <row r="353" spans="1:13" x14ac:dyDescent="0.25">
      <c r="A353" s="2" t="s">
        <v>426</v>
      </c>
      <c r="B353" s="3">
        <v>45723</v>
      </c>
      <c r="C353" s="2" t="s">
        <v>11</v>
      </c>
      <c r="D353" s="2" t="s">
        <v>12</v>
      </c>
      <c r="E353" s="2" t="s">
        <v>13</v>
      </c>
      <c r="F353" s="2" t="s">
        <v>14</v>
      </c>
      <c r="G353" s="2" t="s">
        <v>15</v>
      </c>
      <c r="H353" s="2">
        <v>2</v>
      </c>
      <c r="I353" s="4">
        <v>32</v>
      </c>
      <c r="J353" s="2" t="s">
        <v>16</v>
      </c>
      <c r="K353">
        <f>H353*I353</f>
        <v>64</v>
      </c>
      <c r="L353" t="str">
        <f t="shared" si="10"/>
        <v>Mar</v>
      </c>
      <c r="M353">
        <f t="shared" si="11"/>
        <v>3</v>
      </c>
    </row>
    <row r="354" spans="1:13" x14ac:dyDescent="0.25">
      <c r="A354" s="2" t="s">
        <v>427</v>
      </c>
      <c r="B354" s="3">
        <v>45723</v>
      </c>
      <c r="C354" s="2" t="s">
        <v>119</v>
      </c>
      <c r="D354" s="2" t="s">
        <v>120</v>
      </c>
      <c r="E354" s="2" t="s">
        <v>76</v>
      </c>
      <c r="F354" s="2" t="s">
        <v>14</v>
      </c>
      <c r="G354" s="2" t="s">
        <v>121</v>
      </c>
      <c r="H354" s="2">
        <v>3</v>
      </c>
      <c r="I354" s="4">
        <v>190</v>
      </c>
      <c r="J354" s="2" t="s">
        <v>16</v>
      </c>
      <c r="K354">
        <f>H354*I354</f>
        <v>570</v>
      </c>
      <c r="L354" t="str">
        <f t="shared" si="10"/>
        <v>Mar</v>
      </c>
      <c r="M354">
        <f t="shared" si="11"/>
        <v>3</v>
      </c>
    </row>
    <row r="355" spans="1:13" x14ac:dyDescent="0.25">
      <c r="A355" s="2" t="s">
        <v>428</v>
      </c>
      <c r="B355" s="3">
        <v>45723</v>
      </c>
      <c r="C355" s="2" t="s">
        <v>61</v>
      </c>
      <c r="D355" s="2" t="s">
        <v>61</v>
      </c>
      <c r="E355" s="2" t="s">
        <v>62</v>
      </c>
      <c r="F355" s="2" t="s">
        <v>20</v>
      </c>
      <c r="G355" s="2" t="s">
        <v>21</v>
      </c>
      <c r="H355" s="2">
        <v>1</v>
      </c>
      <c r="I355" s="4">
        <v>8</v>
      </c>
      <c r="J355" s="2" t="s">
        <v>22</v>
      </c>
      <c r="K355">
        <f>H355*I355</f>
        <v>8</v>
      </c>
      <c r="L355" t="str">
        <f t="shared" si="10"/>
        <v>Mar</v>
      </c>
      <c r="M355">
        <f t="shared" si="11"/>
        <v>3</v>
      </c>
    </row>
    <row r="356" spans="1:13" x14ac:dyDescent="0.25">
      <c r="A356" s="2" t="s">
        <v>429</v>
      </c>
      <c r="B356" s="3">
        <v>45723</v>
      </c>
      <c r="C356" s="2" t="s">
        <v>108</v>
      </c>
      <c r="D356" s="2" t="s">
        <v>109</v>
      </c>
      <c r="E356" s="2" t="s">
        <v>13</v>
      </c>
      <c r="F356" s="2" t="s">
        <v>14</v>
      </c>
      <c r="G356" s="2" t="s">
        <v>110</v>
      </c>
      <c r="H356" s="2">
        <v>1</v>
      </c>
      <c r="I356" s="4">
        <v>62</v>
      </c>
      <c r="J356" s="2" t="s">
        <v>31</v>
      </c>
      <c r="K356">
        <f>H356*I356</f>
        <v>62</v>
      </c>
      <c r="L356" t="str">
        <f t="shared" si="10"/>
        <v>Mar</v>
      </c>
      <c r="M356">
        <f t="shared" si="11"/>
        <v>3</v>
      </c>
    </row>
    <row r="357" spans="1:13" x14ac:dyDescent="0.25">
      <c r="A357" s="2" t="s">
        <v>430</v>
      </c>
      <c r="B357" s="3">
        <v>45724</v>
      </c>
      <c r="C357" s="2" t="s">
        <v>119</v>
      </c>
      <c r="D357" s="2" t="s">
        <v>120</v>
      </c>
      <c r="E357" s="2" t="s">
        <v>76</v>
      </c>
      <c r="F357" s="2" t="s">
        <v>14</v>
      </c>
      <c r="G357" s="2" t="s">
        <v>121</v>
      </c>
      <c r="H357" s="2">
        <v>6</v>
      </c>
      <c r="I357" s="4">
        <v>190</v>
      </c>
      <c r="J357" s="2" t="s">
        <v>31</v>
      </c>
      <c r="K357">
        <f>H357*I357</f>
        <v>1140</v>
      </c>
      <c r="L357" t="str">
        <f t="shared" si="10"/>
        <v>Mar</v>
      </c>
      <c r="M357">
        <f t="shared" si="11"/>
        <v>3</v>
      </c>
    </row>
    <row r="358" spans="1:13" x14ac:dyDescent="0.25">
      <c r="A358" s="2" t="s">
        <v>431</v>
      </c>
      <c r="B358" s="3">
        <v>45725</v>
      </c>
      <c r="C358" s="2" t="s">
        <v>67</v>
      </c>
      <c r="D358" s="2" t="s">
        <v>68</v>
      </c>
      <c r="E358" s="2" t="s">
        <v>49</v>
      </c>
      <c r="F358" s="2" t="s">
        <v>14</v>
      </c>
      <c r="G358" s="2" t="s">
        <v>69</v>
      </c>
      <c r="H358" s="2">
        <v>3</v>
      </c>
      <c r="I358" s="4">
        <v>205</v>
      </c>
      <c r="J358" s="2" t="s">
        <v>22</v>
      </c>
      <c r="K358">
        <f>H358*I358</f>
        <v>615</v>
      </c>
      <c r="L358" t="str">
        <f t="shared" si="10"/>
        <v>Mar</v>
      </c>
      <c r="M358">
        <f t="shared" si="11"/>
        <v>3</v>
      </c>
    </row>
    <row r="359" spans="1:13" x14ac:dyDescent="0.25">
      <c r="A359" s="2" t="s">
        <v>432</v>
      </c>
      <c r="B359" s="3">
        <v>45725</v>
      </c>
      <c r="C359" s="2" t="s">
        <v>34</v>
      </c>
      <c r="D359" s="2" t="s">
        <v>35</v>
      </c>
      <c r="E359" s="2" t="s">
        <v>36</v>
      </c>
      <c r="F359" s="2" t="s">
        <v>14</v>
      </c>
      <c r="G359" s="2" t="s">
        <v>37</v>
      </c>
      <c r="H359" s="2">
        <v>1</v>
      </c>
      <c r="I359" s="4">
        <v>165</v>
      </c>
      <c r="J359" s="2" t="s">
        <v>16</v>
      </c>
      <c r="K359">
        <f>H359*I359</f>
        <v>165</v>
      </c>
      <c r="L359" t="str">
        <f t="shared" si="10"/>
        <v>Mar</v>
      </c>
      <c r="M359">
        <f t="shared" si="11"/>
        <v>3</v>
      </c>
    </row>
    <row r="360" spans="1:13" x14ac:dyDescent="0.25">
      <c r="A360" s="2" t="s">
        <v>433</v>
      </c>
      <c r="B360" s="3">
        <v>45725</v>
      </c>
      <c r="C360" s="2" t="s">
        <v>25</v>
      </c>
      <c r="D360" s="2" t="s">
        <v>25</v>
      </c>
      <c r="E360" s="2" t="s">
        <v>26</v>
      </c>
      <c r="F360" s="2" t="s">
        <v>20</v>
      </c>
      <c r="G360" s="2" t="s">
        <v>21</v>
      </c>
      <c r="H360" s="2">
        <v>1</v>
      </c>
      <c r="I360" s="4">
        <v>20</v>
      </c>
      <c r="J360" s="2" t="s">
        <v>16</v>
      </c>
      <c r="K360">
        <f>H360*I360</f>
        <v>20</v>
      </c>
      <c r="L360" t="str">
        <f t="shared" si="10"/>
        <v>Mar</v>
      </c>
      <c r="M360">
        <f t="shared" si="11"/>
        <v>3</v>
      </c>
    </row>
    <row r="361" spans="1:13" x14ac:dyDescent="0.25">
      <c r="A361" s="2" t="s">
        <v>434</v>
      </c>
      <c r="B361" s="3">
        <v>45725</v>
      </c>
      <c r="C361" s="2" t="s">
        <v>60</v>
      </c>
      <c r="D361" s="2" t="s">
        <v>61</v>
      </c>
      <c r="E361" s="2" t="s">
        <v>62</v>
      </c>
      <c r="F361" s="2" t="s">
        <v>14</v>
      </c>
      <c r="G361" s="2" t="s">
        <v>63</v>
      </c>
      <c r="H361" s="2">
        <v>5</v>
      </c>
      <c r="I361" s="4">
        <v>26</v>
      </c>
      <c r="J361" s="2" t="s">
        <v>16</v>
      </c>
      <c r="K361">
        <f>H361*I361</f>
        <v>130</v>
      </c>
      <c r="L361" t="str">
        <f t="shared" si="10"/>
        <v>Mar</v>
      </c>
      <c r="M361">
        <f t="shared" si="11"/>
        <v>3</v>
      </c>
    </row>
    <row r="362" spans="1:13" x14ac:dyDescent="0.25">
      <c r="A362" s="2" t="s">
        <v>435</v>
      </c>
      <c r="B362" s="3">
        <v>45725</v>
      </c>
      <c r="C362" s="2" t="s">
        <v>109</v>
      </c>
      <c r="D362" s="2" t="s">
        <v>109</v>
      </c>
      <c r="E362" s="2" t="s">
        <v>13</v>
      </c>
      <c r="F362" s="2" t="s">
        <v>20</v>
      </c>
      <c r="G362" s="2" t="s">
        <v>21</v>
      </c>
      <c r="H362" s="2">
        <v>1</v>
      </c>
      <c r="I362" s="4">
        <v>20</v>
      </c>
      <c r="J362" s="2" t="s">
        <v>16</v>
      </c>
      <c r="K362">
        <f>H362*I362</f>
        <v>20</v>
      </c>
      <c r="L362" t="str">
        <f t="shared" si="10"/>
        <v>Mar</v>
      </c>
      <c r="M362">
        <f t="shared" si="11"/>
        <v>3</v>
      </c>
    </row>
    <row r="363" spans="1:13" x14ac:dyDescent="0.25">
      <c r="A363" s="2" t="s">
        <v>436</v>
      </c>
      <c r="B363" s="3">
        <v>45725</v>
      </c>
      <c r="C363" s="2" t="s">
        <v>42</v>
      </c>
      <c r="D363" s="2" t="s">
        <v>43</v>
      </c>
      <c r="E363" s="2" t="s">
        <v>44</v>
      </c>
      <c r="F363" s="2" t="s">
        <v>14</v>
      </c>
      <c r="G363" s="2" t="s">
        <v>45</v>
      </c>
      <c r="H363" s="2">
        <v>1</v>
      </c>
      <c r="I363" s="4">
        <v>46</v>
      </c>
      <c r="J363" s="2" t="s">
        <v>16</v>
      </c>
      <c r="K363">
        <f>H363*I363</f>
        <v>46</v>
      </c>
      <c r="L363" t="str">
        <f t="shared" si="10"/>
        <v>Mar</v>
      </c>
      <c r="M363">
        <f t="shared" si="11"/>
        <v>3</v>
      </c>
    </row>
    <row r="364" spans="1:13" x14ac:dyDescent="0.25">
      <c r="A364" s="2" t="s">
        <v>437</v>
      </c>
      <c r="B364" s="3">
        <v>45726</v>
      </c>
      <c r="C364" s="2" t="s">
        <v>75</v>
      </c>
      <c r="D364" s="2" t="s">
        <v>75</v>
      </c>
      <c r="E364" s="2" t="s">
        <v>76</v>
      </c>
      <c r="F364" s="2" t="s">
        <v>20</v>
      </c>
      <c r="G364" s="2" t="s">
        <v>21</v>
      </c>
      <c r="H364" s="2">
        <v>6</v>
      </c>
      <c r="I364" s="4">
        <v>12</v>
      </c>
      <c r="J364" s="2" t="s">
        <v>38</v>
      </c>
      <c r="K364">
        <f>H364*I364</f>
        <v>72</v>
      </c>
      <c r="L364" t="str">
        <f t="shared" si="10"/>
        <v>Mar</v>
      </c>
      <c r="M364">
        <f t="shared" si="11"/>
        <v>3</v>
      </c>
    </row>
    <row r="365" spans="1:13" x14ac:dyDescent="0.25">
      <c r="A365" s="2" t="s">
        <v>438</v>
      </c>
      <c r="B365" s="3">
        <v>45726</v>
      </c>
      <c r="C365" s="2" t="s">
        <v>101</v>
      </c>
      <c r="D365" s="2" t="s">
        <v>102</v>
      </c>
      <c r="E365" s="2" t="s">
        <v>36</v>
      </c>
      <c r="F365" s="2" t="s">
        <v>14</v>
      </c>
      <c r="G365" s="2" t="s">
        <v>103</v>
      </c>
      <c r="H365" s="2">
        <v>1</v>
      </c>
      <c r="I365" s="4">
        <v>92</v>
      </c>
      <c r="J365" s="2" t="s">
        <v>16</v>
      </c>
      <c r="K365">
        <f>H365*I365</f>
        <v>92</v>
      </c>
      <c r="L365" t="str">
        <f t="shared" si="10"/>
        <v>Mar</v>
      </c>
      <c r="M365">
        <f t="shared" si="11"/>
        <v>3</v>
      </c>
    </row>
    <row r="366" spans="1:13" x14ac:dyDescent="0.25">
      <c r="A366" s="2" t="s">
        <v>439</v>
      </c>
      <c r="B366" s="3">
        <v>45726</v>
      </c>
      <c r="C366" s="2" t="s">
        <v>190</v>
      </c>
      <c r="D366" s="2" t="s">
        <v>40</v>
      </c>
      <c r="E366" s="2" t="s">
        <v>19</v>
      </c>
      <c r="F366" s="2" t="s">
        <v>14</v>
      </c>
      <c r="G366" s="2" t="s">
        <v>191</v>
      </c>
      <c r="H366" s="2">
        <v>12</v>
      </c>
      <c r="I366" s="4">
        <v>142</v>
      </c>
      <c r="J366" s="2" t="s">
        <v>16</v>
      </c>
      <c r="K366">
        <f>H366*I366</f>
        <v>1704</v>
      </c>
      <c r="L366" t="str">
        <f t="shared" si="10"/>
        <v>Mar</v>
      </c>
      <c r="M366">
        <f t="shared" si="11"/>
        <v>3</v>
      </c>
    </row>
    <row r="367" spans="1:13" x14ac:dyDescent="0.25">
      <c r="A367" s="2" t="s">
        <v>440</v>
      </c>
      <c r="B367" s="3">
        <v>45726</v>
      </c>
      <c r="C367" s="2" t="s">
        <v>79</v>
      </c>
      <c r="D367" s="2" t="s">
        <v>80</v>
      </c>
      <c r="E367" s="2" t="s">
        <v>26</v>
      </c>
      <c r="F367" s="2" t="s">
        <v>14</v>
      </c>
      <c r="G367" s="2" t="s">
        <v>81</v>
      </c>
      <c r="H367" s="2">
        <v>1</v>
      </c>
      <c r="I367" s="4">
        <v>152</v>
      </c>
      <c r="J367" s="2" t="s">
        <v>16</v>
      </c>
      <c r="K367">
        <f>H367*I367</f>
        <v>152</v>
      </c>
      <c r="L367" t="str">
        <f t="shared" si="10"/>
        <v>Mar</v>
      </c>
      <c r="M367">
        <f t="shared" si="11"/>
        <v>3</v>
      </c>
    </row>
    <row r="368" spans="1:13" x14ac:dyDescent="0.25">
      <c r="A368" s="2" t="s">
        <v>441</v>
      </c>
      <c r="B368" s="3">
        <v>45726</v>
      </c>
      <c r="C368" s="2" t="s">
        <v>80</v>
      </c>
      <c r="D368" s="2" t="s">
        <v>80</v>
      </c>
      <c r="E368" s="2" t="s">
        <v>26</v>
      </c>
      <c r="F368" s="2" t="s">
        <v>20</v>
      </c>
      <c r="G368" s="2" t="s">
        <v>21</v>
      </c>
      <c r="H368" s="2">
        <v>5</v>
      </c>
      <c r="I368" s="4">
        <v>50</v>
      </c>
      <c r="J368" s="2" t="s">
        <v>38</v>
      </c>
      <c r="K368">
        <f>H368*I368</f>
        <v>250</v>
      </c>
      <c r="L368" t="str">
        <f t="shared" si="10"/>
        <v>Mar</v>
      </c>
      <c r="M368">
        <f t="shared" si="11"/>
        <v>3</v>
      </c>
    </row>
    <row r="369" spans="1:13" x14ac:dyDescent="0.25">
      <c r="A369" s="2" t="s">
        <v>442</v>
      </c>
      <c r="B369" s="3">
        <v>45726</v>
      </c>
      <c r="C369" s="2" t="s">
        <v>97</v>
      </c>
      <c r="D369" s="2" t="s">
        <v>98</v>
      </c>
      <c r="E369" s="2" t="s">
        <v>99</v>
      </c>
      <c r="F369" s="2" t="s">
        <v>14</v>
      </c>
      <c r="G369" s="2" t="s">
        <v>37</v>
      </c>
      <c r="H369" s="2">
        <v>1</v>
      </c>
      <c r="I369" s="4">
        <v>182</v>
      </c>
      <c r="J369" s="2" t="s">
        <v>16</v>
      </c>
      <c r="K369">
        <f>H369*I369</f>
        <v>182</v>
      </c>
      <c r="L369" t="str">
        <f t="shared" si="10"/>
        <v>Mar</v>
      </c>
      <c r="M369">
        <f t="shared" si="11"/>
        <v>3</v>
      </c>
    </row>
    <row r="370" spans="1:13" x14ac:dyDescent="0.25">
      <c r="A370" s="2" t="s">
        <v>443</v>
      </c>
      <c r="B370" s="3">
        <v>45726</v>
      </c>
      <c r="C370" s="2" t="s">
        <v>194</v>
      </c>
      <c r="D370" s="2" t="s">
        <v>98</v>
      </c>
      <c r="E370" s="2" t="s">
        <v>99</v>
      </c>
      <c r="F370" s="2" t="s">
        <v>20</v>
      </c>
      <c r="G370" s="2" t="s">
        <v>21</v>
      </c>
      <c r="H370" s="2">
        <v>4</v>
      </c>
      <c r="I370" s="4">
        <v>70</v>
      </c>
      <c r="J370" s="2" t="s">
        <v>38</v>
      </c>
      <c r="K370">
        <f>H370*I370</f>
        <v>280</v>
      </c>
      <c r="L370" t="str">
        <f t="shared" si="10"/>
        <v>Mar</v>
      </c>
      <c r="M370">
        <f t="shared" si="11"/>
        <v>3</v>
      </c>
    </row>
    <row r="371" spans="1:13" x14ac:dyDescent="0.25">
      <c r="A371" s="2" t="s">
        <v>444</v>
      </c>
      <c r="B371" s="3">
        <v>45726</v>
      </c>
      <c r="C371" s="2" t="s">
        <v>109</v>
      </c>
      <c r="D371" s="2" t="s">
        <v>109</v>
      </c>
      <c r="E371" s="2" t="s">
        <v>13</v>
      </c>
      <c r="F371" s="2" t="s">
        <v>20</v>
      </c>
      <c r="G371" s="2" t="s">
        <v>21</v>
      </c>
      <c r="H371" s="2">
        <v>4</v>
      </c>
      <c r="I371" s="4">
        <v>20</v>
      </c>
      <c r="J371" s="2" t="s">
        <v>16</v>
      </c>
      <c r="K371">
        <f>H371*I371</f>
        <v>80</v>
      </c>
      <c r="L371" t="str">
        <f t="shared" si="10"/>
        <v>Mar</v>
      </c>
      <c r="M371">
        <f t="shared" si="11"/>
        <v>3</v>
      </c>
    </row>
    <row r="372" spans="1:13" x14ac:dyDescent="0.25">
      <c r="A372" s="2" t="s">
        <v>445</v>
      </c>
      <c r="B372" s="3">
        <v>45727</v>
      </c>
      <c r="C372" s="2" t="s">
        <v>67</v>
      </c>
      <c r="D372" s="2" t="s">
        <v>68</v>
      </c>
      <c r="E372" s="2" t="s">
        <v>49</v>
      </c>
      <c r="F372" s="2" t="s">
        <v>14</v>
      </c>
      <c r="G372" s="2" t="s">
        <v>69</v>
      </c>
      <c r="H372" s="2">
        <v>4</v>
      </c>
      <c r="I372" s="4">
        <v>205</v>
      </c>
      <c r="J372" s="2" t="s">
        <v>22</v>
      </c>
      <c r="K372">
        <f>H372*I372</f>
        <v>820</v>
      </c>
      <c r="L372" t="str">
        <f t="shared" si="10"/>
        <v>Mar</v>
      </c>
      <c r="M372">
        <f t="shared" si="11"/>
        <v>3</v>
      </c>
    </row>
    <row r="373" spans="1:13" x14ac:dyDescent="0.25">
      <c r="A373" s="2" t="s">
        <v>446</v>
      </c>
      <c r="B373" s="3">
        <v>45727</v>
      </c>
      <c r="C373" s="2" t="s">
        <v>35</v>
      </c>
      <c r="D373" s="2" t="s">
        <v>35</v>
      </c>
      <c r="E373" s="2" t="s">
        <v>36</v>
      </c>
      <c r="F373" s="2" t="s">
        <v>20</v>
      </c>
      <c r="G373" s="2" t="s">
        <v>21</v>
      </c>
      <c r="H373" s="2">
        <v>6</v>
      </c>
      <c r="I373" s="4">
        <v>58</v>
      </c>
      <c r="J373" s="2" t="s">
        <v>16</v>
      </c>
      <c r="K373">
        <f>H373*I373</f>
        <v>348</v>
      </c>
      <c r="L373" t="str">
        <f t="shared" si="10"/>
        <v>Mar</v>
      </c>
      <c r="M373">
        <f t="shared" si="11"/>
        <v>3</v>
      </c>
    </row>
    <row r="374" spans="1:13" x14ac:dyDescent="0.25">
      <c r="A374" s="2" t="s">
        <v>447</v>
      </c>
      <c r="B374" s="3">
        <v>45728</v>
      </c>
      <c r="C374" s="2" t="s">
        <v>11</v>
      </c>
      <c r="D374" s="2" t="s">
        <v>12</v>
      </c>
      <c r="E374" s="2" t="s">
        <v>13</v>
      </c>
      <c r="F374" s="2" t="s">
        <v>14</v>
      </c>
      <c r="G374" s="2" t="s">
        <v>15</v>
      </c>
      <c r="H374" s="2">
        <v>2</v>
      </c>
      <c r="I374" s="4">
        <v>32</v>
      </c>
      <c r="J374" s="2" t="s">
        <v>16</v>
      </c>
      <c r="K374">
        <f>H374*I374</f>
        <v>64</v>
      </c>
      <c r="L374" t="str">
        <f t="shared" si="10"/>
        <v>Mar</v>
      </c>
      <c r="M374">
        <f t="shared" si="11"/>
        <v>3</v>
      </c>
    </row>
    <row r="375" spans="1:13" x14ac:dyDescent="0.25">
      <c r="A375" s="2" t="s">
        <v>448</v>
      </c>
      <c r="B375" s="3">
        <v>45728</v>
      </c>
      <c r="C375" s="2" t="s">
        <v>74</v>
      </c>
      <c r="D375" s="2" t="s">
        <v>75</v>
      </c>
      <c r="E375" s="2" t="s">
        <v>76</v>
      </c>
      <c r="F375" s="2" t="s">
        <v>14</v>
      </c>
      <c r="G375" s="2" t="s">
        <v>77</v>
      </c>
      <c r="H375" s="2">
        <v>2</v>
      </c>
      <c r="I375" s="4">
        <v>32</v>
      </c>
      <c r="J375" s="2" t="s">
        <v>16</v>
      </c>
      <c r="K375">
        <f>H375*I375</f>
        <v>64</v>
      </c>
      <c r="L375" t="str">
        <f t="shared" si="10"/>
        <v>Mar</v>
      </c>
      <c r="M375">
        <f t="shared" si="11"/>
        <v>3</v>
      </c>
    </row>
    <row r="376" spans="1:13" x14ac:dyDescent="0.25">
      <c r="A376" s="2" t="s">
        <v>449</v>
      </c>
      <c r="B376" s="3">
        <v>45728</v>
      </c>
      <c r="C376" s="2" t="s">
        <v>74</v>
      </c>
      <c r="D376" s="2" t="s">
        <v>75</v>
      </c>
      <c r="E376" s="2" t="s">
        <v>76</v>
      </c>
      <c r="F376" s="2" t="s">
        <v>14</v>
      </c>
      <c r="G376" s="2" t="s">
        <v>77</v>
      </c>
      <c r="H376" s="2">
        <v>3</v>
      </c>
      <c r="I376" s="4">
        <v>32</v>
      </c>
      <c r="J376" s="2" t="s">
        <v>16</v>
      </c>
      <c r="K376">
        <f>H376*I376</f>
        <v>96</v>
      </c>
      <c r="L376" t="str">
        <f t="shared" si="10"/>
        <v>Mar</v>
      </c>
      <c r="M376">
        <f t="shared" si="11"/>
        <v>3</v>
      </c>
    </row>
    <row r="377" spans="1:13" x14ac:dyDescent="0.25">
      <c r="A377" s="2" t="s">
        <v>450</v>
      </c>
      <c r="B377" s="3">
        <v>45728</v>
      </c>
      <c r="C377" s="2" t="s">
        <v>74</v>
      </c>
      <c r="D377" s="2" t="s">
        <v>75</v>
      </c>
      <c r="E377" s="2" t="s">
        <v>76</v>
      </c>
      <c r="F377" s="2" t="s">
        <v>14</v>
      </c>
      <c r="G377" s="2" t="s">
        <v>77</v>
      </c>
      <c r="H377" s="2">
        <v>1</v>
      </c>
      <c r="I377" s="4">
        <v>32</v>
      </c>
      <c r="J377" s="2" t="s">
        <v>38</v>
      </c>
      <c r="K377">
        <f>H377*I377</f>
        <v>32</v>
      </c>
      <c r="L377" t="str">
        <f t="shared" si="10"/>
        <v>Mar</v>
      </c>
      <c r="M377">
        <f t="shared" si="11"/>
        <v>3</v>
      </c>
    </row>
    <row r="378" spans="1:13" x14ac:dyDescent="0.25">
      <c r="A378" s="2" t="s">
        <v>451</v>
      </c>
      <c r="B378" s="3">
        <v>45728</v>
      </c>
      <c r="C378" s="2" t="s">
        <v>60</v>
      </c>
      <c r="D378" s="2" t="s">
        <v>61</v>
      </c>
      <c r="E378" s="2" t="s">
        <v>62</v>
      </c>
      <c r="F378" s="2" t="s">
        <v>14</v>
      </c>
      <c r="G378" s="2" t="s">
        <v>63</v>
      </c>
      <c r="H378" s="2">
        <v>2</v>
      </c>
      <c r="I378" s="4">
        <v>26</v>
      </c>
      <c r="J378" s="2" t="s">
        <v>31</v>
      </c>
      <c r="K378">
        <f>H378*I378</f>
        <v>52</v>
      </c>
      <c r="L378" t="str">
        <f t="shared" si="10"/>
        <v>Mar</v>
      </c>
      <c r="M378">
        <f t="shared" si="11"/>
        <v>3</v>
      </c>
    </row>
    <row r="379" spans="1:13" x14ac:dyDescent="0.25">
      <c r="A379" s="2" t="s">
        <v>452</v>
      </c>
      <c r="B379" s="3">
        <v>45728</v>
      </c>
      <c r="C379" s="2" t="s">
        <v>60</v>
      </c>
      <c r="D379" s="2" t="s">
        <v>61</v>
      </c>
      <c r="E379" s="2" t="s">
        <v>62</v>
      </c>
      <c r="F379" s="2" t="s">
        <v>14</v>
      </c>
      <c r="G379" s="2" t="s">
        <v>63</v>
      </c>
      <c r="H379" s="2">
        <v>2</v>
      </c>
      <c r="I379" s="4">
        <v>26</v>
      </c>
      <c r="J379" s="2" t="s">
        <v>16</v>
      </c>
      <c r="K379">
        <f>H379*I379</f>
        <v>52</v>
      </c>
      <c r="L379" t="str">
        <f t="shared" si="10"/>
        <v>Mar</v>
      </c>
      <c r="M379">
        <f t="shared" si="11"/>
        <v>3</v>
      </c>
    </row>
    <row r="380" spans="1:13" x14ac:dyDescent="0.25">
      <c r="A380" s="2" t="s">
        <v>453</v>
      </c>
      <c r="B380" s="3">
        <v>45728</v>
      </c>
      <c r="C380" s="2" t="s">
        <v>52</v>
      </c>
      <c r="D380" s="2" t="s">
        <v>30</v>
      </c>
      <c r="E380" s="2" t="s">
        <v>13</v>
      </c>
      <c r="F380" s="2" t="s">
        <v>14</v>
      </c>
      <c r="G380" s="2" t="s">
        <v>53</v>
      </c>
      <c r="H380" s="2">
        <v>2</v>
      </c>
      <c r="I380" s="4">
        <v>42</v>
      </c>
      <c r="J380" s="2" t="s">
        <v>22</v>
      </c>
      <c r="K380">
        <f>H380*I380</f>
        <v>84</v>
      </c>
      <c r="L380" t="str">
        <f t="shared" si="10"/>
        <v>Mar</v>
      </c>
      <c r="M380">
        <f t="shared" si="11"/>
        <v>3</v>
      </c>
    </row>
    <row r="381" spans="1:13" x14ac:dyDescent="0.25">
      <c r="A381" s="2" t="s">
        <v>454</v>
      </c>
      <c r="B381" s="3">
        <v>45728</v>
      </c>
      <c r="C381" s="2" t="s">
        <v>30</v>
      </c>
      <c r="D381" s="2" t="s">
        <v>30</v>
      </c>
      <c r="E381" s="2" t="s">
        <v>13</v>
      </c>
      <c r="F381" s="2" t="s">
        <v>20</v>
      </c>
      <c r="G381" s="2" t="s">
        <v>21</v>
      </c>
      <c r="H381" s="2">
        <v>3</v>
      </c>
      <c r="I381" s="4">
        <v>15</v>
      </c>
      <c r="J381" s="2" t="s">
        <v>16</v>
      </c>
      <c r="K381">
        <f>H381*I381</f>
        <v>45</v>
      </c>
      <c r="L381" t="str">
        <f t="shared" si="10"/>
        <v>Mar</v>
      </c>
      <c r="M381">
        <f t="shared" si="11"/>
        <v>3</v>
      </c>
    </row>
    <row r="382" spans="1:13" x14ac:dyDescent="0.25">
      <c r="A382" s="2" t="s">
        <v>455</v>
      </c>
      <c r="B382" s="3">
        <v>45729</v>
      </c>
      <c r="C382" s="2" t="s">
        <v>102</v>
      </c>
      <c r="D382" s="2" t="s">
        <v>102</v>
      </c>
      <c r="E382" s="2" t="s">
        <v>36</v>
      </c>
      <c r="F382" s="2" t="s">
        <v>20</v>
      </c>
      <c r="G382" s="2" t="s">
        <v>21</v>
      </c>
      <c r="H382" s="2">
        <v>3</v>
      </c>
      <c r="I382" s="4">
        <v>35</v>
      </c>
      <c r="J382" s="2" t="s">
        <v>16</v>
      </c>
      <c r="K382">
        <f>H382*I382</f>
        <v>105</v>
      </c>
      <c r="L382" t="str">
        <f t="shared" si="10"/>
        <v>Mar</v>
      </c>
      <c r="M382">
        <f t="shared" si="11"/>
        <v>3</v>
      </c>
    </row>
    <row r="383" spans="1:13" x14ac:dyDescent="0.25">
      <c r="A383" s="2" t="s">
        <v>456</v>
      </c>
      <c r="B383" s="3">
        <v>45730</v>
      </c>
      <c r="C383" s="2" t="s">
        <v>72</v>
      </c>
      <c r="D383" s="2" t="s">
        <v>68</v>
      </c>
      <c r="E383" s="2" t="s">
        <v>49</v>
      </c>
      <c r="F383" s="2" t="s">
        <v>20</v>
      </c>
      <c r="G383" s="2" t="s">
        <v>21</v>
      </c>
      <c r="H383" s="2">
        <v>3</v>
      </c>
      <c r="I383" s="4">
        <v>95</v>
      </c>
      <c r="J383" s="2" t="s">
        <v>16</v>
      </c>
      <c r="K383">
        <f>H383*I383</f>
        <v>285</v>
      </c>
      <c r="L383" t="str">
        <f t="shared" si="10"/>
        <v>Mar</v>
      </c>
      <c r="M383">
        <f t="shared" si="11"/>
        <v>3</v>
      </c>
    </row>
    <row r="384" spans="1:13" x14ac:dyDescent="0.25">
      <c r="A384" s="2" t="s">
        <v>457</v>
      </c>
      <c r="B384" s="3">
        <v>45730</v>
      </c>
      <c r="C384" s="2" t="s">
        <v>75</v>
      </c>
      <c r="D384" s="2" t="s">
        <v>75</v>
      </c>
      <c r="E384" s="2" t="s">
        <v>76</v>
      </c>
      <c r="F384" s="2" t="s">
        <v>20</v>
      </c>
      <c r="G384" s="2" t="s">
        <v>21</v>
      </c>
      <c r="H384" s="2">
        <v>3</v>
      </c>
      <c r="I384" s="4">
        <v>12</v>
      </c>
      <c r="J384" s="2" t="s">
        <v>16</v>
      </c>
      <c r="K384">
        <f>H384*I384</f>
        <v>36</v>
      </c>
      <c r="L384" t="str">
        <f t="shared" si="10"/>
        <v>Mar</v>
      </c>
      <c r="M384">
        <f t="shared" si="11"/>
        <v>3</v>
      </c>
    </row>
    <row r="385" spans="1:13" x14ac:dyDescent="0.25">
      <c r="A385" s="2" t="s">
        <v>458</v>
      </c>
      <c r="B385" s="3">
        <v>45730</v>
      </c>
      <c r="C385" s="2" t="s">
        <v>75</v>
      </c>
      <c r="D385" s="2" t="s">
        <v>75</v>
      </c>
      <c r="E385" s="2" t="s">
        <v>76</v>
      </c>
      <c r="F385" s="2" t="s">
        <v>20</v>
      </c>
      <c r="G385" s="2" t="s">
        <v>21</v>
      </c>
      <c r="H385" s="2">
        <v>3</v>
      </c>
      <c r="I385" s="4">
        <v>12</v>
      </c>
      <c r="J385" s="2" t="s">
        <v>31</v>
      </c>
      <c r="K385">
        <f>H385*I385</f>
        <v>36</v>
      </c>
      <c r="L385" t="str">
        <f t="shared" si="10"/>
        <v>Mar</v>
      </c>
      <c r="M385">
        <f t="shared" si="11"/>
        <v>3</v>
      </c>
    </row>
    <row r="386" spans="1:13" x14ac:dyDescent="0.25">
      <c r="A386" s="2" t="s">
        <v>459</v>
      </c>
      <c r="B386" s="3">
        <v>45730</v>
      </c>
      <c r="C386" s="2" t="s">
        <v>18</v>
      </c>
      <c r="D386" s="2" t="s">
        <v>18</v>
      </c>
      <c r="E386" s="2" t="s">
        <v>19</v>
      </c>
      <c r="F386" s="2" t="s">
        <v>20</v>
      </c>
      <c r="G386" s="2" t="s">
        <v>21</v>
      </c>
      <c r="H386" s="2">
        <v>6</v>
      </c>
      <c r="I386" s="4">
        <v>15</v>
      </c>
      <c r="J386" s="2" t="s">
        <v>31</v>
      </c>
      <c r="K386">
        <f>H386*I386</f>
        <v>90</v>
      </c>
      <c r="L386" t="str">
        <f t="shared" si="10"/>
        <v>Mar</v>
      </c>
      <c r="M386">
        <f t="shared" si="11"/>
        <v>3</v>
      </c>
    </row>
    <row r="387" spans="1:13" x14ac:dyDescent="0.25">
      <c r="A387" s="2" t="s">
        <v>460</v>
      </c>
      <c r="B387" s="3">
        <v>45730</v>
      </c>
      <c r="C387" s="2" t="s">
        <v>79</v>
      </c>
      <c r="D387" s="2" t="s">
        <v>80</v>
      </c>
      <c r="E387" s="2" t="s">
        <v>26</v>
      </c>
      <c r="F387" s="2" t="s">
        <v>14</v>
      </c>
      <c r="G387" s="2" t="s">
        <v>81</v>
      </c>
      <c r="H387" s="2">
        <v>3</v>
      </c>
      <c r="I387" s="4">
        <v>152</v>
      </c>
      <c r="J387" s="2" t="s">
        <v>16</v>
      </c>
      <c r="K387">
        <f>H387*I387</f>
        <v>456</v>
      </c>
      <c r="L387" t="str">
        <f t="shared" ref="L387:L450" si="12">TEXT(B387,"mmm")</f>
        <v>Mar</v>
      </c>
      <c r="M387">
        <f t="shared" ref="M387:M450" si="13">MONTH(B387)</f>
        <v>3</v>
      </c>
    </row>
    <row r="388" spans="1:13" x14ac:dyDescent="0.25">
      <c r="A388" s="2" t="s">
        <v>461</v>
      </c>
      <c r="B388" s="3">
        <v>45730</v>
      </c>
      <c r="C388" s="2" t="s">
        <v>24</v>
      </c>
      <c r="D388" s="2" t="s">
        <v>25</v>
      </c>
      <c r="E388" s="2" t="s">
        <v>26</v>
      </c>
      <c r="F388" s="2" t="s">
        <v>14</v>
      </c>
      <c r="G388" s="2" t="s">
        <v>27</v>
      </c>
      <c r="H388" s="2">
        <v>1</v>
      </c>
      <c r="I388" s="4">
        <v>58</v>
      </c>
      <c r="J388" s="2" t="s">
        <v>38</v>
      </c>
      <c r="K388">
        <f>H388*I388</f>
        <v>58</v>
      </c>
      <c r="L388" t="str">
        <f t="shared" si="12"/>
        <v>Mar</v>
      </c>
      <c r="M388">
        <f t="shared" si="13"/>
        <v>3</v>
      </c>
    </row>
    <row r="389" spans="1:13" x14ac:dyDescent="0.25">
      <c r="A389" s="2" t="s">
        <v>462</v>
      </c>
      <c r="B389" s="3">
        <v>45730</v>
      </c>
      <c r="C389" s="2" t="s">
        <v>60</v>
      </c>
      <c r="D389" s="2" t="s">
        <v>61</v>
      </c>
      <c r="E389" s="2" t="s">
        <v>62</v>
      </c>
      <c r="F389" s="2" t="s">
        <v>14</v>
      </c>
      <c r="G389" s="2" t="s">
        <v>63</v>
      </c>
      <c r="H389" s="2">
        <v>1</v>
      </c>
      <c r="I389" s="4">
        <v>26</v>
      </c>
      <c r="J389" s="2" t="s">
        <v>38</v>
      </c>
      <c r="K389">
        <f>H389*I389</f>
        <v>26</v>
      </c>
      <c r="L389" t="str">
        <f t="shared" si="12"/>
        <v>Mar</v>
      </c>
      <c r="M389">
        <f t="shared" si="13"/>
        <v>3</v>
      </c>
    </row>
    <row r="390" spans="1:13" x14ac:dyDescent="0.25">
      <c r="A390" s="2" t="s">
        <v>463</v>
      </c>
      <c r="B390" s="3">
        <v>45730</v>
      </c>
      <c r="C390" s="2" t="s">
        <v>97</v>
      </c>
      <c r="D390" s="2" t="s">
        <v>98</v>
      </c>
      <c r="E390" s="2" t="s">
        <v>99</v>
      </c>
      <c r="F390" s="2" t="s">
        <v>14</v>
      </c>
      <c r="G390" s="2" t="s">
        <v>37</v>
      </c>
      <c r="H390" s="2">
        <v>1</v>
      </c>
      <c r="I390" s="4">
        <v>182</v>
      </c>
      <c r="J390" s="2" t="s">
        <v>16</v>
      </c>
      <c r="K390">
        <f>H390*I390</f>
        <v>182</v>
      </c>
      <c r="L390" t="str">
        <f t="shared" si="12"/>
        <v>Mar</v>
      </c>
      <c r="M390">
        <f t="shared" si="13"/>
        <v>3</v>
      </c>
    </row>
    <row r="391" spans="1:13" x14ac:dyDescent="0.25">
      <c r="A391" s="2" t="s">
        <v>464</v>
      </c>
      <c r="B391" s="3">
        <v>45730</v>
      </c>
      <c r="C391" s="2" t="s">
        <v>97</v>
      </c>
      <c r="D391" s="2" t="s">
        <v>98</v>
      </c>
      <c r="E391" s="2" t="s">
        <v>99</v>
      </c>
      <c r="F391" s="2" t="s">
        <v>14</v>
      </c>
      <c r="G391" s="2" t="s">
        <v>37</v>
      </c>
      <c r="H391" s="2">
        <v>5</v>
      </c>
      <c r="I391" s="4">
        <v>182</v>
      </c>
      <c r="J391" s="2" t="s">
        <v>31</v>
      </c>
      <c r="K391">
        <f>H391*I391</f>
        <v>910</v>
      </c>
      <c r="L391" t="str">
        <f t="shared" si="12"/>
        <v>Mar</v>
      </c>
      <c r="M391">
        <f t="shared" si="13"/>
        <v>3</v>
      </c>
    </row>
    <row r="392" spans="1:13" x14ac:dyDescent="0.25">
      <c r="A392" s="2" t="s">
        <v>465</v>
      </c>
      <c r="B392" s="3">
        <v>45731</v>
      </c>
      <c r="C392" s="2" t="s">
        <v>101</v>
      </c>
      <c r="D392" s="2" t="s">
        <v>102</v>
      </c>
      <c r="E392" s="2" t="s">
        <v>36</v>
      </c>
      <c r="F392" s="2" t="s">
        <v>14</v>
      </c>
      <c r="G392" s="2" t="s">
        <v>103</v>
      </c>
      <c r="H392" s="2">
        <v>1</v>
      </c>
      <c r="I392" s="4">
        <v>92</v>
      </c>
      <c r="J392" s="2" t="s">
        <v>16</v>
      </c>
      <c r="K392">
        <f>H392*I392</f>
        <v>92</v>
      </c>
      <c r="L392" t="str">
        <f t="shared" si="12"/>
        <v>Mar</v>
      </c>
      <c r="M392">
        <f t="shared" si="13"/>
        <v>3</v>
      </c>
    </row>
    <row r="393" spans="1:13" x14ac:dyDescent="0.25">
      <c r="A393" s="2" t="s">
        <v>466</v>
      </c>
      <c r="B393" s="3">
        <v>45731</v>
      </c>
      <c r="C393" s="2" t="s">
        <v>124</v>
      </c>
      <c r="D393" s="2" t="s">
        <v>18</v>
      </c>
      <c r="E393" s="2" t="s">
        <v>19</v>
      </c>
      <c r="F393" s="2" t="s">
        <v>14</v>
      </c>
      <c r="G393" s="2" t="s">
        <v>125</v>
      </c>
      <c r="H393" s="2">
        <v>6</v>
      </c>
      <c r="I393" s="4">
        <v>45</v>
      </c>
      <c r="J393" s="2" t="s">
        <v>38</v>
      </c>
      <c r="K393">
        <f>H393*I393</f>
        <v>270</v>
      </c>
      <c r="L393" t="str">
        <f t="shared" si="12"/>
        <v>Mar</v>
      </c>
      <c r="M393">
        <f t="shared" si="13"/>
        <v>3</v>
      </c>
    </row>
    <row r="394" spans="1:13" x14ac:dyDescent="0.25">
      <c r="A394" s="2" t="s">
        <v>467</v>
      </c>
      <c r="B394" s="3">
        <v>45731</v>
      </c>
      <c r="C394" s="2" t="s">
        <v>124</v>
      </c>
      <c r="D394" s="2" t="s">
        <v>18</v>
      </c>
      <c r="E394" s="2" t="s">
        <v>19</v>
      </c>
      <c r="F394" s="2" t="s">
        <v>14</v>
      </c>
      <c r="G394" s="2" t="s">
        <v>125</v>
      </c>
      <c r="H394" s="2">
        <v>3</v>
      </c>
      <c r="I394" s="4">
        <v>45</v>
      </c>
      <c r="J394" s="2" t="s">
        <v>16</v>
      </c>
      <c r="K394">
        <f>H394*I394</f>
        <v>135</v>
      </c>
      <c r="L394" t="str">
        <f t="shared" si="12"/>
        <v>Mar</v>
      </c>
      <c r="M394">
        <f t="shared" si="13"/>
        <v>3</v>
      </c>
    </row>
    <row r="395" spans="1:13" x14ac:dyDescent="0.25">
      <c r="A395" s="2" t="s">
        <v>468</v>
      </c>
      <c r="B395" s="3">
        <v>45731</v>
      </c>
      <c r="C395" s="2" t="s">
        <v>18</v>
      </c>
      <c r="D395" s="2" t="s">
        <v>18</v>
      </c>
      <c r="E395" s="2" t="s">
        <v>19</v>
      </c>
      <c r="F395" s="2" t="s">
        <v>20</v>
      </c>
      <c r="G395" s="2" t="s">
        <v>21</v>
      </c>
      <c r="H395" s="2">
        <v>6</v>
      </c>
      <c r="I395" s="4">
        <v>15</v>
      </c>
      <c r="J395" s="2" t="s">
        <v>38</v>
      </c>
      <c r="K395">
        <f>H395*I395</f>
        <v>90</v>
      </c>
      <c r="L395" t="str">
        <f t="shared" si="12"/>
        <v>Mar</v>
      </c>
      <c r="M395">
        <f t="shared" si="13"/>
        <v>3</v>
      </c>
    </row>
    <row r="396" spans="1:13" x14ac:dyDescent="0.25">
      <c r="A396" s="2" t="s">
        <v>469</v>
      </c>
      <c r="B396" s="3">
        <v>45732</v>
      </c>
      <c r="C396" s="2" t="s">
        <v>119</v>
      </c>
      <c r="D396" s="2" t="s">
        <v>120</v>
      </c>
      <c r="E396" s="2" t="s">
        <v>76</v>
      </c>
      <c r="F396" s="2" t="s">
        <v>14</v>
      </c>
      <c r="G396" s="2" t="s">
        <v>121</v>
      </c>
      <c r="H396" s="2">
        <v>6</v>
      </c>
      <c r="I396" s="4">
        <v>190</v>
      </c>
      <c r="J396" s="2" t="s">
        <v>31</v>
      </c>
      <c r="K396">
        <f>H396*I396</f>
        <v>1140</v>
      </c>
      <c r="L396" t="str">
        <f t="shared" si="12"/>
        <v>Mar</v>
      </c>
      <c r="M396">
        <f t="shared" si="13"/>
        <v>3</v>
      </c>
    </row>
    <row r="397" spans="1:13" x14ac:dyDescent="0.25">
      <c r="A397" s="2" t="s">
        <v>470</v>
      </c>
      <c r="B397" s="3">
        <v>45732</v>
      </c>
      <c r="C397" s="2" t="s">
        <v>34</v>
      </c>
      <c r="D397" s="2" t="s">
        <v>35</v>
      </c>
      <c r="E397" s="2" t="s">
        <v>36</v>
      </c>
      <c r="F397" s="2" t="s">
        <v>14</v>
      </c>
      <c r="G397" s="2" t="s">
        <v>37</v>
      </c>
      <c r="H397" s="2">
        <v>6</v>
      </c>
      <c r="I397" s="4">
        <v>165</v>
      </c>
      <c r="J397" s="2" t="s">
        <v>16</v>
      </c>
      <c r="K397">
        <f>H397*I397</f>
        <v>990</v>
      </c>
      <c r="L397" t="str">
        <f t="shared" si="12"/>
        <v>Mar</v>
      </c>
      <c r="M397">
        <f t="shared" si="13"/>
        <v>3</v>
      </c>
    </row>
    <row r="398" spans="1:13" x14ac:dyDescent="0.25">
      <c r="A398" s="2" t="s">
        <v>471</v>
      </c>
      <c r="B398" s="3">
        <v>45732</v>
      </c>
      <c r="C398" s="2" t="s">
        <v>42</v>
      </c>
      <c r="D398" s="2" t="s">
        <v>43</v>
      </c>
      <c r="E398" s="2" t="s">
        <v>44</v>
      </c>
      <c r="F398" s="2" t="s">
        <v>14</v>
      </c>
      <c r="G398" s="2" t="s">
        <v>45</v>
      </c>
      <c r="H398" s="2">
        <v>5</v>
      </c>
      <c r="I398" s="4">
        <v>46</v>
      </c>
      <c r="J398" s="2" t="s">
        <v>38</v>
      </c>
      <c r="K398">
        <f>H398*I398</f>
        <v>230</v>
      </c>
      <c r="L398" t="str">
        <f t="shared" si="12"/>
        <v>Mar</v>
      </c>
      <c r="M398">
        <f t="shared" si="13"/>
        <v>3</v>
      </c>
    </row>
    <row r="399" spans="1:13" x14ac:dyDescent="0.25">
      <c r="A399" s="2" t="s">
        <v>472</v>
      </c>
      <c r="B399" s="3">
        <v>45733</v>
      </c>
      <c r="C399" s="2" t="s">
        <v>86</v>
      </c>
      <c r="D399" s="2" t="s">
        <v>48</v>
      </c>
      <c r="E399" s="2" t="s">
        <v>49</v>
      </c>
      <c r="F399" s="2" t="s">
        <v>14</v>
      </c>
      <c r="G399" s="2" t="s">
        <v>87</v>
      </c>
      <c r="H399" s="2">
        <v>2</v>
      </c>
      <c r="I399" s="4">
        <v>125</v>
      </c>
      <c r="J399" s="2" t="s">
        <v>38</v>
      </c>
      <c r="K399">
        <f>H399*I399</f>
        <v>250</v>
      </c>
      <c r="L399" t="str">
        <f t="shared" si="12"/>
        <v>Mar</v>
      </c>
      <c r="M399">
        <f t="shared" si="13"/>
        <v>3</v>
      </c>
    </row>
    <row r="400" spans="1:13" x14ac:dyDescent="0.25">
      <c r="A400" s="2" t="s">
        <v>473</v>
      </c>
      <c r="B400" s="3">
        <v>45733</v>
      </c>
      <c r="C400" s="2" t="s">
        <v>102</v>
      </c>
      <c r="D400" s="2" t="s">
        <v>102</v>
      </c>
      <c r="E400" s="2" t="s">
        <v>36</v>
      </c>
      <c r="F400" s="2" t="s">
        <v>20</v>
      </c>
      <c r="G400" s="2" t="s">
        <v>21</v>
      </c>
      <c r="H400" s="2">
        <v>1</v>
      </c>
      <c r="I400" s="4">
        <v>35</v>
      </c>
      <c r="J400" s="2" t="s">
        <v>22</v>
      </c>
      <c r="K400">
        <f>H400*I400</f>
        <v>35</v>
      </c>
      <c r="L400" t="str">
        <f t="shared" si="12"/>
        <v>Mar</v>
      </c>
      <c r="M400">
        <f t="shared" si="13"/>
        <v>3</v>
      </c>
    </row>
    <row r="401" spans="1:13" x14ac:dyDescent="0.25">
      <c r="A401" s="2" t="s">
        <v>474</v>
      </c>
      <c r="B401" s="3">
        <v>45733</v>
      </c>
      <c r="C401" s="2" t="s">
        <v>18</v>
      </c>
      <c r="D401" s="2" t="s">
        <v>18</v>
      </c>
      <c r="E401" s="2" t="s">
        <v>19</v>
      </c>
      <c r="F401" s="2" t="s">
        <v>20</v>
      </c>
      <c r="G401" s="2" t="s">
        <v>21</v>
      </c>
      <c r="H401" s="2">
        <v>1</v>
      </c>
      <c r="I401" s="4">
        <v>15</v>
      </c>
      <c r="J401" s="2" t="s">
        <v>31</v>
      </c>
      <c r="K401">
        <f>H401*I401</f>
        <v>15</v>
      </c>
      <c r="L401" t="str">
        <f t="shared" si="12"/>
        <v>Mar</v>
      </c>
      <c r="M401">
        <f t="shared" si="13"/>
        <v>3</v>
      </c>
    </row>
    <row r="402" spans="1:13" x14ac:dyDescent="0.25">
      <c r="A402" s="2" t="s">
        <v>475</v>
      </c>
      <c r="B402" s="3">
        <v>45733</v>
      </c>
      <c r="C402" s="2" t="s">
        <v>194</v>
      </c>
      <c r="D402" s="2" t="s">
        <v>98</v>
      </c>
      <c r="E402" s="2" t="s">
        <v>99</v>
      </c>
      <c r="F402" s="2" t="s">
        <v>20</v>
      </c>
      <c r="G402" s="2" t="s">
        <v>21</v>
      </c>
      <c r="H402" s="2">
        <v>2</v>
      </c>
      <c r="I402" s="4">
        <v>70</v>
      </c>
      <c r="J402" s="2" t="s">
        <v>16</v>
      </c>
      <c r="K402">
        <f>H402*I402</f>
        <v>140</v>
      </c>
      <c r="L402" t="str">
        <f t="shared" si="12"/>
        <v>Mar</v>
      </c>
      <c r="M402">
        <f t="shared" si="13"/>
        <v>3</v>
      </c>
    </row>
    <row r="403" spans="1:13" x14ac:dyDescent="0.25">
      <c r="A403" s="2" t="s">
        <v>476</v>
      </c>
      <c r="B403" s="3">
        <v>45734</v>
      </c>
      <c r="C403" s="2" t="s">
        <v>101</v>
      </c>
      <c r="D403" s="2" t="s">
        <v>102</v>
      </c>
      <c r="E403" s="2" t="s">
        <v>36</v>
      </c>
      <c r="F403" s="2" t="s">
        <v>14</v>
      </c>
      <c r="G403" s="2" t="s">
        <v>103</v>
      </c>
      <c r="H403" s="2">
        <v>6</v>
      </c>
      <c r="I403" s="4">
        <v>92</v>
      </c>
      <c r="J403" s="2" t="s">
        <v>16</v>
      </c>
      <c r="K403">
        <f>H403*I403</f>
        <v>552</v>
      </c>
      <c r="L403" t="str">
        <f t="shared" si="12"/>
        <v>Mar</v>
      </c>
      <c r="M403">
        <f t="shared" si="13"/>
        <v>3</v>
      </c>
    </row>
    <row r="404" spans="1:13" x14ac:dyDescent="0.25">
      <c r="A404" s="2" t="s">
        <v>477</v>
      </c>
      <c r="B404" s="3">
        <v>45734</v>
      </c>
      <c r="C404" s="2" t="s">
        <v>190</v>
      </c>
      <c r="D404" s="2" t="s">
        <v>40</v>
      </c>
      <c r="E404" s="2" t="s">
        <v>19</v>
      </c>
      <c r="F404" s="2" t="s">
        <v>14</v>
      </c>
      <c r="G404" s="2" t="s">
        <v>191</v>
      </c>
      <c r="H404" s="2">
        <v>6</v>
      </c>
      <c r="I404" s="4">
        <v>142</v>
      </c>
      <c r="J404" s="2" t="s">
        <v>16</v>
      </c>
      <c r="K404">
        <f>H404*I404</f>
        <v>852</v>
      </c>
      <c r="L404" t="str">
        <f t="shared" si="12"/>
        <v>Mar</v>
      </c>
      <c r="M404">
        <f t="shared" si="13"/>
        <v>3</v>
      </c>
    </row>
    <row r="405" spans="1:13" x14ac:dyDescent="0.25">
      <c r="A405" s="2" t="s">
        <v>478</v>
      </c>
      <c r="B405" s="3">
        <v>45735</v>
      </c>
      <c r="C405" s="2" t="s">
        <v>86</v>
      </c>
      <c r="D405" s="2" t="s">
        <v>48</v>
      </c>
      <c r="E405" s="2" t="s">
        <v>49</v>
      </c>
      <c r="F405" s="2" t="s">
        <v>14</v>
      </c>
      <c r="G405" s="2" t="s">
        <v>87</v>
      </c>
      <c r="H405" s="2">
        <v>3</v>
      </c>
      <c r="I405" s="4">
        <v>125</v>
      </c>
      <c r="J405" s="2" t="s">
        <v>38</v>
      </c>
      <c r="K405">
        <f>H405*I405</f>
        <v>375</v>
      </c>
      <c r="L405" t="str">
        <f t="shared" si="12"/>
        <v>Mar</v>
      </c>
      <c r="M405">
        <f t="shared" si="13"/>
        <v>3</v>
      </c>
    </row>
    <row r="406" spans="1:13" x14ac:dyDescent="0.25">
      <c r="A406" s="2" t="s">
        <v>479</v>
      </c>
      <c r="B406" s="3">
        <v>45735</v>
      </c>
      <c r="C406" s="2" t="s">
        <v>74</v>
      </c>
      <c r="D406" s="2" t="s">
        <v>75</v>
      </c>
      <c r="E406" s="2" t="s">
        <v>76</v>
      </c>
      <c r="F406" s="2" t="s">
        <v>14</v>
      </c>
      <c r="G406" s="2" t="s">
        <v>77</v>
      </c>
      <c r="H406" s="2">
        <v>1</v>
      </c>
      <c r="I406" s="4">
        <v>32</v>
      </c>
      <c r="J406" s="2" t="s">
        <v>38</v>
      </c>
      <c r="K406">
        <f>H406*I406</f>
        <v>32</v>
      </c>
      <c r="L406" t="str">
        <f t="shared" si="12"/>
        <v>Mar</v>
      </c>
      <c r="M406">
        <f t="shared" si="13"/>
        <v>3</v>
      </c>
    </row>
    <row r="407" spans="1:13" x14ac:dyDescent="0.25">
      <c r="A407" s="2" t="s">
        <v>480</v>
      </c>
      <c r="B407" s="3">
        <v>45735</v>
      </c>
      <c r="C407" s="2" t="s">
        <v>101</v>
      </c>
      <c r="D407" s="2" t="s">
        <v>102</v>
      </c>
      <c r="E407" s="2" t="s">
        <v>36</v>
      </c>
      <c r="F407" s="2" t="s">
        <v>14</v>
      </c>
      <c r="G407" s="2" t="s">
        <v>103</v>
      </c>
      <c r="H407" s="2">
        <v>6</v>
      </c>
      <c r="I407" s="4">
        <v>92</v>
      </c>
      <c r="J407" s="2" t="s">
        <v>16</v>
      </c>
      <c r="K407">
        <f>H407*I407</f>
        <v>552</v>
      </c>
      <c r="L407" t="str">
        <f t="shared" si="12"/>
        <v>Mar</v>
      </c>
      <c r="M407">
        <f t="shared" si="13"/>
        <v>3</v>
      </c>
    </row>
    <row r="408" spans="1:13" x14ac:dyDescent="0.25">
      <c r="A408" s="2" t="s">
        <v>481</v>
      </c>
      <c r="B408" s="3">
        <v>45735</v>
      </c>
      <c r="C408" s="2" t="s">
        <v>52</v>
      </c>
      <c r="D408" s="2" t="s">
        <v>30</v>
      </c>
      <c r="E408" s="2" t="s">
        <v>13</v>
      </c>
      <c r="F408" s="2" t="s">
        <v>14</v>
      </c>
      <c r="G408" s="2" t="s">
        <v>53</v>
      </c>
      <c r="H408" s="2">
        <v>4</v>
      </c>
      <c r="I408" s="4">
        <v>42</v>
      </c>
      <c r="J408" s="2" t="s">
        <v>22</v>
      </c>
      <c r="K408">
        <f>H408*I408</f>
        <v>168</v>
      </c>
      <c r="L408" t="str">
        <f t="shared" si="12"/>
        <v>Mar</v>
      </c>
      <c r="M408">
        <f t="shared" si="13"/>
        <v>3</v>
      </c>
    </row>
    <row r="409" spans="1:13" x14ac:dyDescent="0.25">
      <c r="A409" s="2" t="s">
        <v>482</v>
      </c>
      <c r="B409" s="3">
        <v>45736</v>
      </c>
      <c r="C409" s="2" t="s">
        <v>86</v>
      </c>
      <c r="D409" s="2" t="s">
        <v>48</v>
      </c>
      <c r="E409" s="2" t="s">
        <v>49</v>
      </c>
      <c r="F409" s="2" t="s">
        <v>14</v>
      </c>
      <c r="G409" s="2" t="s">
        <v>87</v>
      </c>
      <c r="H409" s="2">
        <v>4</v>
      </c>
      <c r="I409" s="4">
        <v>125</v>
      </c>
      <c r="J409" s="2" t="s">
        <v>22</v>
      </c>
      <c r="K409">
        <f>H409*I409</f>
        <v>500</v>
      </c>
      <c r="L409" t="str">
        <f t="shared" si="12"/>
        <v>Mar</v>
      </c>
      <c r="M409">
        <f t="shared" si="13"/>
        <v>3</v>
      </c>
    </row>
    <row r="410" spans="1:13" x14ac:dyDescent="0.25">
      <c r="A410" s="2" t="s">
        <v>483</v>
      </c>
      <c r="B410" s="3">
        <v>45736</v>
      </c>
      <c r="C410" s="2" t="s">
        <v>74</v>
      </c>
      <c r="D410" s="2" t="s">
        <v>75</v>
      </c>
      <c r="E410" s="2" t="s">
        <v>76</v>
      </c>
      <c r="F410" s="2" t="s">
        <v>14</v>
      </c>
      <c r="G410" s="2" t="s">
        <v>77</v>
      </c>
      <c r="H410" s="2">
        <v>12</v>
      </c>
      <c r="I410" s="4">
        <v>32</v>
      </c>
      <c r="J410" s="2" t="s">
        <v>31</v>
      </c>
      <c r="K410">
        <f>H410*I410</f>
        <v>384</v>
      </c>
      <c r="L410" t="str">
        <f t="shared" si="12"/>
        <v>Mar</v>
      </c>
      <c r="M410">
        <f t="shared" si="13"/>
        <v>3</v>
      </c>
    </row>
    <row r="411" spans="1:13" x14ac:dyDescent="0.25">
      <c r="A411" s="2" t="s">
        <v>484</v>
      </c>
      <c r="B411" s="3">
        <v>45736</v>
      </c>
      <c r="C411" s="2" t="s">
        <v>74</v>
      </c>
      <c r="D411" s="2" t="s">
        <v>75</v>
      </c>
      <c r="E411" s="2" t="s">
        <v>76</v>
      </c>
      <c r="F411" s="2" t="s">
        <v>14</v>
      </c>
      <c r="G411" s="2" t="s">
        <v>77</v>
      </c>
      <c r="H411" s="2">
        <v>12</v>
      </c>
      <c r="I411" s="4">
        <v>32</v>
      </c>
      <c r="J411" s="2" t="s">
        <v>31</v>
      </c>
      <c r="K411">
        <f>H411*I411</f>
        <v>384</v>
      </c>
      <c r="L411" t="str">
        <f t="shared" si="12"/>
        <v>Mar</v>
      </c>
      <c r="M411">
        <f t="shared" si="13"/>
        <v>3</v>
      </c>
    </row>
    <row r="412" spans="1:13" x14ac:dyDescent="0.25">
      <c r="A412" s="2" t="s">
        <v>485</v>
      </c>
      <c r="B412" s="3">
        <v>45736</v>
      </c>
      <c r="C412" s="2" t="s">
        <v>124</v>
      </c>
      <c r="D412" s="2" t="s">
        <v>18</v>
      </c>
      <c r="E412" s="2" t="s">
        <v>19</v>
      </c>
      <c r="F412" s="2" t="s">
        <v>14</v>
      </c>
      <c r="G412" s="2" t="s">
        <v>125</v>
      </c>
      <c r="H412" s="2">
        <v>6</v>
      </c>
      <c r="I412" s="4">
        <v>45</v>
      </c>
      <c r="J412" s="2" t="s">
        <v>16</v>
      </c>
      <c r="K412">
        <f>H412*I412</f>
        <v>270</v>
      </c>
      <c r="L412" t="str">
        <f t="shared" si="12"/>
        <v>Mar</v>
      </c>
      <c r="M412">
        <f t="shared" si="13"/>
        <v>3</v>
      </c>
    </row>
    <row r="413" spans="1:13" x14ac:dyDescent="0.25">
      <c r="A413" s="2" t="s">
        <v>486</v>
      </c>
      <c r="B413" s="3">
        <v>45736</v>
      </c>
      <c r="C413" s="2" t="s">
        <v>43</v>
      </c>
      <c r="D413" s="2" t="s">
        <v>43</v>
      </c>
      <c r="E413" s="2" t="s">
        <v>44</v>
      </c>
      <c r="F413" s="2" t="s">
        <v>20</v>
      </c>
      <c r="G413" s="2" t="s">
        <v>21</v>
      </c>
      <c r="H413" s="2">
        <v>1</v>
      </c>
      <c r="I413" s="4">
        <v>18</v>
      </c>
      <c r="J413" s="2" t="s">
        <v>16</v>
      </c>
      <c r="K413">
        <f>H413*I413</f>
        <v>18</v>
      </c>
      <c r="L413" t="str">
        <f t="shared" si="12"/>
        <v>Mar</v>
      </c>
      <c r="M413">
        <f t="shared" si="13"/>
        <v>3</v>
      </c>
    </row>
    <row r="414" spans="1:13" x14ac:dyDescent="0.25">
      <c r="A414" s="2" t="s">
        <v>487</v>
      </c>
      <c r="B414" s="3">
        <v>45737</v>
      </c>
      <c r="C414" s="2" t="s">
        <v>48</v>
      </c>
      <c r="D414" s="2" t="s">
        <v>48</v>
      </c>
      <c r="E414" s="2" t="s">
        <v>49</v>
      </c>
      <c r="F414" s="2" t="s">
        <v>20</v>
      </c>
      <c r="G414" s="2" t="s">
        <v>21</v>
      </c>
      <c r="H414" s="2">
        <v>2</v>
      </c>
      <c r="I414" s="4">
        <v>55</v>
      </c>
      <c r="J414" s="2" t="s">
        <v>16</v>
      </c>
      <c r="K414">
        <f>H414*I414</f>
        <v>110</v>
      </c>
      <c r="L414" t="str">
        <f t="shared" si="12"/>
        <v>Mar</v>
      </c>
      <c r="M414">
        <f t="shared" si="13"/>
        <v>3</v>
      </c>
    </row>
    <row r="415" spans="1:13" x14ac:dyDescent="0.25">
      <c r="A415" s="2" t="s">
        <v>488</v>
      </c>
      <c r="B415" s="3">
        <v>45737</v>
      </c>
      <c r="C415" s="2" t="s">
        <v>34</v>
      </c>
      <c r="D415" s="2" t="s">
        <v>35</v>
      </c>
      <c r="E415" s="2" t="s">
        <v>36</v>
      </c>
      <c r="F415" s="2" t="s">
        <v>14</v>
      </c>
      <c r="G415" s="2" t="s">
        <v>37</v>
      </c>
      <c r="H415" s="2">
        <v>1</v>
      </c>
      <c r="I415" s="4">
        <v>165</v>
      </c>
      <c r="J415" s="2" t="s">
        <v>16</v>
      </c>
      <c r="K415">
        <f>H415*I415</f>
        <v>165</v>
      </c>
      <c r="L415" t="str">
        <f t="shared" si="12"/>
        <v>Mar</v>
      </c>
      <c r="M415">
        <f t="shared" si="13"/>
        <v>3</v>
      </c>
    </row>
    <row r="416" spans="1:13" x14ac:dyDescent="0.25">
      <c r="A416" s="2" t="s">
        <v>489</v>
      </c>
      <c r="B416" s="3">
        <v>45737</v>
      </c>
      <c r="C416" s="2" t="s">
        <v>18</v>
      </c>
      <c r="D416" s="2" t="s">
        <v>18</v>
      </c>
      <c r="E416" s="2" t="s">
        <v>19</v>
      </c>
      <c r="F416" s="2" t="s">
        <v>20</v>
      </c>
      <c r="G416" s="2" t="s">
        <v>21</v>
      </c>
      <c r="H416" s="2">
        <v>1</v>
      </c>
      <c r="I416" s="4">
        <v>15</v>
      </c>
      <c r="J416" s="2" t="s">
        <v>16</v>
      </c>
      <c r="K416">
        <f>H416*I416</f>
        <v>15</v>
      </c>
      <c r="L416" t="str">
        <f t="shared" si="12"/>
        <v>Mar</v>
      </c>
      <c r="M416">
        <f t="shared" si="13"/>
        <v>3</v>
      </c>
    </row>
    <row r="417" spans="1:13" x14ac:dyDescent="0.25">
      <c r="A417" s="2" t="s">
        <v>490</v>
      </c>
      <c r="B417" s="3">
        <v>45737</v>
      </c>
      <c r="C417" s="2" t="s">
        <v>18</v>
      </c>
      <c r="D417" s="2" t="s">
        <v>18</v>
      </c>
      <c r="E417" s="2" t="s">
        <v>19</v>
      </c>
      <c r="F417" s="2" t="s">
        <v>20</v>
      </c>
      <c r="G417" s="2" t="s">
        <v>21</v>
      </c>
      <c r="H417" s="2">
        <v>1</v>
      </c>
      <c r="I417" s="4">
        <v>15</v>
      </c>
      <c r="J417" s="2" t="s">
        <v>22</v>
      </c>
      <c r="K417">
        <f>H417*I417</f>
        <v>15</v>
      </c>
      <c r="L417" t="str">
        <f t="shared" si="12"/>
        <v>Mar</v>
      </c>
      <c r="M417">
        <f t="shared" si="13"/>
        <v>3</v>
      </c>
    </row>
    <row r="418" spans="1:13" x14ac:dyDescent="0.25">
      <c r="A418" s="2" t="s">
        <v>491</v>
      </c>
      <c r="B418" s="3">
        <v>45737</v>
      </c>
      <c r="C418" s="2" t="s">
        <v>190</v>
      </c>
      <c r="D418" s="2" t="s">
        <v>40</v>
      </c>
      <c r="E418" s="2" t="s">
        <v>19</v>
      </c>
      <c r="F418" s="2" t="s">
        <v>14</v>
      </c>
      <c r="G418" s="2" t="s">
        <v>191</v>
      </c>
      <c r="H418" s="2">
        <v>3</v>
      </c>
      <c r="I418" s="4">
        <v>142</v>
      </c>
      <c r="J418" s="2" t="s">
        <v>31</v>
      </c>
      <c r="K418">
        <f>H418*I418</f>
        <v>426</v>
      </c>
      <c r="L418" t="str">
        <f t="shared" si="12"/>
        <v>Mar</v>
      </c>
      <c r="M418">
        <f t="shared" si="13"/>
        <v>3</v>
      </c>
    </row>
    <row r="419" spans="1:13" x14ac:dyDescent="0.25">
      <c r="A419" s="2" t="s">
        <v>492</v>
      </c>
      <c r="B419" s="3">
        <v>45737</v>
      </c>
      <c r="C419" s="2" t="s">
        <v>40</v>
      </c>
      <c r="D419" s="2" t="s">
        <v>40</v>
      </c>
      <c r="E419" s="2" t="s">
        <v>19</v>
      </c>
      <c r="F419" s="2" t="s">
        <v>20</v>
      </c>
      <c r="G419" s="2" t="s">
        <v>21</v>
      </c>
      <c r="H419" s="2">
        <v>3</v>
      </c>
      <c r="I419" s="4">
        <v>46</v>
      </c>
      <c r="J419" s="2" t="s">
        <v>22</v>
      </c>
      <c r="K419">
        <f>H419*I419</f>
        <v>138</v>
      </c>
      <c r="L419" t="str">
        <f t="shared" si="12"/>
        <v>Mar</v>
      </c>
      <c r="M419">
        <f t="shared" si="13"/>
        <v>3</v>
      </c>
    </row>
    <row r="420" spans="1:13" x14ac:dyDescent="0.25">
      <c r="A420" s="2" t="s">
        <v>493</v>
      </c>
      <c r="B420" s="3">
        <v>45738</v>
      </c>
      <c r="C420" s="2" t="s">
        <v>11</v>
      </c>
      <c r="D420" s="2" t="s">
        <v>12</v>
      </c>
      <c r="E420" s="2" t="s">
        <v>13</v>
      </c>
      <c r="F420" s="2" t="s">
        <v>14</v>
      </c>
      <c r="G420" s="2" t="s">
        <v>15</v>
      </c>
      <c r="H420" s="2">
        <v>1</v>
      </c>
      <c r="I420" s="4">
        <v>32</v>
      </c>
      <c r="J420" s="2" t="s">
        <v>31</v>
      </c>
      <c r="K420">
        <f>H420*I420</f>
        <v>32</v>
      </c>
      <c r="L420" t="str">
        <f t="shared" si="12"/>
        <v>Mar</v>
      </c>
      <c r="M420">
        <f t="shared" si="13"/>
        <v>3</v>
      </c>
    </row>
    <row r="421" spans="1:13" x14ac:dyDescent="0.25">
      <c r="A421" s="2" t="s">
        <v>494</v>
      </c>
      <c r="B421" s="3">
        <v>45738</v>
      </c>
      <c r="C421" s="2" t="s">
        <v>75</v>
      </c>
      <c r="D421" s="2" t="s">
        <v>75</v>
      </c>
      <c r="E421" s="2" t="s">
        <v>76</v>
      </c>
      <c r="F421" s="2" t="s">
        <v>20</v>
      </c>
      <c r="G421" s="2" t="s">
        <v>21</v>
      </c>
      <c r="H421" s="2">
        <v>3</v>
      </c>
      <c r="I421" s="4">
        <v>12</v>
      </c>
      <c r="J421" s="2" t="s">
        <v>16</v>
      </c>
      <c r="K421">
        <f>H421*I421</f>
        <v>36</v>
      </c>
      <c r="L421" t="str">
        <f t="shared" si="12"/>
        <v>Mar</v>
      </c>
      <c r="M421">
        <f t="shared" si="13"/>
        <v>3</v>
      </c>
    </row>
    <row r="422" spans="1:13" x14ac:dyDescent="0.25">
      <c r="A422" s="2" t="s">
        <v>495</v>
      </c>
      <c r="B422" s="3">
        <v>45738</v>
      </c>
      <c r="C422" s="2" t="s">
        <v>24</v>
      </c>
      <c r="D422" s="2" t="s">
        <v>25</v>
      </c>
      <c r="E422" s="2" t="s">
        <v>26</v>
      </c>
      <c r="F422" s="2" t="s">
        <v>14</v>
      </c>
      <c r="G422" s="2" t="s">
        <v>27</v>
      </c>
      <c r="H422" s="2">
        <v>5</v>
      </c>
      <c r="I422" s="4">
        <v>58</v>
      </c>
      <c r="J422" s="2" t="s">
        <v>16</v>
      </c>
      <c r="K422">
        <f>H422*I422</f>
        <v>290</v>
      </c>
      <c r="L422" t="str">
        <f t="shared" si="12"/>
        <v>Mar</v>
      </c>
      <c r="M422">
        <f t="shared" si="13"/>
        <v>3</v>
      </c>
    </row>
    <row r="423" spans="1:13" x14ac:dyDescent="0.25">
      <c r="A423" s="2" t="s">
        <v>496</v>
      </c>
      <c r="B423" s="3">
        <v>45738</v>
      </c>
      <c r="C423" s="2" t="s">
        <v>52</v>
      </c>
      <c r="D423" s="2" t="s">
        <v>30</v>
      </c>
      <c r="E423" s="2" t="s">
        <v>13</v>
      </c>
      <c r="F423" s="2" t="s">
        <v>14</v>
      </c>
      <c r="G423" s="2" t="s">
        <v>53</v>
      </c>
      <c r="H423" s="2">
        <v>1</v>
      </c>
      <c r="I423" s="4">
        <v>42</v>
      </c>
      <c r="J423" s="2" t="s">
        <v>16</v>
      </c>
      <c r="K423">
        <f>H423*I423</f>
        <v>42</v>
      </c>
      <c r="L423" t="str">
        <f t="shared" si="12"/>
        <v>Mar</v>
      </c>
      <c r="M423">
        <f t="shared" si="13"/>
        <v>3</v>
      </c>
    </row>
    <row r="424" spans="1:13" x14ac:dyDescent="0.25">
      <c r="A424" s="2" t="s">
        <v>497</v>
      </c>
      <c r="B424" s="3">
        <v>45739</v>
      </c>
      <c r="C424" s="2" t="s">
        <v>40</v>
      </c>
      <c r="D424" s="2" t="s">
        <v>40</v>
      </c>
      <c r="E424" s="2" t="s">
        <v>19</v>
      </c>
      <c r="F424" s="2" t="s">
        <v>20</v>
      </c>
      <c r="G424" s="2" t="s">
        <v>21</v>
      </c>
      <c r="H424" s="2">
        <v>1</v>
      </c>
      <c r="I424" s="4">
        <v>46</v>
      </c>
      <c r="J424" s="2" t="s">
        <v>16</v>
      </c>
      <c r="K424">
        <f>H424*I424</f>
        <v>46</v>
      </c>
      <c r="L424" t="str">
        <f t="shared" si="12"/>
        <v>Mar</v>
      </c>
      <c r="M424">
        <f t="shared" si="13"/>
        <v>3</v>
      </c>
    </row>
    <row r="425" spans="1:13" x14ac:dyDescent="0.25">
      <c r="A425" s="2" t="s">
        <v>498</v>
      </c>
      <c r="B425" s="3">
        <v>45739</v>
      </c>
      <c r="C425" s="2" t="s">
        <v>25</v>
      </c>
      <c r="D425" s="2" t="s">
        <v>25</v>
      </c>
      <c r="E425" s="2" t="s">
        <v>26</v>
      </c>
      <c r="F425" s="2" t="s">
        <v>20</v>
      </c>
      <c r="G425" s="2" t="s">
        <v>21</v>
      </c>
      <c r="H425" s="2">
        <v>1</v>
      </c>
      <c r="I425" s="4">
        <v>20</v>
      </c>
      <c r="J425" s="2" t="s">
        <v>31</v>
      </c>
      <c r="K425">
        <f>H425*I425</f>
        <v>20</v>
      </c>
      <c r="L425" t="str">
        <f t="shared" si="12"/>
        <v>Mar</v>
      </c>
      <c r="M425">
        <f t="shared" si="13"/>
        <v>3</v>
      </c>
    </row>
    <row r="426" spans="1:13" x14ac:dyDescent="0.25">
      <c r="A426" s="2" t="s">
        <v>499</v>
      </c>
      <c r="B426" s="3">
        <v>45740</v>
      </c>
      <c r="C426" s="2" t="s">
        <v>11</v>
      </c>
      <c r="D426" s="2" t="s">
        <v>12</v>
      </c>
      <c r="E426" s="2" t="s">
        <v>13</v>
      </c>
      <c r="F426" s="2" t="s">
        <v>14</v>
      </c>
      <c r="G426" s="2" t="s">
        <v>15</v>
      </c>
      <c r="H426" s="2">
        <v>1</v>
      </c>
      <c r="I426" s="4">
        <v>32</v>
      </c>
      <c r="J426" s="2" t="s">
        <v>16</v>
      </c>
      <c r="K426">
        <f>H426*I426</f>
        <v>32</v>
      </c>
      <c r="L426" t="str">
        <f t="shared" si="12"/>
        <v>Mar</v>
      </c>
      <c r="M426">
        <f t="shared" si="13"/>
        <v>3</v>
      </c>
    </row>
    <row r="427" spans="1:13" x14ac:dyDescent="0.25">
      <c r="A427" s="2" t="s">
        <v>500</v>
      </c>
      <c r="B427" s="3">
        <v>45740</v>
      </c>
      <c r="C427" s="2" t="s">
        <v>74</v>
      </c>
      <c r="D427" s="2" t="s">
        <v>75</v>
      </c>
      <c r="E427" s="2" t="s">
        <v>76</v>
      </c>
      <c r="F427" s="2" t="s">
        <v>14</v>
      </c>
      <c r="G427" s="2" t="s">
        <v>77</v>
      </c>
      <c r="H427" s="2">
        <v>1</v>
      </c>
      <c r="I427" s="4">
        <v>32</v>
      </c>
      <c r="J427" s="2" t="s">
        <v>16</v>
      </c>
      <c r="K427">
        <f>H427*I427</f>
        <v>32</v>
      </c>
      <c r="L427" t="str">
        <f t="shared" si="12"/>
        <v>Mar</v>
      </c>
      <c r="M427">
        <f t="shared" si="13"/>
        <v>3</v>
      </c>
    </row>
    <row r="428" spans="1:13" x14ac:dyDescent="0.25">
      <c r="A428" s="2" t="s">
        <v>501</v>
      </c>
      <c r="B428" s="3">
        <v>45740</v>
      </c>
      <c r="C428" s="2" t="s">
        <v>102</v>
      </c>
      <c r="D428" s="2" t="s">
        <v>102</v>
      </c>
      <c r="E428" s="2" t="s">
        <v>36</v>
      </c>
      <c r="F428" s="2" t="s">
        <v>20</v>
      </c>
      <c r="G428" s="2" t="s">
        <v>21</v>
      </c>
      <c r="H428" s="2">
        <v>3</v>
      </c>
      <c r="I428" s="4">
        <v>35</v>
      </c>
      <c r="J428" s="2" t="s">
        <v>16</v>
      </c>
      <c r="K428">
        <f>H428*I428</f>
        <v>105</v>
      </c>
      <c r="L428" t="str">
        <f t="shared" si="12"/>
        <v>Mar</v>
      </c>
      <c r="M428">
        <f t="shared" si="13"/>
        <v>3</v>
      </c>
    </row>
    <row r="429" spans="1:13" x14ac:dyDescent="0.25">
      <c r="A429" s="2" t="s">
        <v>502</v>
      </c>
      <c r="B429" s="3">
        <v>45740</v>
      </c>
      <c r="C429" s="2" t="s">
        <v>190</v>
      </c>
      <c r="D429" s="2" t="s">
        <v>40</v>
      </c>
      <c r="E429" s="2" t="s">
        <v>19</v>
      </c>
      <c r="F429" s="2" t="s">
        <v>14</v>
      </c>
      <c r="G429" s="2" t="s">
        <v>191</v>
      </c>
      <c r="H429" s="2">
        <v>12</v>
      </c>
      <c r="I429" s="4">
        <v>142</v>
      </c>
      <c r="J429" s="2" t="s">
        <v>16</v>
      </c>
      <c r="K429">
        <f>H429*I429</f>
        <v>1704</v>
      </c>
      <c r="L429" t="str">
        <f t="shared" si="12"/>
        <v>Mar</v>
      </c>
      <c r="M429">
        <f t="shared" si="13"/>
        <v>3</v>
      </c>
    </row>
    <row r="430" spans="1:13" x14ac:dyDescent="0.25">
      <c r="A430" s="2" t="s">
        <v>503</v>
      </c>
      <c r="B430" s="3">
        <v>45740</v>
      </c>
      <c r="C430" s="2" t="s">
        <v>80</v>
      </c>
      <c r="D430" s="2" t="s">
        <v>80</v>
      </c>
      <c r="E430" s="2" t="s">
        <v>26</v>
      </c>
      <c r="F430" s="2" t="s">
        <v>20</v>
      </c>
      <c r="G430" s="2" t="s">
        <v>21</v>
      </c>
      <c r="H430" s="2">
        <v>2</v>
      </c>
      <c r="I430" s="4">
        <v>50</v>
      </c>
      <c r="J430" s="2" t="s">
        <v>38</v>
      </c>
      <c r="K430">
        <f>H430*I430</f>
        <v>100</v>
      </c>
      <c r="L430" t="str">
        <f t="shared" si="12"/>
        <v>Mar</v>
      </c>
      <c r="M430">
        <f t="shared" si="13"/>
        <v>3</v>
      </c>
    </row>
    <row r="431" spans="1:13" x14ac:dyDescent="0.25">
      <c r="A431" s="2" t="s">
        <v>504</v>
      </c>
      <c r="B431" s="3">
        <v>45740</v>
      </c>
      <c r="C431" s="2" t="s">
        <v>52</v>
      </c>
      <c r="D431" s="2" t="s">
        <v>30</v>
      </c>
      <c r="E431" s="2" t="s">
        <v>13</v>
      </c>
      <c r="F431" s="2" t="s">
        <v>14</v>
      </c>
      <c r="G431" s="2" t="s">
        <v>53</v>
      </c>
      <c r="H431" s="2">
        <v>1</v>
      </c>
      <c r="I431" s="4">
        <v>42</v>
      </c>
      <c r="J431" s="2" t="s">
        <v>31</v>
      </c>
      <c r="K431">
        <f>H431*I431</f>
        <v>42</v>
      </c>
      <c r="L431" t="str">
        <f t="shared" si="12"/>
        <v>Mar</v>
      </c>
      <c r="M431">
        <f t="shared" si="13"/>
        <v>3</v>
      </c>
    </row>
    <row r="432" spans="1:13" x14ac:dyDescent="0.25">
      <c r="A432" s="2" t="s">
        <v>505</v>
      </c>
      <c r="B432" s="3">
        <v>45741</v>
      </c>
      <c r="C432" s="2" t="s">
        <v>11</v>
      </c>
      <c r="D432" s="2" t="s">
        <v>12</v>
      </c>
      <c r="E432" s="2" t="s">
        <v>13</v>
      </c>
      <c r="F432" s="2" t="s">
        <v>14</v>
      </c>
      <c r="G432" s="2" t="s">
        <v>15</v>
      </c>
      <c r="H432" s="2">
        <v>3</v>
      </c>
      <c r="I432" s="4">
        <v>32</v>
      </c>
      <c r="J432" s="2" t="s">
        <v>38</v>
      </c>
      <c r="K432">
        <f>H432*I432</f>
        <v>96</v>
      </c>
      <c r="L432" t="str">
        <f t="shared" si="12"/>
        <v>Mar</v>
      </c>
      <c r="M432">
        <f t="shared" si="13"/>
        <v>3</v>
      </c>
    </row>
    <row r="433" spans="1:13" x14ac:dyDescent="0.25">
      <c r="A433" s="2" t="s">
        <v>506</v>
      </c>
      <c r="B433" s="3">
        <v>45741</v>
      </c>
      <c r="C433" s="2" t="s">
        <v>34</v>
      </c>
      <c r="D433" s="2" t="s">
        <v>35</v>
      </c>
      <c r="E433" s="2" t="s">
        <v>36</v>
      </c>
      <c r="F433" s="2" t="s">
        <v>14</v>
      </c>
      <c r="G433" s="2" t="s">
        <v>37</v>
      </c>
      <c r="H433" s="2">
        <v>6</v>
      </c>
      <c r="I433" s="4">
        <v>165</v>
      </c>
      <c r="J433" s="2" t="s">
        <v>22</v>
      </c>
      <c r="K433">
        <f>H433*I433</f>
        <v>990</v>
      </c>
      <c r="L433" t="str">
        <f t="shared" si="12"/>
        <v>Mar</v>
      </c>
      <c r="M433">
        <f t="shared" si="13"/>
        <v>3</v>
      </c>
    </row>
    <row r="434" spans="1:13" x14ac:dyDescent="0.25">
      <c r="A434" s="2" t="s">
        <v>507</v>
      </c>
      <c r="B434" s="3">
        <v>45741</v>
      </c>
      <c r="C434" s="2" t="s">
        <v>24</v>
      </c>
      <c r="D434" s="2" t="s">
        <v>25</v>
      </c>
      <c r="E434" s="2" t="s">
        <v>26</v>
      </c>
      <c r="F434" s="2" t="s">
        <v>14</v>
      </c>
      <c r="G434" s="2" t="s">
        <v>27</v>
      </c>
      <c r="H434" s="2">
        <v>4</v>
      </c>
      <c r="I434" s="4">
        <v>58</v>
      </c>
      <c r="J434" s="2" t="s">
        <v>38</v>
      </c>
      <c r="K434">
        <f>H434*I434</f>
        <v>232</v>
      </c>
      <c r="L434" t="str">
        <f t="shared" si="12"/>
        <v>Mar</v>
      </c>
      <c r="M434">
        <f t="shared" si="13"/>
        <v>3</v>
      </c>
    </row>
    <row r="435" spans="1:13" x14ac:dyDescent="0.25">
      <c r="A435" s="2" t="s">
        <v>508</v>
      </c>
      <c r="B435" s="3">
        <v>45741</v>
      </c>
      <c r="C435" s="2" t="s">
        <v>61</v>
      </c>
      <c r="D435" s="2" t="s">
        <v>61</v>
      </c>
      <c r="E435" s="2" t="s">
        <v>62</v>
      </c>
      <c r="F435" s="2" t="s">
        <v>20</v>
      </c>
      <c r="G435" s="2" t="s">
        <v>21</v>
      </c>
      <c r="H435" s="2">
        <v>5</v>
      </c>
      <c r="I435" s="4">
        <v>8</v>
      </c>
      <c r="J435" s="2" t="s">
        <v>38</v>
      </c>
      <c r="K435">
        <f>H435*I435</f>
        <v>40</v>
      </c>
      <c r="L435" t="str">
        <f t="shared" si="12"/>
        <v>Mar</v>
      </c>
      <c r="M435">
        <f t="shared" si="13"/>
        <v>3</v>
      </c>
    </row>
    <row r="436" spans="1:13" x14ac:dyDescent="0.25">
      <c r="A436" s="2" t="s">
        <v>509</v>
      </c>
      <c r="B436" s="3">
        <v>45741</v>
      </c>
      <c r="C436" s="2" t="s">
        <v>30</v>
      </c>
      <c r="D436" s="2" t="s">
        <v>30</v>
      </c>
      <c r="E436" s="2" t="s">
        <v>13</v>
      </c>
      <c r="F436" s="2" t="s">
        <v>20</v>
      </c>
      <c r="G436" s="2" t="s">
        <v>21</v>
      </c>
      <c r="H436" s="2">
        <v>3</v>
      </c>
      <c r="I436" s="4">
        <v>15</v>
      </c>
      <c r="J436" s="2" t="s">
        <v>31</v>
      </c>
      <c r="K436">
        <f>H436*I436</f>
        <v>45</v>
      </c>
      <c r="L436" t="str">
        <f t="shared" si="12"/>
        <v>Mar</v>
      </c>
      <c r="M436">
        <f t="shared" si="13"/>
        <v>3</v>
      </c>
    </row>
    <row r="437" spans="1:13" x14ac:dyDescent="0.25">
      <c r="A437" s="2" t="s">
        <v>510</v>
      </c>
      <c r="B437" s="3">
        <v>45741</v>
      </c>
      <c r="C437" s="2" t="s">
        <v>108</v>
      </c>
      <c r="D437" s="2" t="s">
        <v>109</v>
      </c>
      <c r="E437" s="2" t="s">
        <v>13</v>
      </c>
      <c r="F437" s="2" t="s">
        <v>14</v>
      </c>
      <c r="G437" s="2" t="s">
        <v>110</v>
      </c>
      <c r="H437" s="2">
        <v>5</v>
      </c>
      <c r="I437" s="4">
        <v>62</v>
      </c>
      <c r="J437" s="2" t="s">
        <v>16</v>
      </c>
      <c r="K437">
        <f>H437*I437</f>
        <v>310</v>
      </c>
      <c r="L437" t="str">
        <f t="shared" si="12"/>
        <v>Mar</v>
      </c>
      <c r="M437">
        <f t="shared" si="13"/>
        <v>3</v>
      </c>
    </row>
    <row r="438" spans="1:13" x14ac:dyDescent="0.25">
      <c r="A438" s="2" t="s">
        <v>511</v>
      </c>
      <c r="B438" s="3">
        <v>45742</v>
      </c>
      <c r="C438" s="2" t="s">
        <v>11</v>
      </c>
      <c r="D438" s="2" t="s">
        <v>12</v>
      </c>
      <c r="E438" s="2" t="s">
        <v>13</v>
      </c>
      <c r="F438" s="2" t="s">
        <v>14</v>
      </c>
      <c r="G438" s="2" t="s">
        <v>15</v>
      </c>
      <c r="H438" s="2">
        <v>1</v>
      </c>
      <c r="I438" s="4">
        <v>32</v>
      </c>
      <c r="J438" s="2" t="s">
        <v>16</v>
      </c>
      <c r="K438">
        <f>H438*I438</f>
        <v>32</v>
      </c>
      <c r="L438" t="str">
        <f t="shared" si="12"/>
        <v>Mar</v>
      </c>
      <c r="M438">
        <f t="shared" si="13"/>
        <v>3</v>
      </c>
    </row>
    <row r="439" spans="1:13" x14ac:dyDescent="0.25">
      <c r="A439" s="2" t="s">
        <v>512</v>
      </c>
      <c r="B439" s="3">
        <v>45742</v>
      </c>
      <c r="C439" s="2" t="s">
        <v>18</v>
      </c>
      <c r="D439" s="2" t="s">
        <v>18</v>
      </c>
      <c r="E439" s="2" t="s">
        <v>19</v>
      </c>
      <c r="F439" s="2" t="s">
        <v>20</v>
      </c>
      <c r="G439" s="2" t="s">
        <v>21</v>
      </c>
      <c r="H439" s="2">
        <v>6</v>
      </c>
      <c r="I439" s="4">
        <v>15</v>
      </c>
      <c r="J439" s="2" t="s">
        <v>38</v>
      </c>
      <c r="K439">
        <f>H439*I439</f>
        <v>90</v>
      </c>
      <c r="L439" t="str">
        <f t="shared" si="12"/>
        <v>Mar</v>
      </c>
      <c r="M439">
        <f t="shared" si="13"/>
        <v>3</v>
      </c>
    </row>
    <row r="440" spans="1:13" x14ac:dyDescent="0.25">
      <c r="A440" s="2" t="s">
        <v>513</v>
      </c>
      <c r="B440" s="3">
        <v>45742</v>
      </c>
      <c r="C440" s="2" t="s">
        <v>108</v>
      </c>
      <c r="D440" s="2" t="s">
        <v>109</v>
      </c>
      <c r="E440" s="2" t="s">
        <v>13</v>
      </c>
      <c r="F440" s="2" t="s">
        <v>14</v>
      </c>
      <c r="G440" s="2" t="s">
        <v>110</v>
      </c>
      <c r="H440" s="2">
        <v>1</v>
      </c>
      <c r="I440" s="4">
        <v>62</v>
      </c>
      <c r="J440" s="2" t="s">
        <v>22</v>
      </c>
      <c r="K440">
        <f>H440*I440</f>
        <v>62</v>
      </c>
      <c r="L440" t="str">
        <f t="shared" si="12"/>
        <v>Mar</v>
      </c>
      <c r="M440">
        <f t="shared" si="13"/>
        <v>3</v>
      </c>
    </row>
    <row r="441" spans="1:13" x14ac:dyDescent="0.25">
      <c r="A441" s="2" t="s">
        <v>514</v>
      </c>
      <c r="B441" s="3">
        <v>45743</v>
      </c>
      <c r="C441" s="2" t="s">
        <v>48</v>
      </c>
      <c r="D441" s="2" t="s">
        <v>48</v>
      </c>
      <c r="E441" s="2" t="s">
        <v>49</v>
      </c>
      <c r="F441" s="2" t="s">
        <v>20</v>
      </c>
      <c r="G441" s="2" t="s">
        <v>21</v>
      </c>
      <c r="H441" s="2">
        <v>5</v>
      </c>
      <c r="I441" s="4">
        <v>55</v>
      </c>
      <c r="J441" s="2" t="s">
        <v>16</v>
      </c>
      <c r="K441">
        <f>H441*I441</f>
        <v>275</v>
      </c>
      <c r="L441" t="str">
        <f t="shared" si="12"/>
        <v>Mar</v>
      </c>
      <c r="M441">
        <f t="shared" si="13"/>
        <v>3</v>
      </c>
    </row>
    <row r="442" spans="1:13" x14ac:dyDescent="0.25">
      <c r="A442" s="2" t="s">
        <v>515</v>
      </c>
      <c r="B442" s="3">
        <v>45743</v>
      </c>
      <c r="C442" s="2" t="s">
        <v>67</v>
      </c>
      <c r="D442" s="2" t="s">
        <v>68</v>
      </c>
      <c r="E442" s="2" t="s">
        <v>49</v>
      </c>
      <c r="F442" s="2" t="s">
        <v>14</v>
      </c>
      <c r="G442" s="2" t="s">
        <v>69</v>
      </c>
      <c r="H442" s="2">
        <v>1</v>
      </c>
      <c r="I442" s="4">
        <v>205</v>
      </c>
      <c r="J442" s="2" t="s">
        <v>16</v>
      </c>
      <c r="K442">
        <f>H442*I442</f>
        <v>205</v>
      </c>
      <c r="L442" t="str">
        <f t="shared" si="12"/>
        <v>Mar</v>
      </c>
      <c r="M442">
        <f t="shared" si="13"/>
        <v>3</v>
      </c>
    </row>
    <row r="443" spans="1:13" x14ac:dyDescent="0.25">
      <c r="A443" s="2" t="s">
        <v>516</v>
      </c>
      <c r="B443" s="3">
        <v>45743</v>
      </c>
      <c r="C443" s="2" t="s">
        <v>124</v>
      </c>
      <c r="D443" s="2" t="s">
        <v>18</v>
      </c>
      <c r="E443" s="2" t="s">
        <v>19</v>
      </c>
      <c r="F443" s="2" t="s">
        <v>14</v>
      </c>
      <c r="G443" s="2" t="s">
        <v>125</v>
      </c>
      <c r="H443" s="2">
        <v>3</v>
      </c>
      <c r="I443" s="4">
        <v>45</v>
      </c>
      <c r="J443" s="2" t="s">
        <v>31</v>
      </c>
      <c r="K443">
        <f>H443*I443</f>
        <v>135</v>
      </c>
      <c r="L443" t="str">
        <f t="shared" si="12"/>
        <v>Mar</v>
      </c>
      <c r="M443">
        <f t="shared" si="13"/>
        <v>3</v>
      </c>
    </row>
    <row r="444" spans="1:13" x14ac:dyDescent="0.25">
      <c r="A444" s="2" t="s">
        <v>517</v>
      </c>
      <c r="B444" s="3">
        <v>45743</v>
      </c>
      <c r="C444" s="2" t="s">
        <v>40</v>
      </c>
      <c r="D444" s="2" t="s">
        <v>40</v>
      </c>
      <c r="E444" s="2" t="s">
        <v>19</v>
      </c>
      <c r="F444" s="2" t="s">
        <v>20</v>
      </c>
      <c r="G444" s="2" t="s">
        <v>21</v>
      </c>
      <c r="H444" s="2">
        <v>12</v>
      </c>
      <c r="I444" s="4">
        <v>46</v>
      </c>
      <c r="J444" s="2" t="s">
        <v>31</v>
      </c>
      <c r="K444">
        <f>H444*I444</f>
        <v>552</v>
      </c>
      <c r="L444" t="str">
        <f t="shared" si="12"/>
        <v>Mar</v>
      </c>
      <c r="M444">
        <f t="shared" si="13"/>
        <v>3</v>
      </c>
    </row>
    <row r="445" spans="1:13" x14ac:dyDescent="0.25">
      <c r="A445" s="2" t="s">
        <v>518</v>
      </c>
      <c r="B445" s="3">
        <v>45743</v>
      </c>
      <c r="C445" s="2" t="s">
        <v>79</v>
      </c>
      <c r="D445" s="2" t="s">
        <v>80</v>
      </c>
      <c r="E445" s="2" t="s">
        <v>26</v>
      </c>
      <c r="F445" s="2" t="s">
        <v>14</v>
      </c>
      <c r="G445" s="2" t="s">
        <v>81</v>
      </c>
      <c r="H445" s="2">
        <v>1</v>
      </c>
      <c r="I445" s="4">
        <v>152</v>
      </c>
      <c r="J445" s="2" t="s">
        <v>16</v>
      </c>
      <c r="K445">
        <f>H445*I445</f>
        <v>152</v>
      </c>
      <c r="L445" t="str">
        <f t="shared" si="12"/>
        <v>Mar</v>
      </c>
      <c r="M445">
        <f t="shared" si="13"/>
        <v>3</v>
      </c>
    </row>
    <row r="446" spans="1:13" x14ac:dyDescent="0.25">
      <c r="A446" s="2" t="s">
        <v>519</v>
      </c>
      <c r="B446" s="3">
        <v>45743</v>
      </c>
      <c r="C446" s="2" t="s">
        <v>60</v>
      </c>
      <c r="D446" s="2" t="s">
        <v>61</v>
      </c>
      <c r="E446" s="2" t="s">
        <v>62</v>
      </c>
      <c r="F446" s="2" t="s">
        <v>14</v>
      </c>
      <c r="G446" s="2" t="s">
        <v>63</v>
      </c>
      <c r="H446" s="2">
        <v>4</v>
      </c>
      <c r="I446" s="4">
        <v>26</v>
      </c>
      <c r="J446" s="2" t="s">
        <v>16</v>
      </c>
      <c r="K446">
        <f>H446*I446</f>
        <v>104</v>
      </c>
      <c r="L446" t="str">
        <f t="shared" si="12"/>
        <v>Mar</v>
      </c>
      <c r="M446">
        <f t="shared" si="13"/>
        <v>3</v>
      </c>
    </row>
    <row r="447" spans="1:13" x14ac:dyDescent="0.25">
      <c r="A447" s="2" t="s">
        <v>520</v>
      </c>
      <c r="B447" s="3">
        <v>45743</v>
      </c>
      <c r="C447" s="2" t="s">
        <v>60</v>
      </c>
      <c r="D447" s="2" t="s">
        <v>61</v>
      </c>
      <c r="E447" s="2" t="s">
        <v>62</v>
      </c>
      <c r="F447" s="2" t="s">
        <v>14</v>
      </c>
      <c r="G447" s="2" t="s">
        <v>63</v>
      </c>
      <c r="H447" s="2">
        <v>5</v>
      </c>
      <c r="I447" s="4">
        <v>26</v>
      </c>
      <c r="J447" s="2" t="s">
        <v>31</v>
      </c>
      <c r="K447">
        <f>H447*I447</f>
        <v>130</v>
      </c>
      <c r="L447" t="str">
        <f t="shared" si="12"/>
        <v>Mar</v>
      </c>
      <c r="M447">
        <f t="shared" si="13"/>
        <v>3</v>
      </c>
    </row>
    <row r="448" spans="1:13" x14ac:dyDescent="0.25">
      <c r="A448" s="2" t="s">
        <v>521</v>
      </c>
      <c r="B448" s="3">
        <v>45743</v>
      </c>
      <c r="C448" s="2" t="s">
        <v>97</v>
      </c>
      <c r="D448" s="2" t="s">
        <v>98</v>
      </c>
      <c r="E448" s="2" t="s">
        <v>99</v>
      </c>
      <c r="F448" s="2" t="s">
        <v>14</v>
      </c>
      <c r="G448" s="2" t="s">
        <v>37</v>
      </c>
      <c r="H448" s="2">
        <v>5</v>
      </c>
      <c r="I448" s="4">
        <v>182</v>
      </c>
      <c r="J448" s="2" t="s">
        <v>38</v>
      </c>
      <c r="K448">
        <f>H448*I448</f>
        <v>910</v>
      </c>
      <c r="L448" t="str">
        <f t="shared" si="12"/>
        <v>Mar</v>
      </c>
      <c r="M448">
        <f t="shared" si="13"/>
        <v>3</v>
      </c>
    </row>
    <row r="449" spans="1:13" x14ac:dyDescent="0.25">
      <c r="A449" s="2" t="s">
        <v>522</v>
      </c>
      <c r="B449" s="3">
        <v>45743</v>
      </c>
      <c r="C449" s="2" t="s">
        <v>30</v>
      </c>
      <c r="D449" s="2" t="s">
        <v>30</v>
      </c>
      <c r="E449" s="2" t="s">
        <v>13</v>
      </c>
      <c r="F449" s="2" t="s">
        <v>20</v>
      </c>
      <c r="G449" s="2" t="s">
        <v>21</v>
      </c>
      <c r="H449" s="2">
        <v>5</v>
      </c>
      <c r="I449" s="4">
        <v>15</v>
      </c>
      <c r="J449" s="2" t="s">
        <v>16</v>
      </c>
      <c r="K449">
        <f>H449*I449</f>
        <v>75</v>
      </c>
      <c r="L449" t="str">
        <f t="shared" si="12"/>
        <v>Mar</v>
      </c>
      <c r="M449">
        <f t="shared" si="13"/>
        <v>3</v>
      </c>
    </row>
    <row r="450" spans="1:13" x14ac:dyDescent="0.25">
      <c r="A450" s="2" t="s">
        <v>523</v>
      </c>
      <c r="B450" s="3">
        <v>45744</v>
      </c>
      <c r="C450" s="2" t="s">
        <v>12</v>
      </c>
      <c r="D450" s="2" t="s">
        <v>12</v>
      </c>
      <c r="E450" s="2" t="s">
        <v>13</v>
      </c>
      <c r="F450" s="2" t="s">
        <v>20</v>
      </c>
      <c r="G450" s="2" t="s">
        <v>21</v>
      </c>
      <c r="H450" s="2">
        <v>4</v>
      </c>
      <c r="I450" s="4">
        <v>14</v>
      </c>
      <c r="J450" s="2" t="s">
        <v>22</v>
      </c>
      <c r="K450">
        <f>H450*I450</f>
        <v>56</v>
      </c>
      <c r="L450" t="str">
        <f t="shared" si="12"/>
        <v>Mar</v>
      </c>
      <c r="M450">
        <f t="shared" si="13"/>
        <v>3</v>
      </c>
    </row>
    <row r="451" spans="1:13" x14ac:dyDescent="0.25">
      <c r="A451" s="2" t="s">
        <v>524</v>
      </c>
      <c r="B451" s="3">
        <v>45744</v>
      </c>
      <c r="C451" s="2" t="s">
        <v>101</v>
      </c>
      <c r="D451" s="2" t="s">
        <v>102</v>
      </c>
      <c r="E451" s="2" t="s">
        <v>36</v>
      </c>
      <c r="F451" s="2" t="s">
        <v>14</v>
      </c>
      <c r="G451" s="2" t="s">
        <v>103</v>
      </c>
      <c r="H451" s="2">
        <v>6</v>
      </c>
      <c r="I451" s="4">
        <v>92</v>
      </c>
      <c r="J451" s="2" t="s">
        <v>31</v>
      </c>
      <c r="K451">
        <f>H451*I451</f>
        <v>552</v>
      </c>
      <c r="L451" t="str">
        <f t="shared" ref="L451:L514" si="14">TEXT(B451,"mmm")</f>
        <v>Mar</v>
      </c>
      <c r="M451">
        <f t="shared" ref="M451:M514" si="15">MONTH(B451)</f>
        <v>3</v>
      </c>
    </row>
    <row r="452" spans="1:13" x14ac:dyDescent="0.25">
      <c r="A452" s="2" t="s">
        <v>525</v>
      </c>
      <c r="B452" s="3">
        <v>45744</v>
      </c>
      <c r="C452" s="2" t="s">
        <v>102</v>
      </c>
      <c r="D452" s="2" t="s">
        <v>102</v>
      </c>
      <c r="E452" s="2" t="s">
        <v>36</v>
      </c>
      <c r="F452" s="2" t="s">
        <v>20</v>
      </c>
      <c r="G452" s="2" t="s">
        <v>21</v>
      </c>
      <c r="H452" s="2">
        <v>1</v>
      </c>
      <c r="I452" s="4">
        <v>35</v>
      </c>
      <c r="J452" s="2" t="s">
        <v>38</v>
      </c>
      <c r="K452">
        <f>H452*I452</f>
        <v>35</v>
      </c>
      <c r="L452" t="str">
        <f t="shared" si="14"/>
        <v>Mar</v>
      </c>
      <c r="M452">
        <f t="shared" si="15"/>
        <v>3</v>
      </c>
    </row>
    <row r="453" spans="1:13" x14ac:dyDescent="0.25">
      <c r="A453" s="2" t="s">
        <v>526</v>
      </c>
      <c r="B453" s="3">
        <v>45744</v>
      </c>
      <c r="C453" s="2" t="s">
        <v>79</v>
      </c>
      <c r="D453" s="2" t="s">
        <v>80</v>
      </c>
      <c r="E453" s="2" t="s">
        <v>26</v>
      </c>
      <c r="F453" s="2" t="s">
        <v>14</v>
      </c>
      <c r="G453" s="2" t="s">
        <v>81</v>
      </c>
      <c r="H453" s="2">
        <v>1</v>
      </c>
      <c r="I453" s="4">
        <v>152</v>
      </c>
      <c r="J453" s="2" t="s">
        <v>38</v>
      </c>
      <c r="K453">
        <f>H453*I453</f>
        <v>152</v>
      </c>
      <c r="L453" t="str">
        <f t="shared" si="14"/>
        <v>Mar</v>
      </c>
      <c r="M453">
        <f t="shared" si="15"/>
        <v>3</v>
      </c>
    </row>
    <row r="454" spans="1:13" x14ac:dyDescent="0.25">
      <c r="A454" s="2" t="s">
        <v>527</v>
      </c>
      <c r="B454" s="3">
        <v>45744</v>
      </c>
      <c r="C454" s="2" t="s">
        <v>25</v>
      </c>
      <c r="D454" s="2" t="s">
        <v>25</v>
      </c>
      <c r="E454" s="2" t="s">
        <v>26</v>
      </c>
      <c r="F454" s="2" t="s">
        <v>20</v>
      </c>
      <c r="G454" s="2" t="s">
        <v>21</v>
      </c>
      <c r="H454" s="2">
        <v>3</v>
      </c>
      <c r="I454" s="4">
        <v>20</v>
      </c>
      <c r="J454" s="2" t="s">
        <v>31</v>
      </c>
      <c r="K454">
        <f>H454*I454</f>
        <v>60</v>
      </c>
      <c r="L454" t="str">
        <f t="shared" si="14"/>
        <v>Mar</v>
      </c>
      <c r="M454">
        <f t="shared" si="15"/>
        <v>3</v>
      </c>
    </row>
    <row r="455" spans="1:13" x14ac:dyDescent="0.25">
      <c r="A455" s="2" t="s">
        <v>528</v>
      </c>
      <c r="B455" s="3">
        <v>45744</v>
      </c>
      <c r="C455" s="2" t="s">
        <v>42</v>
      </c>
      <c r="D455" s="2" t="s">
        <v>43</v>
      </c>
      <c r="E455" s="2" t="s">
        <v>44</v>
      </c>
      <c r="F455" s="2" t="s">
        <v>14</v>
      </c>
      <c r="G455" s="2" t="s">
        <v>45</v>
      </c>
      <c r="H455" s="2">
        <v>1</v>
      </c>
      <c r="I455" s="4">
        <v>46</v>
      </c>
      <c r="J455" s="2" t="s">
        <v>16</v>
      </c>
      <c r="K455">
        <f>H455*I455</f>
        <v>46</v>
      </c>
      <c r="L455" t="str">
        <f t="shared" si="14"/>
        <v>Mar</v>
      </c>
      <c r="M455">
        <f t="shared" si="15"/>
        <v>3</v>
      </c>
    </row>
    <row r="456" spans="1:13" x14ac:dyDescent="0.25">
      <c r="A456" s="2" t="s">
        <v>529</v>
      </c>
      <c r="B456" s="3">
        <v>45745</v>
      </c>
      <c r="C456" s="2" t="s">
        <v>48</v>
      </c>
      <c r="D456" s="2" t="s">
        <v>48</v>
      </c>
      <c r="E456" s="2" t="s">
        <v>49</v>
      </c>
      <c r="F456" s="2" t="s">
        <v>20</v>
      </c>
      <c r="G456" s="2" t="s">
        <v>21</v>
      </c>
      <c r="H456" s="2">
        <v>2</v>
      </c>
      <c r="I456" s="4">
        <v>55</v>
      </c>
      <c r="J456" s="2" t="s">
        <v>16</v>
      </c>
      <c r="K456">
        <f>H456*I456</f>
        <v>110</v>
      </c>
      <c r="L456" t="str">
        <f t="shared" si="14"/>
        <v>Mar</v>
      </c>
      <c r="M456">
        <f t="shared" si="15"/>
        <v>3</v>
      </c>
    </row>
    <row r="457" spans="1:13" x14ac:dyDescent="0.25">
      <c r="A457" s="2" t="s">
        <v>530</v>
      </c>
      <c r="B457" s="3">
        <v>45745</v>
      </c>
      <c r="C457" s="2" t="s">
        <v>35</v>
      </c>
      <c r="D457" s="2" t="s">
        <v>35</v>
      </c>
      <c r="E457" s="2" t="s">
        <v>36</v>
      </c>
      <c r="F457" s="2" t="s">
        <v>20</v>
      </c>
      <c r="G457" s="2" t="s">
        <v>21</v>
      </c>
      <c r="H457" s="2">
        <v>6</v>
      </c>
      <c r="I457" s="4">
        <v>58</v>
      </c>
      <c r="J457" s="2" t="s">
        <v>38</v>
      </c>
      <c r="K457">
        <f>H457*I457</f>
        <v>348</v>
      </c>
      <c r="L457" t="str">
        <f t="shared" si="14"/>
        <v>Mar</v>
      </c>
      <c r="M457">
        <f t="shared" si="15"/>
        <v>3</v>
      </c>
    </row>
    <row r="458" spans="1:13" x14ac:dyDescent="0.25">
      <c r="A458" s="2" t="s">
        <v>531</v>
      </c>
      <c r="B458" s="3">
        <v>45745</v>
      </c>
      <c r="C458" s="2" t="s">
        <v>79</v>
      </c>
      <c r="D458" s="2" t="s">
        <v>80</v>
      </c>
      <c r="E458" s="2" t="s">
        <v>26</v>
      </c>
      <c r="F458" s="2" t="s">
        <v>14</v>
      </c>
      <c r="G458" s="2" t="s">
        <v>81</v>
      </c>
      <c r="H458" s="2">
        <v>1</v>
      </c>
      <c r="I458" s="4">
        <v>152</v>
      </c>
      <c r="J458" s="2" t="s">
        <v>16</v>
      </c>
      <c r="K458">
        <f>H458*I458</f>
        <v>152</v>
      </c>
      <c r="L458" t="str">
        <f t="shared" si="14"/>
        <v>Mar</v>
      </c>
      <c r="M458">
        <f t="shared" si="15"/>
        <v>3</v>
      </c>
    </row>
    <row r="459" spans="1:13" x14ac:dyDescent="0.25">
      <c r="A459" s="2" t="s">
        <v>532</v>
      </c>
      <c r="B459" s="3">
        <v>45745</v>
      </c>
      <c r="C459" s="2" t="s">
        <v>42</v>
      </c>
      <c r="D459" s="2" t="s">
        <v>43</v>
      </c>
      <c r="E459" s="2" t="s">
        <v>44</v>
      </c>
      <c r="F459" s="2" t="s">
        <v>14</v>
      </c>
      <c r="G459" s="2" t="s">
        <v>45</v>
      </c>
      <c r="H459" s="2">
        <v>4</v>
      </c>
      <c r="I459" s="4">
        <v>46</v>
      </c>
      <c r="J459" s="2" t="s">
        <v>16</v>
      </c>
      <c r="K459">
        <f>H459*I459</f>
        <v>184</v>
      </c>
      <c r="L459" t="str">
        <f t="shared" si="14"/>
        <v>Mar</v>
      </c>
      <c r="M459">
        <f t="shared" si="15"/>
        <v>3</v>
      </c>
    </row>
    <row r="460" spans="1:13" x14ac:dyDescent="0.25">
      <c r="A460" s="2" t="s">
        <v>533</v>
      </c>
      <c r="B460" s="3">
        <v>45745</v>
      </c>
      <c r="C460" s="2" t="s">
        <v>42</v>
      </c>
      <c r="D460" s="2" t="s">
        <v>43</v>
      </c>
      <c r="E460" s="2" t="s">
        <v>44</v>
      </c>
      <c r="F460" s="2" t="s">
        <v>14</v>
      </c>
      <c r="G460" s="2" t="s">
        <v>45</v>
      </c>
      <c r="H460" s="2">
        <v>4</v>
      </c>
      <c r="I460" s="4">
        <v>46</v>
      </c>
      <c r="J460" s="2" t="s">
        <v>16</v>
      </c>
      <c r="K460">
        <f>H460*I460</f>
        <v>184</v>
      </c>
      <c r="L460" t="str">
        <f t="shared" si="14"/>
        <v>Mar</v>
      </c>
      <c r="M460">
        <f t="shared" si="15"/>
        <v>3</v>
      </c>
    </row>
    <row r="461" spans="1:13" x14ac:dyDescent="0.25">
      <c r="A461" s="2" t="s">
        <v>534</v>
      </c>
      <c r="B461" s="3">
        <v>45746</v>
      </c>
      <c r="C461" s="2" t="s">
        <v>67</v>
      </c>
      <c r="D461" s="2" t="s">
        <v>68</v>
      </c>
      <c r="E461" s="2" t="s">
        <v>49</v>
      </c>
      <c r="F461" s="2" t="s">
        <v>14</v>
      </c>
      <c r="G461" s="2" t="s">
        <v>69</v>
      </c>
      <c r="H461" s="2">
        <v>5</v>
      </c>
      <c r="I461" s="4">
        <v>205</v>
      </c>
      <c r="J461" s="2" t="s">
        <v>31</v>
      </c>
      <c r="K461">
        <f>H461*I461</f>
        <v>1025</v>
      </c>
      <c r="L461" t="str">
        <f t="shared" si="14"/>
        <v>Mar</v>
      </c>
      <c r="M461">
        <f t="shared" si="15"/>
        <v>3</v>
      </c>
    </row>
    <row r="462" spans="1:13" x14ac:dyDescent="0.25">
      <c r="A462" s="2" t="s">
        <v>535</v>
      </c>
      <c r="B462" s="3">
        <v>45746</v>
      </c>
      <c r="C462" s="2" t="s">
        <v>60</v>
      </c>
      <c r="D462" s="2" t="s">
        <v>61</v>
      </c>
      <c r="E462" s="2" t="s">
        <v>62</v>
      </c>
      <c r="F462" s="2" t="s">
        <v>14</v>
      </c>
      <c r="G462" s="2" t="s">
        <v>63</v>
      </c>
      <c r="H462" s="2">
        <v>1</v>
      </c>
      <c r="I462" s="4">
        <v>26</v>
      </c>
      <c r="J462" s="2" t="s">
        <v>22</v>
      </c>
      <c r="K462">
        <f>H462*I462</f>
        <v>26</v>
      </c>
      <c r="L462" t="str">
        <f t="shared" si="14"/>
        <v>Mar</v>
      </c>
      <c r="M462">
        <f t="shared" si="15"/>
        <v>3</v>
      </c>
    </row>
    <row r="463" spans="1:13" x14ac:dyDescent="0.25">
      <c r="A463" s="2" t="s">
        <v>536</v>
      </c>
      <c r="B463" s="3">
        <v>45746</v>
      </c>
      <c r="C463" s="2" t="s">
        <v>61</v>
      </c>
      <c r="D463" s="2" t="s">
        <v>61</v>
      </c>
      <c r="E463" s="2" t="s">
        <v>62</v>
      </c>
      <c r="F463" s="2" t="s">
        <v>20</v>
      </c>
      <c r="G463" s="2" t="s">
        <v>21</v>
      </c>
      <c r="H463" s="2">
        <v>5</v>
      </c>
      <c r="I463" s="4">
        <v>8</v>
      </c>
      <c r="J463" s="2" t="s">
        <v>16</v>
      </c>
      <c r="K463">
        <f>H463*I463</f>
        <v>40</v>
      </c>
      <c r="L463" t="str">
        <f t="shared" si="14"/>
        <v>Mar</v>
      </c>
      <c r="M463">
        <f t="shared" si="15"/>
        <v>3</v>
      </c>
    </row>
    <row r="464" spans="1:13" x14ac:dyDescent="0.25">
      <c r="A464" s="2" t="s">
        <v>537</v>
      </c>
      <c r="B464" s="3">
        <v>45747</v>
      </c>
      <c r="C464" s="2" t="s">
        <v>12</v>
      </c>
      <c r="D464" s="2" t="s">
        <v>12</v>
      </c>
      <c r="E464" s="2" t="s">
        <v>13</v>
      </c>
      <c r="F464" s="2" t="s">
        <v>20</v>
      </c>
      <c r="G464" s="2" t="s">
        <v>21</v>
      </c>
      <c r="H464" s="2">
        <v>1</v>
      </c>
      <c r="I464" s="4">
        <v>14</v>
      </c>
      <c r="J464" s="2" t="s">
        <v>16</v>
      </c>
      <c r="K464">
        <f>H464*I464</f>
        <v>14</v>
      </c>
      <c r="L464" t="str">
        <f t="shared" si="14"/>
        <v>Mar</v>
      </c>
      <c r="M464">
        <f t="shared" si="15"/>
        <v>3</v>
      </c>
    </row>
    <row r="465" spans="1:13" x14ac:dyDescent="0.25">
      <c r="A465" s="2" t="s">
        <v>538</v>
      </c>
      <c r="B465" s="3">
        <v>45747</v>
      </c>
      <c r="C465" s="2" t="s">
        <v>72</v>
      </c>
      <c r="D465" s="2" t="s">
        <v>68</v>
      </c>
      <c r="E465" s="2" t="s">
        <v>49</v>
      </c>
      <c r="F465" s="2" t="s">
        <v>20</v>
      </c>
      <c r="G465" s="2" t="s">
        <v>21</v>
      </c>
      <c r="H465" s="2">
        <v>3</v>
      </c>
      <c r="I465" s="4">
        <v>95</v>
      </c>
      <c r="J465" s="2" t="s">
        <v>31</v>
      </c>
      <c r="K465">
        <f>H465*I465</f>
        <v>285</v>
      </c>
      <c r="L465" t="str">
        <f t="shared" si="14"/>
        <v>Mar</v>
      </c>
      <c r="M465">
        <f t="shared" si="15"/>
        <v>3</v>
      </c>
    </row>
    <row r="466" spans="1:13" x14ac:dyDescent="0.25">
      <c r="A466" s="2" t="s">
        <v>539</v>
      </c>
      <c r="B466" s="3">
        <v>45747</v>
      </c>
      <c r="C466" s="2" t="s">
        <v>18</v>
      </c>
      <c r="D466" s="2" t="s">
        <v>18</v>
      </c>
      <c r="E466" s="2" t="s">
        <v>19</v>
      </c>
      <c r="F466" s="2" t="s">
        <v>20</v>
      </c>
      <c r="G466" s="2" t="s">
        <v>21</v>
      </c>
      <c r="H466" s="2">
        <v>6</v>
      </c>
      <c r="I466" s="4">
        <v>15</v>
      </c>
      <c r="J466" s="2" t="s">
        <v>38</v>
      </c>
      <c r="K466">
        <f>H466*I466</f>
        <v>90</v>
      </c>
      <c r="L466" t="str">
        <f t="shared" si="14"/>
        <v>Mar</v>
      </c>
      <c r="M466">
        <f t="shared" si="15"/>
        <v>3</v>
      </c>
    </row>
    <row r="467" spans="1:13" x14ac:dyDescent="0.25">
      <c r="A467" s="2" t="s">
        <v>540</v>
      </c>
      <c r="B467" s="3">
        <v>45747</v>
      </c>
      <c r="C467" s="2" t="s">
        <v>79</v>
      </c>
      <c r="D467" s="2" t="s">
        <v>80</v>
      </c>
      <c r="E467" s="2" t="s">
        <v>26</v>
      </c>
      <c r="F467" s="2" t="s">
        <v>14</v>
      </c>
      <c r="G467" s="2" t="s">
        <v>81</v>
      </c>
      <c r="H467" s="2">
        <v>5</v>
      </c>
      <c r="I467" s="4">
        <v>152</v>
      </c>
      <c r="J467" s="2" t="s">
        <v>16</v>
      </c>
      <c r="K467">
        <f>H467*I467</f>
        <v>760</v>
      </c>
      <c r="L467" t="str">
        <f t="shared" si="14"/>
        <v>Mar</v>
      </c>
      <c r="M467">
        <f t="shared" si="15"/>
        <v>3</v>
      </c>
    </row>
    <row r="468" spans="1:13" x14ac:dyDescent="0.25">
      <c r="A468" s="2" t="s">
        <v>541</v>
      </c>
      <c r="B468" s="3">
        <v>45747</v>
      </c>
      <c r="C468" s="2" t="s">
        <v>24</v>
      </c>
      <c r="D468" s="2" t="s">
        <v>25</v>
      </c>
      <c r="E468" s="2" t="s">
        <v>26</v>
      </c>
      <c r="F468" s="2" t="s">
        <v>14</v>
      </c>
      <c r="G468" s="2" t="s">
        <v>27</v>
      </c>
      <c r="H468" s="2">
        <v>5</v>
      </c>
      <c r="I468" s="4">
        <v>58</v>
      </c>
      <c r="J468" s="2" t="s">
        <v>16</v>
      </c>
      <c r="K468">
        <f>H468*I468</f>
        <v>290</v>
      </c>
      <c r="L468" t="str">
        <f t="shared" si="14"/>
        <v>Mar</v>
      </c>
      <c r="M468">
        <f t="shared" si="15"/>
        <v>3</v>
      </c>
    </row>
    <row r="469" spans="1:13" x14ac:dyDescent="0.25">
      <c r="A469" s="2" t="s">
        <v>542</v>
      </c>
      <c r="B469" s="3">
        <v>45748</v>
      </c>
      <c r="C469" s="2" t="s">
        <v>12</v>
      </c>
      <c r="D469" s="2" t="s">
        <v>12</v>
      </c>
      <c r="E469" s="2" t="s">
        <v>13</v>
      </c>
      <c r="F469" s="2" t="s">
        <v>20</v>
      </c>
      <c r="G469" s="2" t="s">
        <v>21</v>
      </c>
      <c r="H469" s="2">
        <v>1</v>
      </c>
      <c r="I469" s="4">
        <v>14</v>
      </c>
      <c r="J469" s="2" t="s">
        <v>38</v>
      </c>
      <c r="K469">
        <f>H469*I469</f>
        <v>14</v>
      </c>
      <c r="L469" t="str">
        <f t="shared" si="14"/>
        <v>Apr</v>
      </c>
      <c r="M469">
        <f t="shared" si="15"/>
        <v>4</v>
      </c>
    </row>
    <row r="470" spans="1:13" x14ac:dyDescent="0.25">
      <c r="A470" s="2" t="s">
        <v>543</v>
      </c>
      <c r="B470" s="3">
        <v>45748</v>
      </c>
      <c r="C470" s="2" t="s">
        <v>75</v>
      </c>
      <c r="D470" s="2" t="s">
        <v>75</v>
      </c>
      <c r="E470" s="2" t="s">
        <v>76</v>
      </c>
      <c r="F470" s="2" t="s">
        <v>20</v>
      </c>
      <c r="G470" s="2" t="s">
        <v>21</v>
      </c>
      <c r="H470" s="2">
        <v>6</v>
      </c>
      <c r="I470" s="4">
        <v>12</v>
      </c>
      <c r="J470" s="2" t="s">
        <v>16</v>
      </c>
      <c r="K470">
        <f>H470*I470</f>
        <v>72</v>
      </c>
      <c r="L470" t="str">
        <f t="shared" si="14"/>
        <v>Apr</v>
      </c>
      <c r="M470">
        <f t="shared" si="15"/>
        <v>4</v>
      </c>
    </row>
    <row r="471" spans="1:13" x14ac:dyDescent="0.25">
      <c r="A471" s="2" t="s">
        <v>544</v>
      </c>
      <c r="B471" s="3">
        <v>45748</v>
      </c>
      <c r="C471" s="2" t="s">
        <v>101</v>
      </c>
      <c r="D471" s="2" t="s">
        <v>102</v>
      </c>
      <c r="E471" s="2" t="s">
        <v>36</v>
      </c>
      <c r="F471" s="2" t="s">
        <v>14</v>
      </c>
      <c r="G471" s="2" t="s">
        <v>103</v>
      </c>
      <c r="H471" s="2">
        <v>1</v>
      </c>
      <c r="I471" s="4">
        <v>92</v>
      </c>
      <c r="J471" s="2" t="s">
        <v>16</v>
      </c>
      <c r="K471">
        <f>H471*I471</f>
        <v>92</v>
      </c>
      <c r="L471" t="str">
        <f t="shared" si="14"/>
        <v>Apr</v>
      </c>
      <c r="M471">
        <f t="shared" si="15"/>
        <v>4</v>
      </c>
    </row>
    <row r="472" spans="1:13" x14ac:dyDescent="0.25">
      <c r="A472" s="2" t="s">
        <v>545</v>
      </c>
      <c r="B472" s="3">
        <v>45749</v>
      </c>
      <c r="C472" s="2" t="s">
        <v>75</v>
      </c>
      <c r="D472" s="2" t="s">
        <v>75</v>
      </c>
      <c r="E472" s="2" t="s">
        <v>76</v>
      </c>
      <c r="F472" s="2" t="s">
        <v>20</v>
      </c>
      <c r="G472" s="2" t="s">
        <v>21</v>
      </c>
      <c r="H472" s="2">
        <v>12</v>
      </c>
      <c r="I472" s="4">
        <v>12</v>
      </c>
      <c r="J472" s="2" t="s">
        <v>22</v>
      </c>
      <c r="K472">
        <f>H472*I472</f>
        <v>144</v>
      </c>
      <c r="L472" t="str">
        <f t="shared" si="14"/>
        <v>Apr</v>
      </c>
      <c r="M472">
        <f t="shared" si="15"/>
        <v>4</v>
      </c>
    </row>
    <row r="473" spans="1:13" x14ac:dyDescent="0.25">
      <c r="A473" s="2" t="s">
        <v>546</v>
      </c>
      <c r="B473" s="3">
        <v>45749</v>
      </c>
      <c r="C473" s="2" t="s">
        <v>101</v>
      </c>
      <c r="D473" s="2" t="s">
        <v>102</v>
      </c>
      <c r="E473" s="2" t="s">
        <v>36</v>
      </c>
      <c r="F473" s="2" t="s">
        <v>14</v>
      </c>
      <c r="G473" s="2" t="s">
        <v>103</v>
      </c>
      <c r="H473" s="2">
        <v>3</v>
      </c>
      <c r="I473" s="4">
        <v>92</v>
      </c>
      <c r="J473" s="2" t="s">
        <v>22</v>
      </c>
      <c r="K473">
        <f>H473*I473</f>
        <v>276</v>
      </c>
      <c r="L473" t="str">
        <f t="shared" si="14"/>
        <v>Apr</v>
      </c>
      <c r="M473">
        <f t="shared" si="15"/>
        <v>4</v>
      </c>
    </row>
    <row r="474" spans="1:13" x14ac:dyDescent="0.25">
      <c r="A474" s="2" t="s">
        <v>547</v>
      </c>
      <c r="B474" s="3">
        <v>45749</v>
      </c>
      <c r="C474" s="2" t="s">
        <v>102</v>
      </c>
      <c r="D474" s="2" t="s">
        <v>102</v>
      </c>
      <c r="E474" s="2" t="s">
        <v>36</v>
      </c>
      <c r="F474" s="2" t="s">
        <v>20</v>
      </c>
      <c r="G474" s="2" t="s">
        <v>21</v>
      </c>
      <c r="H474" s="2">
        <v>6</v>
      </c>
      <c r="I474" s="4">
        <v>35</v>
      </c>
      <c r="J474" s="2" t="s">
        <v>16</v>
      </c>
      <c r="K474">
        <f>H474*I474</f>
        <v>210</v>
      </c>
      <c r="L474" t="str">
        <f t="shared" si="14"/>
        <v>Apr</v>
      </c>
      <c r="M474">
        <f t="shared" si="15"/>
        <v>4</v>
      </c>
    </row>
    <row r="475" spans="1:13" x14ac:dyDescent="0.25">
      <c r="A475" s="2" t="s">
        <v>548</v>
      </c>
      <c r="B475" s="3">
        <v>45749</v>
      </c>
      <c r="C475" s="2" t="s">
        <v>34</v>
      </c>
      <c r="D475" s="2" t="s">
        <v>35</v>
      </c>
      <c r="E475" s="2" t="s">
        <v>36</v>
      </c>
      <c r="F475" s="2" t="s">
        <v>14</v>
      </c>
      <c r="G475" s="2" t="s">
        <v>37</v>
      </c>
      <c r="H475" s="2">
        <v>1</v>
      </c>
      <c r="I475" s="4">
        <v>165</v>
      </c>
      <c r="J475" s="2" t="s">
        <v>16</v>
      </c>
      <c r="K475">
        <f>H475*I475</f>
        <v>165</v>
      </c>
      <c r="L475" t="str">
        <f t="shared" si="14"/>
        <v>Apr</v>
      </c>
      <c r="M475">
        <f t="shared" si="15"/>
        <v>4</v>
      </c>
    </row>
    <row r="476" spans="1:13" x14ac:dyDescent="0.25">
      <c r="A476" s="2" t="s">
        <v>549</v>
      </c>
      <c r="B476" s="3">
        <v>45749</v>
      </c>
      <c r="C476" s="2" t="s">
        <v>24</v>
      </c>
      <c r="D476" s="2" t="s">
        <v>25</v>
      </c>
      <c r="E476" s="2" t="s">
        <v>26</v>
      </c>
      <c r="F476" s="2" t="s">
        <v>14</v>
      </c>
      <c r="G476" s="2" t="s">
        <v>27</v>
      </c>
      <c r="H476" s="2">
        <v>1</v>
      </c>
      <c r="I476" s="4">
        <v>58</v>
      </c>
      <c r="J476" s="2" t="s">
        <v>38</v>
      </c>
      <c r="K476">
        <f>H476*I476</f>
        <v>58</v>
      </c>
      <c r="L476" t="str">
        <f t="shared" si="14"/>
        <v>Apr</v>
      </c>
      <c r="M476">
        <f t="shared" si="15"/>
        <v>4</v>
      </c>
    </row>
    <row r="477" spans="1:13" x14ac:dyDescent="0.25">
      <c r="A477" s="2" t="s">
        <v>550</v>
      </c>
      <c r="B477" s="3">
        <v>45750</v>
      </c>
      <c r="C477" s="2" t="s">
        <v>11</v>
      </c>
      <c r="D477" s="2" t="s">
        <v>12</v>
      </c>
      <c r="E477" s="2" t="s">
        <v>13</v>
      </c>
      <c r="F477" s="2" t="s">
        <v>14</v>
      </c>
      <c r="G477" s="2" t="s">
        <v>15</v>
      </c>
      <c r="H477" s="2">
        <v>3</v>
      </c>
      <c r="I477" s="4">
        <v>32</v>
      </c>
      <c r="J477" s="2" t="s">
        <v>16</v>
      </c>
      <c r="K477">
        <f>H477*I477</f>
        <v>96</v>
      </c>
      <c r="L477" t="str">
        <f t="shared" si="14"/>
        <v>Apr</v>
      </c>
      <c r="M477">
        <f t="shared" si="15"/>
        <v>4</v>
      </c>
    </row>
    <row r="478" spans="1:13" x14ac:dyDescent="0.25">
      <c r="A478" s="2" t="s">
        <v>551</v>
      </c>
      <c r="B478" s="3">
        <v>45750</v>
      </c>
      <c r="C478" s="2" t="s">
        <v>11</v>
      </c>
      <c r="D478" s="2" t="s">
        <v>12</v>
      </c>
      <c r="E478" s="2" t="s">
        <v>13</v>
      </c>
      <c r="F478" s="2" t="s">
        <v>14</v>
      </c>
      <c r="G478" s="2" t="s">
        <v>15</v>
      </c>
      <c r="H478" s="2">
        <v>2</v>
      </c>
      <c r="I478" s="4">
        <v>32</v>
      </c>
      <c r="J478" s="2" t="s">
        <v>16</v>
      </c>
      <c r="K478">
        <f>H478*I478</f>
        <v>64</v>
      </c>
      <c r="L478" t="str">
        <f t="shared" si="14"/>
        <v>Apr</v>
      </c>
      <c r="M478">
        <f t="shared" si="15"/>
        <v>4</v>
      </c>
    </row>
    <row r="479" spans="1:13" x14ac:dyDescent="0.25">
      <c r="A479" s="2" t="s">
        <v>552</v>
      </c>
      <c r="B479" s="3">
        <v>45750</v>
      </c>
      <c r="C479" s="2" t="s">
        <v>42</v>
      </c>
      <c r="D479" s="2" t="s">
        <v>43</v>
      </c>
      <c r="E479" s="2" t="s">
        <v>44</v>
      </c>
      <c r="F479" s="2" t="s">
        <v>14</v>
      </c>
      <c r="G479" s="2" t="s">
        <v>45</v>
      </c>
      <c r="H479" s="2">
        <v>1</v>
      </c>
      <c r="I479" s="4">
        <v>46</v>
      </c>
      <c r="J479" s="2" t="s">
        <v>16</v>
      </c>
      <c r="K479">
        <f>H479*I479</f>
        <v>46</v>
      </c>
      <c r="L479" t="str">
        <f t="shared" si="14"/>
        <v>Apr</v>
      </c>
      <c r="M479">
        <f t="shared" si="15"/>
        <v>4</v>
      </c>
    </row>
    <row r="480" spans="1:13" x14ac:dyDescent="0.25">
      <c r="A480" s="2" t="s">
        <v>553</v>
      </c>
      <c r="B480" s="3">
        <v>45751</v>
      </c>
      <c r="C480" s="2" t="s">
        <v>80</v>
      </c>
      <c r="D480" s="2" t="s">
        <v>80</v>
      </c>
      <c r="E480" s="2" t="s">
        <v>26</v>
      </c>
      <c r="F480" s="2" t="s">
        <v>20</v>
      </c>
      <c r="G480" s="2" t="s">
        <v>21</v>
      </c>
      <c r="H480" s="2">
        <v>1</v>
      </c>
      <c r="I480" s="4">
        <v>50</v>
      </c>
      <c r="J480" s="2" t="s">
        <v>38</v>
      </c>
      <c r="K480">
        <f>H480*I480</f>
        <v>50</v>
      </c>
      <c r="L480" t="str">
        <f t="shared" si="14"/>
        <v>Apr</v>
      </c>
      <c r="M480">
        <f t="shared" si="15"/>
        <v>4</v>
      </c>
    </row>
    <row r="481" spans="1:13" x14ac:dyDescent="0.25">
      <c r="A481" s="2" t="s">
        <v>554</v>
      </c>
      <c r="B481" s="3">
        <v>45751</v>
      </c>
      <c r="C481" s="2" t="s">
        <v>61</v>
      </c>
      <c r="D481" s="2" t="s">
        <v>61</v>
      </c>
      <c r="E481" s="2" t="s">
        <v>62</v>
      </c>
      <c r="F481" s="2" t="s">
        <v>20</v>
      </c>
      <c r="G481" s="2" t="s">
        <v>21</v>
      </c>
      <c r="H481" s="2">
        <v>1</v>
      </c>
      <c r="I481" s="4">
        <v>8</v>
      </c>
      <c r="J481" s="2" t="s">
        <v>16</v>
      </c>
      <c r="K481">
        <f>H481*I481</f>
        <v>8</v>
      </c>
      <c r="L481" t="str">
        <f t="shared" si="14"/>
        <v>Apr</v>
      </c>
      <c r="M481">
        <f t="shared" si="15"/>
        <v>4</v>
      </c>
    </row>
    <row r="482" spans="1:13" x14ac:dyDescent="0.25">
      <c r="A482" s="2" t="s">
        <v>555</v>
      </c>
      <c r="B482" s="3">
        <v>45751</v>
      </c>
      <c r="C482" s="2" t="s">
        <v>97</v>
      </c>
      <c r="D482" s="2" t="s">
        <v>98</v>
      </c>
      <c r="E482" s="2" t="s">
        <v>99</v>
      </c>
      <c r="F482" s="2" t="s">
        <v>14</v>
      </c>
      <c r="G482" s="2" t="s">
        <v>37</v>
      </c>
      <c r="H482" s="2">
        <v>5</v>
      </c>
      <c r="I482" s="4">
        <v>182</v>
      </c>
      <c r="J482" s="2" t="s">
        <v>16</v>
      </c>
      <c r="K482">
        <f>H482*I482</f>
        <v>910</v>
      </c>
      <c r="L482" t="str">
        <f t="shared" si="14"/>
        <v>Apr</v>
      </c>
      <c r="M482">
        <f t="shared" si="15"/>
        <v>4</v>
      </c>
    </row>
    <row r="483" spans="1:13" x14ac:dyDescent="0.25">
      <c r="A483" s="2" t="s">
        <v>556</v>
      </c>
      <c r="B483" s="3">
        <v>45752</v>
      </c>
      <c r="C483" s="2" t="s">
        <v>12</v>
      </c>
      <c r="D483" s="2" t="s">
        <v>12</v>
      </c>
      <c r="E483" s="2" t="s">
        <v>13</v>
      </c>
      <c r="F483" s="2" t="s">
        <v>20</v>
      </c>
      <c r="G483" s="2" t="s">
        <v>21</v>
      </c>
      <c r="H483" s="2">
        <v>3</v>
      </c>
      <c r="I483" s="4">
        <v>14</v>
      </c>
      <c r="J483" s="2" t="s">
        <v>16</v>
      </c>
      <c r="K483">
        <f>H483*I483</f>
        <v>42</v>
      </c>
      <c r="L483" t="str">
        <f t="shared" si="14"/>
        <v>Apr</v>
      </c>
      <c r="M483">
        <f t="shared" si="15"/>
        <v>4</v>
      </c>
    </row>
    <row r="484" spans="1:13" x14ac:dyDescent="0.25">
      <c r="A484" s="2" t="s">
        <v>557</v>
      </c>
      <c r="B484" s="3">
        <v>45752</v>
      </c>
      <c r="C484" s="2" t="s">
        <v>86</v>
      </c>
      <c r="D484" s="2" t="s">
        <v>48</v>
      </c>
      <c r="E484" s="2" t="s">
        <v>49</v>
      </c>
      <c r="F484" s="2" t="s">
        <v>14</v>
      </c>
      <c r="G484" s="2" t="s">
        <v>87</v>
      </c>
      <c r="H484" s="2">
        <v>1</v>
      </c>
      <c r="I484" s="4">
        <v>125</v>
      </c>
      <c r="J484" s="2" t="s">
        <v>16</v>
      </c>
      <c r="K484">
        <f>H484*I484</f>
        <v>125</v>
      </c>
      <c r="L484" t="str">
        <f t="shared" si="14"/>
        <v>Apr</v>
      </c>
      <c r="M484">
        <f t="shared" si="15"/>
        <v>4</v>
      </c>
    </row>
    <row r="485" spans="1:13" x14ac:dyDescent="0.25">
      <c r="A485" s="2" t="s">
        <v>558</v>
      </c>
      <c r="B485" s="3">
        <v>45752</v>
      </c>
      <c r="C485" s="2" t="s">
        <v>67</v>
      </c>
      <c r="D485" s="2" t="s">
        <v>68</v>
      </c>
      <c r="E485" s="2" t="s">
        <v>49</v>
      </c>
      <c r="F485" s="2" t="s">
        <v>14</v>
      </c>
      <c r="G485" s="2" t="s">
        <v>69</v>
      </c>
      <c r="H485" s="2">
        <v>1</v>
      </c>
      <c r="I485" s="4">
        <v>205</v>
      </c>
      <c r="J485" s="2" t="s">
        <v>16</v>
      </c>
      <c r="K485">
        <f>H485*I485</f>
        <v>205</v>
      </c>
      <c r="L485" t="str">
        <f t="shared" si="14"/>
        <v>Apr</v>
      </c>
      <c r="M485">
        <f t="shared" si="15"/>
        <v>4</v>
      </c>
    </row>
    <row r="486" spans="1:13" x14ac:dyDescent="0.25">
      <c r="A486" s="2" t="s">
        <v>559</v>
      </c>
      <c r="B486" s="3">
        <v>45752</v>
      </c>
      <c r="C486" s="2" t="s">
        <v>120</v>
      </c>
      <c r="D486" s="2" t="s">
        <v>120</v>
      </c>
      <c r="E486" s="2" t="s">
        <v>76</v>
      </c>
      <c r="F486" s="2" t="s">
        <v>20</v>
      </c>
      <c r="G486" s="2" t="s">
        <v>21</v>
      </c>
      <c r="H486" s="2">
        <v>1</v>
      </c>
      <c r="I486" s="4">
        <v>42</v>
      </c>
      <c r="J486" s="2" t="s">
        <v>16</v>
      </c>
      <c r="K486">
        <f>H486*I486</f>
        <v>42</v>
      </c>
      <c r="L486" t="str">
        <f t="shared" si="14"/>
        <v>Apr</v>
      </c>
      <c r="M486">
        <f t="shared" si="15"/>
        <v>4</v>
      </c>
    </row>
    <row r="487" spans="1:13" x14ac:dyDescent="0.25">
      <c r="A487" s="2" t="s">
        <v>560</v>
      </c>
      <c r="B487" s="3">
        <v>45752</v>
      </c>
      <c r="C487" s="2" t="s">
        <v>35</v>
      </c>
      <c r="D487" s="2" t="s">
        <v>35</v>
      </c>
      <c r="E487" s="2" t="s">
        <v>36</v>
      </c>
      <c r="F487" s="2" t="s">
        <v>20</v>
      </c>
      <c r="G487" s="2" t="s">
        <v>21</v>
      </c>
      <c r="H487" s="2">
        <v>6</v>
      </c>
      <c r="I487" s="4">
        <v>58</v>
      </c>
      <c r="J487" s="2" t="s">
        <v>16</v>
      </c>
      <c r="K487">
        <f>H487*I487</f>
        <v>348</v>
      </c>
      <c r="L487" t="str">
        <f t="shared" si="14"/>
        <v>Apr</v>
      </c>
      <c r="M487">
        <f t="shared" si="15"/>
        <v>4</v>
      </c>
    </row>
    <row r="488" spans="1:13" x14ac:dyDescent="0.25">
      <c r="A488" s="2" t="s">
        <v>561</v>
      </c>
      <c r="B488" s="3">
        <v>45752</v>
      </c>
      <c r="C488" s="2" t="s">
        <v>18</v>
      </c>
      <c r="D488" s="2" t="s">
        <v>18</v>
      </c>
      <c r="E488" s="2" t="s">
        <v>19</v>
      </c>
      <c r="F488" s="2" t="s">
        <v>20</v>
      </c>
      <c r="G488" s="2" t="s">
        <v>21</v>
      </c>
      <c r="H488" s="2">
        <v>6</v>
      </c>
      <c r="I488" s="4">
        <v>15</v>
      </c>
      <c r="J488" s="2" t="s">
        <v>38</v>
      </c>
      <c r="K488">
        <f>H488*I488</f>
        <v>90</v>
      </c>
      <c r="L488" t="str">
        <f t="shared" si="14"/>
        <v>Apr</v>
      </c>
      <c r="M488">
        <f t="shared" si="15"/>
        <v>4</v>
      </c>
    </row>
    <row r="489" spans="1:13" x14ac:dyDescent="0.25">
      <c r="A489" s="2" t="s">
        <v>562</v>
      </c>
      <c r="B489" s="3">
        <v>45752</v>
      </c>
      <c r="C489" s="2" t="s">
        <v>18</v>
      </c>
      <c r="D489" s="2" t="s">
        <v>18</v>
      </c>
      <c r="E489" s="2" t="s">
        <v>19</v>
      </c>
      <c r="F489" s="2" t="s">
        <v>20</v>
      </c>
      <c r="G489" s="2" t="s">
        <v>21</v>
      </c>
      <c r="H489" s="2">
        <v>3</v>
      </c>
      <c r="I489" s="4">
        <v>15</v>
      </c>
      <c r="J489" s="2" t="s">
        <v>16</v>
      </c>
      <c r="K489">
        <f>H489*I489</f>
        <v>45</v>
      </c>
      <c r="L489" t="str">
        <f t="shared" si="14"/>
        <v>Apr</v>
      </c>
      <c r="M489">
        <f t="shared" si="15"/>
        <v>4</v>
      </c>
    </row>
    <row r="490" spans="1:13" x14ac:dyDescent="0.25">
      <c r="A490" s="2" t="s">
        <v>563</v>
      </c>
      <c r="B490" s="3">
        <v>45752</v>
      </c>
      <c r="C490" s="2" t="s">
        <v>52</v>
      </c>
      <c r="D490" s="2" t="s">
        <v>30</v>
      </c>
      <c r="E490" s="2" t="s">
        <v>13</v>
      </c>
      <c r="F490" s="2" t="s">
        <v>14</v>
      </c>
      <c r="G490" s="2" t="s">
        <v>53</v>
      </c>
      <c r="H490" s="2">
        <v>5</v>
      </c>
      <c r="I490" s="4">
        <v>42</v>
      </c>
      <c r="J490" s="2" t="s">
        <v>16</v>
      </c>
      <c r="K490">
        <f>H490*I490</f>
        <v>210</v>
      </c>
      <c r="L490" t="str">
        <f t="shared" si="14"/>
        <v>Apr</v>
      </c>
      <c r="M490">
        <f t="shared" si="15"/>
        <v>4</v>
      </c>
    </row>
    <row r="491" spans="1:13" x14ac:dyDescent="0.25">
      <c r="A491" s="2" t="s">
        <v>564</v>
      </c>
      <c r="B491" s="3">
        <v>45752</v>
      </c>
      <c r="C491" s="2" t="s">
        <v>30</v>
      </c>
      <c r="D491" s="2" t="s">
        <v>30</v>
      </c>
      <c r="E491" s="2" t="s">
        <v>13</v>
      </c>
      <c r="F491" s="2" t="s">
        <v>20</v>
      </c>
      <c r="G491" s="2" t="s">
        <v>21</v>
      </c>
      <c r="H491" s="2">
        <v>1</v>
      </c>
      <c r="I491" s="4">
        <v>15</v>
      </c>
      <c r="J491" s="2" t="s">
        <v>38</v>
      </c>
      <c r="K491">
        <f>H491*I491</f>
        <v>15</v>
      </c>
      <c r="L491" t="str">
        <f t="shared" si="14"/>
        <v>Apr</v>
      </c>
      <c r="M491">
        <f t="shared" si="15"/>
        <v>4</v>
      </c>
    </row>
    <row r="492" spans="1:13" x14ac:dyDescent="0.25">
      <c r="A492" s="2" t="s">
        <v>565</v>
      </c>
      <c r="B492" s="3">
        <v>45753</v>
      </c>
      <c r="C492" s="2" t="s">
        <v>74</v>
      </c>
      <c r="D492" s="2" t="s">
        <v>75</v>
      </c>
      <c r="E492" s="2" t="s">
        <v>76</v>
      </c>
      <c r="F492" s="2" t="s">
        <v>14</v>
      </c>
      <c r="G492" s="2" t="s">
        <v>77</v>
      </c>
      <c r="H492" s="2">
        <v>1</v>
      </c>
      <c r="I492" s="4">
        <v>32</v>
      </c>
      <c r="J492" s="2" t="s">
        <v>31</v>
      </c>
      <c r="K492">
        <f>H492*I492</f>
        <v>32</v>
      </c>
      <c r="L492" t="str">
        <f t="shared" si="14"/>
        <v>Apr</v>
      </c>
      <c r="M492">
        <f t="shared" si="15"/>
        <v>4</v>
      </c>
    </row>
    <row r="493" spans="1:13" x14ac:dyDescent="0.25">
      <c r="A493" s="2" t="s">
        <v>566</v>
      </c>
      <c r="B493" s="3">
        <v>45753</v>
      </c>
      <c r="C493" s="2" t="s">
        <v>74</v>
      </c>
      <c r="D493" s="2" t="s">
        <v>75</v>
      </c>
      <c r="E493" s="2" t="s">
        <v>76</v>
      </c>
      <c r="F493" s="2" t="s">
        <v>14</v>
      </c>
      <c r="G493" s="2" t="s">
        <v>77</v>
      </c>
      <c r="H493" s="2">
        <v>1</v>
      </c>
      <c r="I493" s="4">
        <v>32</v>
      </c>
      <c r="J493" s="2" t="s">
        <v>16</v>
      </c>
      <c r="K493">
        <f>H493*I493</f>
        <v>32</v>
      </c>
      <c r="L493" t="str">
        <f t="shared" si="14"/>
        <v>Apr</v>
      </c>
      <c r="M493">
        <f t="shared" si="15"/>
        <v>4</v>
      </c>
    </row>
    <row r="494" spans="1:13" x14ac:dyDescent="0.25">
      <c r="A494" s="2" t="s">
        <v>567</v>
      </c>
      <c r="B494" s="3">
        <v>45753</v>
      </c>
      <c r="C494" s="2" t="s">
        <v>25</v>
      </c>
      <c r="D494" s="2" t="s">
        <v>25</v>
      </c>
      <c r="E494" s="2" t="s">
        <v>26</v>
      </c>
      <c r="F494" s="2" t="s">
        <v>20</v>
      </c>
      <c r="G494" s="2" t="s">
        <v>21</v>
      </c>
      <c r="H494" s="2">
        <v>1</v>
      </c>
      <c r="I494" s="4">
        <v>20</v>
      </c>
      <c r="J494" s="2" t="s">
        <v>16</v>
      </c>
      <c r="K494">
        <f>H494*I494</f>
        <v>20</v>
      </c>
      <c r="L494" t="str">
        <f t="shared" si="14"/>
        <v>Apr</v>
      </c>
      <c r="M494">
        <f t="shared" si="15"/>
        <v>4</v>
      </c>
    </row>
    <row r="495" spans="1:13" x14ac:dyDescent="0.25">
      <c r="A495" s="2" t="s">
        <v>568</v>
      </c>
      <c r="B495" s="3">
        <v>45753</v>
      </c>
      <c r="C495" s="2" t="s">
        <v>25</v>
      </c>
      <c r="D495" s="2" t="s">
        <v>25</v>
      </c>
      <c r="E495" s="2" t="s">
        <v>26</v>
      </c>
      <c r="F495" s="2" t="s">
        <v>20</v>
      </c>
      <c r="G495" s="2" t="s">
        <v>21</v>
      </c>
      <c r="H495" s="2">
        <v>2</v>
      </c>
      <c r="I495" s="4">
        <v>20</v>
      </c>
      <c r="J495" s="2" t="s">
        <v>31</v>
      </c>
      <c r="K495">
        <f>H495*I495</f>
        <v>40</v>
      </c>
      <c r="L495" t="str">
        <f t="shared" si="14"/>
        <v>Apr</v>
      </c>
      <c r="M495">
        <f t="shared" si="15"/>
        <v>4</v>
      </c>
    </row>
    <row r="496" spans="1:13" x14ac:dyDescent="0.25">
      <c r="A496" s="2" t="s">
        <v>569</v>
      </c>
      <c r="B496" s="3">
        <v>45754</v>
      </c>
      <c r="C496" s="2" t="s">
        <v>74</v>
      </c>
      <c r="D496" s="2" t="s">
        <v>75</v>
      </c>
      <c r="E496" s="2" t="s">
        <v>76</v>
      </c>
      <c r="F496" s="2" t="s">
        <v>14</v>
      </c>
      <c r="G496" s="2" t="s">
        <v>77</v>
      </c>
      <c r="H496" s="2">
        <v>12</v>
      </c>
      <c r="I496" s="4">
        <v>32</v>
      </c>
      <c r="J496" s="2" t="s">
        <v>16</v>
      </c>
      <c r="K496">
        <f>H496*I496</f>
        <v>384</v>
      </c>
      <c r="L496" t="str">
        <f t="shared" si="14"/>
        <v>Apr</v>
      </c>
      <c r="M496">
        <f t="shared" si="15"/>
        <v>4</v>
      </c>
    </row>
    <row r="497" spans="1:13" x14ac:dyDescent="0.25">
      <c r="A497" s="2" t="s">
        <v>570</v>
      </c>
      <c r="B497" s="3">
        <v>45754</v>
      </c>
      <c r="C497" s="2" t="s">
        <v>75</v>
      </c>
      <c r="D497" s="2" t="s">
        <v>75</v>
      </c>
      <c r="E497" s="2" t="s">
        <v>76</v>
      </c>
      <c r="F497" s="2" t="s">
        <v>20</v>
      </c>
      <c r="G497" s="2" t="s">
        <v>21</v>
      </c>
      <c r="H497" s="2">
        <v>3</v>
      </c>
      <c r="I497" s="4">
        <v>12</v>
      </c>
      <c r="J497" s="2" t="s">
        <v>22</v>
      </c>
      <c r="K497">
        <f>H497*I497</f>
        <v>36</v>
      </c>
      <c r="L497" t="str">
        <f t="shared" si="14"/>
        <v>Apr</v>
      </c>
      <c r="M497">
        <f t="shared" si="15"/>
        <v>4</v>
      </c>
    </row>
    <row r="498" spans="1:13" x14ac:dyDescent="0.25">
      <c r="A498" s="2" t="s">
        <v>571</v>
      </c>
      <c r="B498" s="3">
        <v>45754</v>
      </c>
      <c r="C498" s="2" t="s">
        <v>18</v>
      </c>
      <c r="D498" s="2" t="s">
        <v>18</v>
      </c>
      <c r="E498" s="2" t="s">
        <v>19</v>
      </c>
      <c r="F498" s="2" t="s">
        <v>20</v>
      </c>
      <c r="G498" s="2" t="s">
        <v>21</v>
      </c>
      <c r="H498" s="2">
        <v>6</v>
      </c>
      <c r="I498" s="4">
        <v>15</v>
      </c>
      <c r="J498" s="2" t="s">
        <v>16</v>
      </c>
      <c r="K498">
        <f>H498*I498</f>
        <v>90</v>
      </c>
      <c r="L498" t="str">
        <f t="shared" si="14"/>
        <v>Apr</v>
      </c>
      <c r="M498">
        <f t="shared" si="15"/>
        <v>4</v>
      </c>
    </row>
    <row r="499" spans="1:13" x14ac:dyDescent="0.25">
      <c r="A499" s="2" t="s">
        <v>572</v>
      </c>
      <c r="B499" s="3">
        <v>45754</v>
      </c>
      <c r="C499" s="2" t="s">
        <v>79</v>
      </c>
      <c r="D499" s="2" t="s">
        <v>80</v>
      </c>
      <c r="E499" s="2" t="s">
        <v>26</v>
      </c>
      <c r="F499" s="2" t="s">
        <v>14</v>
      </c>
      <c r="G499" s="2" t="s">
        <v>81</v>
      </c>
      <c r="H499" s="2">
        <v>2</v>
      </c>
      <c r="I499" s="4">
        <v>152</v>
      </c>
      <c r="J499" s="2" t="s">
        <v>16</v>
      </c>
      <c r="K499">
        <f>H499*I499</f>
        <v>304</v>
      </c>
      <c r="L499" t="str">
        <f t="shared" si="14"/>
        <v>Apr</v>
      </c>
      <c r="M499">
        <f t="shared" si="15"/>
        <v>4</v>
      </c>
    </row>
    <row r="500" spans="1:13" x14ac:dyDescent="0.25">
      <c r="A500" s="2" t="s">
        <v>573</v>
      </c>
      <c r="B500" s="3">
        <v>45754</v>
      </c>
      <c r="C500" s="2" t="s">
        <v>60</v>
      </c>
      <c r="D500" s="2" t="s">
        <v>61</v>
      </c>
      <c r="E500" s="2" t="s">
        <v>62</v>
      </c>
      <c r="F500" s="2" t="s">
        <v>14</v>
      </c>
      <c r="G500" s="2" t="s">
        <v>63</v>
      </c>
      <c r="H500" s="2">
        <v>1</v>
      </c>
      <c r="I500" s="4">
        <v>26</v>
      </c>
      <c r="J500" s="2" t="s">
        <v>16</v>
      </c>
      <c r="K500">
        <f>H500*I500</f>
        <v>26</v>
      </c>
      <c r="L500" t="str">
        <f t="shared" si="14"/>
        <v>Apr</v>
      </c>
      <c r="M500">
        <f t="shared" si="15"/>
        <v>4</v>
      </c>
    </row>
    <row r="501" spans="1:13" x14ac:dyDescent="0.25">
      <c r="A501" s="2" t="s">
        <v>574</v>
      </c>
      <c r="B501" s="3">
        <v>45755</v>
      </c>
      <c r="C501" s="2" t="s">
        <v>48</v>
      </c>
      <c r="D501" s="2" t="s">
        <v>48</v>
      </c>
      <c r="E501" s="2" t="s">
        <v>49</v>
      </c>
      <c r="F501" s="2" t="s">
        <v>20</v>
      </c>
      <c r="G501" s="2" t="s">
        <v>21</v>
      </c>
      <c r="H501" s="2">
        <v>1</v>
      </c>
      <c r="I501" s="4">
        <v>55</v>
      </c>
      <c r="J501" s="2" t="s">
        <v>16</v>
      </c>
      <c r="K501">
        <f>H501*I501</f>
        <v>55</v>
      </c>
      <c r="L501" t="str">
        <f t="shared" si="14"/>
        <v>Apr</v>
      </c>
      <c r="M501">
        <f t="shared" si="15"/>
        <v>4</v>
      </c>
    </row>
    <row r="502" spans="1:13" x14ac:dyDescent="0.25">
      <c r="A502" s="2" t="s">
        <v>575</v>
      </c>
      <c r="B502" s="3">
        <v>45755</v>
      </c>
      <c r="C502" s="2" t="s">
        <v>101</v>
      </c>
      <c r="D502" s="2" t="s">
        <v>102</v>
      </c>
      <c r="E502" s="2" t="s">
        <v>36</v>
      </c>
      <c r="F502" s="2" t="s">
        <v>14</v>
      </c>
      <c r="G502" s="2" t="s">
        <v>103</v>
      </c>
      <c r="H502" s="2">
        <v>2</v>
      </c>
      <c r="I502" s="4">
        <v>92</v>
      </c>
      <c r="J502" s="2" t="s">
        <v>31</v>
      </c>
      <c r="K502">
        <f>H502*I502</f>
        <v>184</v>
      </c>
      <c r="L502" t="str">
        <f t="shared" si="14"/>
        <v>Apr</v>
      </c>
      <c r="M502">
        <f t="shared" si="15"/>
        <v>4</v>
      </c>
    </row>
    <row r="503" spans="1:13" x14ac:dyDescent="0.25">
      <c r="A503" s="2" t="s">
        <v>576</v>
      </c>
      <c r="B503" s="3">
        <v>45755</v>
      </c>
      <c r="C503" s="2" t="s">
        <v>24</v>
      </c>
      <c r="D503" s="2" t="s">
        <v>25</v>
      </c>
      <c r="E503" s="2" t="s">
        <v>26</v>
      </c>
      <c r="F503" s="2" t="s">
        <v>14</v>
      </c>
      <c r="G503" s="2" t="s">
        <v>27</v>
      </c>
      <c r="H503" s="2">
        <v>1</v>
      </c>
      <c r="I503" s="4">
        <v>58</v>
      </c>
      <c r="J503" s="2" t="s">
        <v>16</v>
      </c>
      <c r="K503">
        <f>H503*I503</f>
        <v>58</v>
      </c>
      <c r="L503" t="str">
        <f t="shared" si="14"/>
        <v>Apr</v>
      </c>
      <c r="M503">
        <f t="shared" si="15"/>
        <v>4</v>
      </c>
    </row>
    <row r="504" spans="1:13" x14ac:dyDescent="0.25">
      <c r="A504" s="2" t="s">
        <v>577</v>
      </c>
      <c r="B504" s="3">
        <v>45756</v>
      </c>
      <c r="C504" s="2" t="s">
        <v>11</v>
      </c>
      <c r="D504" s="2" t="s">
        <v>12</v>
      </c>
      <c r="E504" s="2" t="s">
        <v>13</v>
      </c>
      <c r="F504" s="2" t="s">
        <v>14</v>
      </c>
      <c r="G504" s="2" t="s">
        <v>15</v>
      </c>
      <c r="H504" s="2">
        <v>1</v>
      </c>
      <c r="I504" s="4">
        <v>32</v>
      </c>
      <c r="J504" s="2" t="s">
        <v>22</v>
      </c>
      <c r="K504">
        <f>H504*I504</f>
        <v>32</v>
      </c>
      <c r="L504" t="str">
        <f t="shared" si="14"/>
        <v>Apr</v>
      </c>
      <c r="M504">
        <f t="shared" si="15"/>
        <v>4</v>
      </c>
    </row>
    <row r="505" spans="1:13" x14ac:dyDescent="0.25">
      <c r="A505" s="2" t="s">
        <v>578</v>
      </c>
      <c r="B505" s="3">
        <v>45756</v>
      </c>
      <c r="C505" s="2" t="s">
        <v>190</v>
      </c>
      <c r="D505" s="2" t="s">
        <v>40</v>
      </c>
      <c r="E505" s="2" t="s">
        <v>19</v>
      </c>
      <c r="F505" s="2" t="s">
        <v>14</v>
      </c>
      <c r="G505" s="2" t="s">
        <v>191</v>
      </c>
      <c r="H505" s="2">
        <v>3</v>
      </c>
      <c r="I505" s="4">
        <v>142</v>
      </c>
      <c r="J505" s="2" t="s">
        <v>16</v>
      </c>
      <c r="K505">
        <f>H505*I505</f>
        <v>426</v>
      </c>
      <c r="L505" t="str">
        <f t="shared" si="14"/>
        <v>Apr</v>
      </c>
      <c r="M505">
        <f t="shared" si="15"/>
        <v>4</v>
      </c>
    </row>
    <row r="506" spans="1:13" x14ac:dyDescent="0.25">
      <c r="A506" s="2" t="s">
        <v>579</v>
      </c>
      <c r="B506" s="3">
        <v>45756</v>
      </c>
      <c r="C506" s="2" t="s">
        <v>190</v>
      </c>
      <c r="D506" s="2" t="s">
        <v>40</v>
      </c>
      <c r="E506" s="2" t="s">
        <v>19</v>
      </c>
      <c r="F506" s="2" t="s">
        <v>14</v>
      </c>
      <c r="G506" s="2" t="s">
        <v>191</v>
      </c>
      <c r="H506" s="2">
        <v>3</v>
      </c>
      <c r="I506" s="4">
        <v>142</v>
      </c>
      <c r="J506" s="2" t="s">
        <v>16</v>
      </c>
      <c r="K506">
        <f>H506*I506</f>
        <v>426</v>
      </c>
      <c r="L506" t="str">
        <f t="shared" si="14"/>
        <v>Apr</v>
      </c>
      <c r="M506">
        <f t="shared" si="15"/>
        <v>4</v>
      </c>
    </row>
    <row r="507" spans="1:13" x14ac:dyDescent="0.25">
      <c r="A507" s="2" t="s">
        <v>580</v>
      </c>
      <c r="B507" s="3">
        <v>45756</v>
      </c>
      <c r="C507" s="2" t="s">
        <v>40</v>
      </c>
      <c r="D507" s="2" t="s">
        <v>40</v>
      </c>
      <c r="E507" s="2" t="s">
        <v>19</v>
      </c>
      <c r="F507" s="2" t="s">
        <v>20</v>
      </c>
      <c r="G507" s="2" t="s">
        <v>21</v>
      </c>
      <c r="H507" s="2">
        <v>3</v>
      </c>
      <c r="I507" s="4">
        <v>46</v>
      </c>
      <c r="J507" s="2" t="s">
        <v>22</v>
      </c>
      <c r="K507">
        <f>H507*I507</f>
        <v>138</v>
      </c>
      <c r="L507" t="str">
        <f t="shared" si="14"/>
        <v>Apr</v>
      </c>
      <c r="M507">
        <f t="shared" si="15"/>
        <v>4</v>
      </c>
    </row>
    <row r="508" spans="1:13" x14ac:dyDescent="0.25">
      <c r="A508" s="2" t="s">
        <v>581</v>
      </c>
      <c r="B508" s="3">
        <v>45757</v>
      </c>
      <c r="C508" s="2" t="s">
        <v>11</v>
      </c>
      <c r="D508" s="2" t="s">
        <v>12</v>
      </c>
      <c r="E508" s="2" t="s">
        <v>13</v>
      </c>
      <c r="F508" s="2" t="s">
        <v>14</v>
      </c>
      <c r="G508" s="2" t="s">
        <v>15</v>
      </c>
      <c r="H508" s="2">
        <v>5</v>
      </c>
      <c r="I508" s="4">
        <v>32</v>
      </c>
      <c r="J508" s="2" t="s">
        <v>22</v>
      </c>
      <c r="K508">
        <f>H508*I508</f>
        <v>160</v>
      </c>
      <c r="L508" t="str">
        <f t="shared" si="14"/>
        <v>Apr</v>
      </c>
      <c r="M508">
        <f t="shared" si="15"/>
        <v>4</v>
      </c>
    </row>
    <row r="509" spans="1:13" x14ac:dyDescent="0.25">
      <c r="A509" s="2" t="s">
        <v>582</v>
      </c>
      <c r="B509" s="3">
        <v>45757</v>
      </c>
      <c r="C509" s="2" t="s">
        <v>48</v>
      </c>
      <c r="D509" s="2" t="s">
        <v>48</v>
      </c>
      <c r="E509" s="2" t="s">
        <v>49</v>
      </c>
      <c r="F509" s="2" t="s">
        <v>20</v>
      </c>
      <c r="G509" s="2" t="s">
        <v>21</v>
      </c>
      <c r="H509" s="2">
        <v>1</v>
      </c>
      <c r="I509" s="4">
        <v>55</v>
      </c>
      <c r="J509" s="2" t="s">
        <v>22</v>
      </c>
      <c r="K509">
        <f>H509*I509</f>
        <v>55</v>
      </c>
      <c r="L509" t="str">
        <f t="shared" si="14"/>
        <v>Apr</v>
      </c>
      <c r="M509">
        <f t="shared" si="15"/>
        <v>4</v>
      </c>
    </row>
    <row r="510" spans="1:13" x14ac:dyDescent="0.25">
      <c r="A510" s="2" t="s">
        <v>583</v>
      </c>
      <c r="B510" s="3">
        <v>45757</v>
      </c>
      <c r="C510" s="2" t="s">
        <v>124</v>
      </c>
      <c r="D510" s="2" t="s">
        <v>18</v>
      </c>
      <c r="E510" s="2" t="s">
        <v>19</v>
      </c>
      <c r="F510" s="2" t="s">
        <v>14</v>
      </c>
      <c r="G510" s="2" t="s">
        <v>125</v>
      </c>
      <c r="H510" s="2">
        <v>12</v>
      </c>
      <c r="I510" s="4">
        <v>45</v>
      </c>
      <c r="J510" s="2" t="s">
        <v>31</v>
      </c>
      <c r="K510">
        <f>H510*I510</f>
        <v>540</v>
      </c>
      <c r="L510" t="str">
        <f t="shared" si="14"/>
        <v>Apr</v>
      </c>
      <c r="M510">
        <f t="shared" si="15"/>
        <v>4</v>
      </c>
    </row>
    <row r="511" spans="1:13" x14ac:dyDescent="0.25">
      <c r="A511" s="2" t="s">
        <v>584</v>
      </c>
      <c r="B511" s="3">
        <v>45757</v>
      </c>
      <c r="C511" s="2" t="s">
        <v>79</v>
      </c>
      <c r="D511" s="2" t="s">
        <v>80</v>
      </c>
      <c r="E511" s="2" t="s">
        <v>26</v>
      </c>
      <c r="F511" s="2" t="s">
        <v>14</v>
      </c>
      <c r="G511" s="2" t="s">
        <v>81</v>
      </c>
      <c r="H511" s="2">
        <v>1</v>
      </c>
      <c r="I511" s="4">
        <v>152</v>
      </c>
      <c r="J511" s="2" t="s">
        <v>16</v>
      </c>
      <c r="K511">
        <f>H511*I511</f>
        <v>152</v>
      </c>
      <c r="L511" t="str">
        <f t="shared" si="14"/>
        <v>Apr</v>
      </c>
      <c r="M511">
        <f t="shared" si="15"/>
        <v>4</v>
      </c>
    </row>
    <row r="512" spans="1:13" x14ac:dyDescent="0.25">
      <c r="A512" s="2" t="s">
        <v>585</v>
      </c>
      <c r="B512" s="3">
        <v>45757</v>
      </c>
      <c r="C512" s="2" t="s">
        <v>24</v>
      </c>
      <c r="D512" s="2" t="s">
        <v>25</v>
      </c>
      <c r="E512" s="2" t="s">
        <v>26</v>
      </c>
      <c r="F512" s="2" t="s">
        <v>14</v>
      </c>
      <c r="G512" s="2" t="s">
        <v>27</v>
      </c>
      <c r="H512" s="2">
        <v>3</v>
      </c>
      <c r="I512" s="4">
        <v>58</v>
      </c>
      <c r="J512" s="2" t="s">
        <v>22</v>
      </c>
      <c r="K512">
        <f>H512*I512</f>
        <v>174</v>
      </c>
      <c r="L512" t="str">
        <f t="shared" si="14"/>
        <v>Apr</v>
      </c>
      <c r="M512">
        <f t="shared" si="15"/>
        <v>4</v>
      </c>
    </row>
    <row r="513" spans="1:13" x14ac:dyDescent="0.25">
      <c r="A513" s="2" t="s">
        <v>586</v>
      </c>
      <c r="B513" s="3">
        <v>45757</v>
      </c>
      <c r="C513" s="2" t="s">
        <v>25</v>
      </c>
      <c r="D513" s="2" t="s">
        <v>25</v>
      </c>
      <c r="E513" s="2" t="s">
        <v>26</v>
      </c>
      <c r="F513" s="2" t="s">
        <v>20</v>
      </c>
      <c r="G513" s="2" t="s">
        <v>21</v>
      </c>
      <c r="H513" s="2">
        <v>1</v>
      </c>
      <c r="I513" s="4">
        <v>20</v>
      </c>
      <c r="J513" s="2" t="s">
        <v>16</v>
      </c>
      <c r="K513">
        <f>H513*I513</f>
        <v>20</v>
      </c>
      <c r="L513" t="str">
        <f t="shared" si="14"/>
        <v>Apr</v>
      </c>
      <c r="M513">
        <f t="shared" si="15"/>
        <v>4</v>
      </c>
    </row>
    <row r="514" spans="1:13" x14ac:dyDescent="0.25">
      <c r="A514" s="2" t="s">
        <v>587</v>
      </c>
      <c r="B514" s="3">
        <v>45757</v>
      </c>
      <c r="C514" s="2" t="s">
        <v>97</v>
      </c>
      <c r="D514" s="2" t="s">
        <v>98</v>
      </c>
      <c r="E514" s="2" t="s">
        <v>99</v>
      </c>
      <c r="F514" s="2" t="s">
        <v>14</v>
      </c>
      <c r="G514" s="2" t="s">
        <v>37</v>
      </c>
      <c r="H514" s="2">
        <v>1</v>
      </c>
      <c r="I514" s="4">
        <v>182</v>
      </c>
      <c r="J514" s="2" t="s">
        <v>22</v>
      </c>
      <c r="K514">
        <f>H514*I514</f>
        <v>182</v>
      </c>
      <c r="L514" t="str">
        <f t="shared" si="14"/>
        <v>Apr</v>
      </c>
      <c r="M514">
        <f t="shared" si="15"/>
        <v>4</v>
      </c>
    </row>
    <row r="515" spans="1:13" x14ac:dyDescent="0.25">
      <c r="A515" s="2" t="s">
        <v>588</v>
      </c>
      <c r="B515" s="3">
        <v>45757</v>
      </c>
      <c r="C515" s="2" t="s">
        <v>42</v>
      </c>
      <c r="D515" s="2" t="s">
        <v>43</v>
      </c>
      <c r="E515" s="2" t="s">
        <v>44</v>
      </c>
      <c r="F515" s="2" t="s">
        <v>14</v>
      </c>
      <c r="G515" s="2" t="s">
        <v>45</v>
      </c>
      <c r="H515" s="2">
        <v>4</v>
      </c>
      <c r="I515" s="4">
        <v>46</v>
      </c>
      <c r="J515" s="2" t="s">
        <v>16</v>
      </c>
      <c r="K515">
        <f>H515*I515</f>
        <v>184</v>
      </c>
      <c r="L515" t="str">
        <f t="shared" ref="L515:L578" si="16">TEXT(B515,"mmm")</f>
        <v>Apr</v>
      </c>
      <c r="M515">
        <f t="shared" ref="M515:M578" si="17">MONTH(B515)</f>
        <v>4</v>
      </c>
    </row>
    <row r="516" spans="1:13" x14ac:dyDescent="0.25">
      <c r="A516" s="2" t="s">
        <v>589</v>
      </c>
      <c r="B516" s="3">
        <v>45758</v>
      </c>
      <c r="C516" s="2" t="s">
        <v>119</v>
      </c>
      <c r="D516" s="2" t="s">
        <v>120</v>
      </c>
      <c r="E516" s="2" t="s">
        <v>76</v>
      </c>
      <c r="F516" s="2" t="s">
        <v>14</v>
      </c>
      <c r="G516" s="2" t="s">
        <v>121</v>
      </c>
      <c r="H516" s="2">
        <v>3</v>
      </c>
      <c r="I516" s="4">
        <v>190</v>
      </c>
      <c r="J516" s="2" t="s">
        <v>22</v>
      </c>
      <c r="K516">
        <f>H516*I516</f>
        <v>570</v>
      </c>
      <c r="L516" t="str">
        <f t="shared" si="16"/>
        <v>Apr</v>
      </c>
      <c r="M516">
        <f t="shared" si="17"/>
        <v>4</v>
      </c>
    </row>
    <row r="517" spans="1:13" x14ac:dyDescent="0.25">
      <c r="A517" s="2" t="s">
        <v>590</v>
      </c>
      <c r="B517" s="3">
        <v>45758</v>
      </c>
      <c r="C517" s="2" t="s">
        <v>119</v>
      </c>
      <c r="D517" s="2" t="s">
        <v>120</v>
      </c>
      <c r="E517" s="2" t="s">
        <v>76</v>
      </c>
      <c r="F517" s="2" t="s">
        <v>14</v>
      </c>
      <c r="G517" s="2" t="s">
        <v>121</v>
      </c>
      <c r="H517" s="2">
        <v>6</v>
      </c>
      <c r="I517" s="4">
        <v>190</v>
      </c>
      <c r="J517" s="2" t="s">
        <v>16</v>
      </c>
      <c r="K517">
        <f>H517*I517</f>
        <v>1140</v>
      </c>
      <c r="L517" t="str">
        <f t="shared" si="16"/>
        <v>Apr</v>
      </c>
      <c r="M517">
        <f t="shared" si="17"/>
        <v>4</v>
      </c>
    </row>
    <row r="518" spans="1:13" x14ac:dyDescent="0.25">
      <c r="A518" s="2" t="s">
        <v>591</v>
      </c>
      <c r="B518" s="3">
        <v>45758</v>
      </c>
      <c r="C518" s="2" t="s">
        <v>34</v>
      </c>
      <c r="D518" s="2" t="s">
        <v>35</v>
      </c>
      <c r="E518" s="2" t="s">
        <v>36</v>
      </c>
      <c r="F518" s="2" t="s">
        <v>14</v>
      </c>
      <c r="G518" s="2" t="s">
        <v>37</v>
      </c>
      <c r="H518" s="2">
        <v>3</v>
      </c>
      <c r="I518" s="4">
        <v>165</v>
      </c>
      <c r="J518" s="2" t="s">
        <v>16</v>
      </c>
      <c r="K518">
        <f>H518*I518</f>
        <v>495</v>
      </c>
      <c r="L518" t="str">
        <f t="shared" si="16"/>
        <v>Apr</v>
      </c>
      <c r="M518">
        <f t="shared" si="17"/>
        <v>4</v>
      </c>
    </row>
    <row r="519" spans="1:13" x14ac:dyDescent="0.25">
      <c r="A519" s="2" t="s">
        <v>592</v>
      </c>
      <c r="B519" s="3">
        <v>45758</v>
      </c>
      <c r="C519" s="2" t="s">
        <v>124</v>
      </c>
      <c r="D519" s="2" t="s">
        <v>18</v>
      </c>
      <c r="E519" s="2" t="s">
        <v>19</v>
      </c>
      <c r="F519" s="2" t="s">
        <v>14</v>
      </c>
      <c r="G519" s="2" t="s">
        <v>125</v>
      </c>
      <c r="H519" s="2">
        <v>6</v>
      </c>
      <c r="I519" s="4">
        <v>45</v>
      </c>
      <c r="J519" s="2" t="s">
        <v>38</v>
      </c>
      <c r="K519">
        <f>H519*I519</f>
        <v>270</v>
      </c>
      <c r="L519" t="str">
        <f t="shared" si="16"/>
        <v>Apr</v>
      </c>
      <c r="M519">
        <f t="shared" si="17"/>
        <v>4</v>
      </c>
    </row>
    <row r="520" spans="1:13" x14ac:dyDescent="0.25">
      <c r="A520" s="2" t="s">
        <v>593</v>
      </c>
      <c r="B520" s="3">
        <v>45758</v>
      </c>
      <c r="C520" s="2" t="s">
        <v>18</v>
      </c>
      <c r="D520" s="2" t="s">
        <v>18</v>
      </c>
      <c r="E520" s="2" t="s">
        <v>19</v>
      </c>
      <c r="F520" s="2" t="s">
        <v>20</v>
      </c>
      <c r="G520" s="2" t="s">
        <v>21</v>
      </c>
      <c r="H520" s="2">
        <v>3</v>
      </c>
      <c r="I520" s="4">
        <v>15</v>
      </c>
      <c r="J520" s="2" t="s">
        <v>22</v>
      </c>
      <c r="K520">
        <f>H520*I520</f>
        <v>45</v>
      </c>
      <c r="L520" t="str">
        <f t="shared" si="16"/>
        <v>Apr</v>
      </c>
      <c r="M520">
        <f t="shared" si="17"/>
        <v>4</v>
      </c>
    </row>
    <row r="521" spans="1:13" x14ac:dyDescent="0.25">
      <c r="A521" s="2" t="s">
        <v>594</v>
      </c>
      <c r="B521" s="3">
        <v>45758</v>
      </c>
      <c r="C521" s="2" t="s">
        <v>40</v>
      </c>
      <c r="D521" s="2" t="s">
        <v>40</v>
      </c>
      <c r="E521" s="2" t="s">
        <v>19</v>
      </c>
      <c r="F521" s="2" t="s">
        <v>20</v>
      </c>
      <c r="G521" s="2" t="s">
        <v>21</v>
      </c>
      <c r="H521" s="2">
        <v>3</v>
      </c>
      <c r="I521" s="4">
        <v>46</v>
      </c>
      <c r="J521" s="2" t="s">
        <v>22</v>
      </c>
      <c r="K521">
        <f>H521*I521</f>
        <v>138</v>
      </c>
      <c r="L521" t="str">
        <f t="shared" si="16"/>
        <v>Apr</v>
      </c>
      <c r="M521">
        <f t="shared" si="17"/>
        <v>4</v>
      </c>
    </row>
    <row r="522" spans="1:13" x14ac:dyDescent="0.25">
      <c r="A522" s="2" t="s">
        <v>595</v>
      </c>
      <c r="B522" s="3">
        <v>45758</v>
      </c>
      <c r="C522" s="2" t="s">
        <v>60</v>
      </c>
      <c r="D522" s="2" t="s">
        <v>61</v>
      </c>
      <c r="E522" s="2" t="s">
        <v>62</v>
      </c>
      <c r="F522" s="2" t="s">
        <v>14</v>
      </c>
      <c r="G522" s="2" t="s">
        <v>63</v>
      </c>
      <c r="H522" s="2">
        <v>2</v>
      </c>
      <c r="I522" s="4">
        <v>26</v>
      </c>
      <c r="J522" s="2" t="s">
        <v>22</v>
      </c>
      <c r="K522">
        <f>H522*I522</f>
        <v>52</v>
      </c>
      <c r="L522" t="str">
        <f t="shared" si="16"/>
        <v>Apr</v>
      </c>
      <c r="M522">
        <f t="shared" si="17"/>
        <v>4</v>
      </c>
    </row>
    <row r="523" spans="1:13" x14ac:dyDescent="0.25">
      <c r="A523" s="2" t="s">
        <v>596</v>
      </c>
      <c r="B523" s="3">
        <v>45758</v>
      </c>
      <c r="C523" s="2" t="s">
        <v>61</v>
      </c>
      <c r="D523" s="2" t="s">
        <v>61</v>
      </c>
      <c r="E523" s="2" t="s">
        <v>62</v>
      </c>
      <c r="F523" s="2" t="s">
        <v>20</v>
      </c>
      <c r="G523" s="2" t="s">
        <v>21</v>
      </c>
      <c r="H523" s="2">
        <v>1</v>
      </c>
      <c r="I523" s="4">
        <v>8</v>
      </c>
      <c r="J523" s="2" t="s">
        <v>22</v>
      </c>
      <c r="K523">
        <f>H523*I523</f>
        <v>8</v>
      </c>
      <c r="L523" t="str">
        <f t="shared" si="16"/>
        <v>Apr</v>
      </c>
      <c r="M523">
        <f t="shared" si="17"/>
        <v>4</v>
      </c>
    </row>
    <row r="524" spans="1:13" x14ac:dyDescent="0.25">
      <c r="A524" s="2" t="s">
        <v>597</v>
      </c>
      <c r="B524" s="3">
        <v>45758</v>
      </c>
      <c r="C524" s="2" t="s">
        <v>61</v>
      </c>
      <c r="D524" s="2" t="s">
        <v>61</v>
      </c>
      <c r="E524" s="2" t="s">
        <v>62</v>
      </c>
      <c r="F524" s="2" t="s">
        <v>20</v>
      </c>
      <c r="G524" s="2" t="s">
        <v>21</v>
      </c>
      <c r="H524" s="2">
        <v>2</v>
      </c>
      <c r="I524" s="4">
        <v>8</v>
      </c>
      <c r="J524" s="2" t="s">
        <v>16</v>
      </c>
      <c r="K524">
        <f>H524*I524</f>
        <v>16</v>
      </c>
      <c r="L524" t="str">
        <f t="shared" si="16"/>
        <v>Apr</v>
      </c>
      <c r="M524">
        <f t="shared" si="17"/>
        <v>4</v>
      </c>
    </row>
    <row r="525" spans="1:13" x14ac:dyDescent="0.25">
      <c r="A525" s="2" t="s">
        <v>598</v>
      </c>
      <c r="B525" s="3">
        <v>45759</v>
      </c>
      <c r="C525" s="2" t="s">
        <v>11</v>
      </c>
      <c r="D525" s="2" t="s">
        <v>12</v>
      </c>
      <c r="E525" s="2" t="s">
        <v>13</v>
      </c>
      <c r="F525" s="2" t="s">
        <v>14</v>
      </c>
      <c r="G525" s="2" t="s">
        <v>15</v>
      </c>
      <c r="H525" s="2">
        <v>5</v>
      </c>
      <c r="I525" s="4">
        <v>32</v>
      </c>
      <c r="J525" s="2" t="s">
        <v>22</v>
      </c>
      <c r="K525">
        <f>H525*I525</f>
        <v>160</v>
      </c>
      <c r="L525" t="str">
        <f t="shared" si="16"/>
        <v>Apr</v>
      </c>
      <c r="M525">
        <f t="shared" si="17"/>
        <v>4</v>
      </c>
    </row>
    <row r="526" spans="1:13" x14ac:dyDescent="0.25">
      <c r="A526" s="2" t="s">
        <v>599</v>
      </c>
      <c r="B526" s="3">
        <v>45759</v>
      </c>
      <c r="C526" s="2" t="s">
        <v>11</v>
      </c>
      <c r="D526" s="2" t="s">
        <v>12</v>
      </c>
      <c r="E526" s="2" t="s">
        <v>13</v>
      </c>
      <c r="F526" s="2" t="s">
        <v>14</v>
      </c>
      <c r="G526" s="2" t="s">
        <v>15</v>
      </c>
      <c r="H526" s="2">
        <v>4</v>
      </c>
      <c r="I526" s="4">
        <v>32</v>
      </c>
      <c r="J526" s="2" t="s">
        <v>31</v>
      </c>
      <c r="K526">
        <f>H526*I526</f>
        <v>128</v>
      </c>
      <c r="L526" t="str">
        <f t="shared" si="16"/>
        <v>Apr</v>
      </c>
      <c r="M526">
        <f t="shared" si="17"/>
        <v>4</v>
      </c>
    </row>
    <row r="527" spans="1:13" x14ac:dyDescent="0.25">
      <c r="A527" s="2" t="s">
        <v>600</v>
      </c>
      <c r="B527" s="3">
        <v>45759</v>
      </c>
      <c r="C527" s="2" t="s">
        <v>12</v>
      </c>
      <c r="D527" s="2" t="s">
        <v>12</v>
      </c>
      <c r="E527" s="2" t="s">
        <v>13</v>
      </c>
      <c r="F527" s="2" t="s">
        <v>20</v>
      </c>
      <c r="G527" s="2" t="s">
        <v>21</v>
      </c>
      <c r="H527" s="2">
        <v>5</v>
      </c>
      <c r="I527" s="4">
        <v>14</v>
      </c>
      <c r="J527" s="2" t="s">
        <v>38</v>
      </c>
      <c r="K527">
        <f>H527*I527</f>
        <v>70</v>
      </c>
      <c r="L527" t="str">
        <f t="shared" si="16"/>
        <v>Apr</v>
      </c>
      <c r="M527">
        <f t="shared" si="17"/>
        <v>4</v>
      </c>
    </row>
    <row r="528" spans="1:13" x14ac:dyDescent="0.25">
      <c r="A528" s="2" t="s">
        <v>601</v>
      </c>
      <c r="B528" s="3">
        <v>45759</v>
      </c>
      <c r="C528" s="2" t="s">
        <v>74</v>
      </c>
      <c r="D528" s="2" t="s">
        <v>75</v>
      </c>
      <c r="E528" s="2" t="s">
        <v>76</v>
      </c>
      <c r="F528" s="2" t="s">
        <v>14</v>
      </c>
      <c r="G528" s="2" t="s">
        <v>77</v>
      </c>
      <c r="H528" s="2">
        <v>2</v>
      </c>
      <c r="I528" s="4">
        <v>32</v>
      </c>
      <c r="J528" s="2" t="s">
        <v>38</v>
      </c>
      <c r="K528">
        <f>H528*I528</f>
        <v>64</v>
      </c>
      <c r="L528" t="str">
        <f t="shared" si="16"/>
        <v>Apr</v>
      </c>
      <c r="M528">
        <f t="shared" si="17"/>
        <v>4</v>
      </c>
    </row>
    <row r="529" spans="1:13" x14ac:dyDescent="0.25">
      <c r="A529" s="2" t="s">
        <v>602</v>
      </c>
      <c r="B529" s="3">
        <v>45759</v>
      </c>
      <c r="C529" s="2" t="s">
        <v>74</v>
      </c>
      <c r="D529" s="2" t="s">
        <v>75</v>
      </c>
      <c r="E529" s="2" t="s">
        <v>76</v>
      </c>
      <c r="F529" s="2" t="s">
        <v>14</v>
      </c>
      <c r="G529" s="2" t="s">
        <v>77</v>
      </c>
      <c r="H529" s="2">
        <v>3</v>
      </c>
      <c r="I529" s="4">
        <v>32</v>
      </c>
      <c r="J529" s="2" t="s">
        <v>16</v>
      </c>
      <c r="K529">
        <f>H529*I529</f>
        <v>96</v>
      </c>
      <c r="L529" t="str">
        <f t="shared" si="16"/>
        <v>Apr</v>
      </c>
      <c r="M529">
        <f t="shared" si="17"/>
        <v>4</v>
      </c>
    </row>
    <row r="530" spans="1:13" x14ac:dyDescent="0.25">
      <c r="A530" s="2" t="s">
        <v>603</v>
      </c>
      <c r="B530" s="3">
        <v>45759</v>
      </c>
      <c r="C530" s="2" t="s">
        <v>97</v>
      </c>
      <c r="D530" s="2" t="s">
        <v>98</v>
      </c>
      <c r="E530" s="2" t="s">
        <v>99</v>
      </c>
      <c r="F530" s="2" t="s">
        <v>14</v>
      </c>
      <c r="G530" s="2" t="s">
        <v>37</v>
      </c>
      <c r="H530" s="2">
        <v>2</v>
      </c>
      <c r="I530" s="4">
        <v>182</v>
      </c>
      <c r="J530" s="2" t="s">
        <v>22</v>
      </c>
      <c r="K530">
        <f>H530*I530</f>
        <v>364</v>
      </c>
      <c r="L530" t="str">
        <f t="shared" si="16"/>
        <v>Apr</v>
      </c>
      <c r="M530">
        <f t="shared" si="17"/>
        <v>4</v>
      </c>
    </row>
    <row r="531" spans="1:13" x14ac:dyDescent="0.25">
      <c r="A531" s="2" t="s">
        <v>604</v>
      </c>
      <c r="B531" s="3">
        <v>45760</v>
      </c>
      <c r="C531" s="2" t="s">
        <v>12</v>
      </c>
      <c r="D531" s="2" t="s">
        <v>12</v>
      </c>
      <c r="E531" s="2" t="s">
        <v>13</v>
      </c>
      <c r="F531" s="2" t="s">
        <v>20</v>
      </c>
      <c r="G531" s="2" t="s">
        <v>21</v>
      </c>
      <c r="H531" s="2">
        <v>1</v>
      </c>
      <c r="I531" s="4">
        <v>14</v>
      </c>
      <c r="J531" s="2" t="s">
        <v>16</v>
      </c>
      <c r="K531">
        <f>H531*I531</f>
        <v>14</v>
      </c>
      <c r="L531" t="str">
        <f t="shared" si="16"/>
        <v>Apr</v>
      </c>
      <c r="M531">
        <f t="shared" si="17"/>
        <v>4</v>
      </c>
    </row>
    <row r="532" spans="1:13" x14ac:dyDescent="0.25">
      <c r="A532" s="2" t="s">
        <v>605</v>
      </c>
      <c r="B532" s="3">
        <v>45760</v>
      </c>
      <c r="C532" s="2" t="s">
        <v>67</v>
      </c>
      <c r="D532" s="2" t="s">
        <v>68</v>
      </c>
      <c r="E532" s="2" t="s">
        <v>49</v>
      </c>
      <c r="F532" s="2" t="s">
        <v>14</v>
      </c>
      <c r="G532" s="2" t="s">
        <v>69</v>
      </c>
      <c r="H532" s="2">
        <v>5</v>
      </c>
      <c r="I532" s="4">
        <v>205</v>
      </c>
      <c r="J532" s="2" t="s">
        <v>16</v>
      </c>
      <c r="K532">
        <f>H532*I532</f>
        <v>1025</v>
      </c>
      <c r="L532" t="str">
        <f t="shared" si="16"/>
        <v>Apr</v>
      </c>
      <c r="M532">
        <f t="shared" si="17"/>
        <v>4</v>
      </c>
    </row>
    <row r="533" spans="1:13" x14ac:dyDescent="0.25">
      <c r="A533" s="2" t="s">
        <v>606</v>
      </c>
      <c r="B533" s="3">
        <v>45760</v>
      </c>
      <c r="C533" s="2" t="s">
        <v>75</v>
      </c>
      <c r="D533" s="2" t="s">
        <v>75</v>
      </c>
      <c r="E533" s="2" t="s">
        <v>76</v>
      </c>
      <c r="F533" s="2" t="s">
        <v>20</v>
      </c>
      <c r="G533" s="2" t="s">
        <v>21</v>
      </c>
      <c r="H533" s="2">
        <v>3</v>
      </c>
      <c r="I533" s="4">
        <v>12</v>
      </c>
      <c r="J533" s="2" t="s">
        <v>22</v>
      </c>
      <c r="K533">
        <f>H533*I533</f>
        <v>36</v>
      </c>
      <c r="L533" t="str">
        <f t="shared" si="16"/>
        <v>Apr</v>
      </c>
      <c r="M533">
        <f t="shared" si="17"/>
        <v>4</v>
      </c>
    </row>
    <row r="534" spans="1:13" x14ac:dyDescent="0.25">
      <c r="A534" s="2" t="s">
        <v>607</v>
      </c>
      <c r="B534" s="3">
        <v>45760</v>
      </c>
      <c r="C534" s="2" t="s">
        <v>61</v>
      </c>
      <c r="D534" s="2" t="s">
        <v>61</v>
      </c>
      <c r="E534" s="2" t="s">
        <v>62</v>
      </c>
      <c r="F534" s="2" t="s">
        <v>20</v>
      </c>
      <c r="G534" s="2" t="s">
        <v>21</v>
      </c>
      <c r="H534" s="2">
        <v>2</v>
      </c>
      <c r="I534" s="4">
        <v>8</v>
      </c>
      <c r="J534" s="2" t="s">
        <v>16</v>
      </c>
      <c r="K534">
        <f>H534*I534</f>
        <v>16</v>
      </c>
      <c r="L534" t="str">
        <f t="shared" si="16"/>
        <v>Apr</v>
      </c>
      <c r="M534">
        <f t="shared" si="17"/>
        <v>4</v>
      </c>
    </row>
    <row r="535" spans="1:13" x14ac:dyDescent="0.25">
      <c r="A535" s="2" t="s">
        <v>608</v>
      </c>
      <c r="B535" s="3">
        <v>45760</v>
      </c>
      <c r="C535" s="2" t="s">
        <v>109</v>
      </c>
      <c r="D535" s="2" t="s">
        <v>109</v>
      </c>
      <c r="E535" s="2" t="s">
        <v>13</v>
      </c>
      <c r="F535" s="2" t="s">
        <v>20</v>
      </c>
      <c r="G535" s="2" t="s">
        <v>21</v>
      </c>
      <c r="H535" s="2">
        <v>2</v>
      </c>
      <c r="I535" s="4">
        <v>20</v>
      </c>
      <c r="J535" s="2" t="s">
        <v>22</v>
      </c>
      <c r="K535">
        <f>H535*I535</f>
        <v>40</v>
      </c>
      <c r="L535" t="str">
        <f t="shared" si="16"/>
        <v>Apr</v>
      </c>
      <c r="M535">
        <f t="shared" si="17"/>
        <v>4</v>
      </c>
    </row>
    <row r="536" spans="1:13" x14ac:dyDescent="0.25">
      <c r="A536" s="2" t="s">
        <v>609</v>
      </c>
      <c r="B536" s="3">
        <v>45761</v>
      </c>
      <c r="C536" s="2" t="s">
        <v>11</v>
      </c>
      <c r="D536" s="2" t="s">
        <v>12</v>
      </c>
      <c r="E536" s="2" t="s">
        <v>13</v>
      </c>
      <c r="F536" s="2" t="s">
        <v>14</v>
      </c>
      <c r="G536" s="2" t="s">
        <v>15</v>
      </c>
      <c r="H536" s="2">
        <v>1</v>
      </c>
      <c r="I536" s="4">
        <v>32</v>
      </c>
      <c r="J536" s="2" t="s">
        <v>16</v>
      </c>
      <c r="K536">
        <f>H536*I536</f>
        <v>32</v>
      </c>
      <c r="L536" t="str">
        <f t="shared" si="16"/>
        <v>Apr</v>
      </c>
      <c r="M536">
        <f t="shared" si="17"/>
        <v>4</v>
      </c>
    </row>
    <row r="537" spans="1:13" x14ac:dyDescent="0.25">
      <c r="A537" s="2" t="s">
        <v>610</v>
      </c>
      <c r="B537" s="3">
        <v>45761</v>
      </c>
      <c r="C537" s="2" t="s">
        <v>101</v>
      </c>
      <c r="D537" s="2" t="s">
        <v>102</v>
      </c>
      <c r="E537" s="2" t="s">
        <v>36</v>
      </c>
      <c r="F537" s="2" t="s">
        <v>14</v>
      </c>
      <c r="G537" s="2" t="s">
        <v>103</v>
      </c>
      <c r="H537" s="2">
        <v>1</v>
      </c>
      <c r="I537" s="4">
        <v>92</v>
      </c>
      <c r="J537" s="2" t="s">
        <v>38</v>
      </c>
      <c r="K537">
        <f>H537*I537</f>
        <v>92</v>
      </c>
      <c r="L537" t="str">
        <f t="shared" si="16"/>
        <v>Apr</v>
      </c>
      <c r="M537">
        <f t="shared" si="17"/>
        <v>4</v>
      </c>
    </row>
    <row r="538" spans="1:13" x14ac:dyDescent="0.25">
      <c r="A538" s="2" t="s">
        <v>611</v>
      </c>
      <c r="B538" s="3">
        <v>45761</v>
      </c>
      <c r="C538" s="2" t="s">
        <v>102</v>
      </c>
      <c r="D538" s="2" t="s">
        <v>102</v>
      </c>
      <c r="E538" s="2" t="s">
        <v>36</v>
      </c>
      <c r="F538" s="2" t="s">
        <v>20</v>
      </c>
      <c r="G538" s="2" t="s">
        <v>21</v>
      </c>
      <c r="H538" s="2">
        <v>1</v>
      </c>
      <c r="I538" s="4">
        <v>35</v>
      </c>
      <c r="J538" s="2" t="s">
        <v>16</v>
      </c>
      <c r="K538">
        <f>H538*I538</f>
        <v>35</v>
      </c>
      <c r="L538" t="str">
        <f t="shared" si="16"/>
        <v>Apr</v>
      </c>
      <c r="M538">
        <f t="shared" si="17"/>
        <v>4</v>
      </c>
    </row>
    <row r="539" spans="1:13" x14ac:dyDescent="0.25">
      <c r="A539" s="2" t="s">
        <v>612</v>
      </c>
      <c r="B539" s="3">
        <v>45761</v>
      </c>
      <c r="C539" s="2" t="s">
        <v>80</v>
      </c>
      <c r="D539" s="2" t="s">
        <v>80</v>
      </c>
      <c r="E539" s="2" t="s">
        <v>26</v>
      </c>
      <c r="F539" s="2" t="s">
        <v>20</v>
      </c>
      <c r="G539" s="2" t="s">
        <v>21</v>
      </c>
      <c r="H539" s="2">
        <v>3</v>
      </c>
      <c r="I539" s="4">
        <v>50</v>
      </c>
      <c r="J539" s="2" t="s">
        <v>16</v>
      </c>
      <c r="K539">
        <f>H539*I539</f>
        <v>150</v>
      </c>
      <c r="L539" t="str">
        <f t="shared" si="16"/>
        <v>Apr</v>
      </c>
      <c r="M539">
        <f t="shared" si="17"/>
        <v>4</v>
      </c>
    </row>
    <row r="540" spans="1:13" x14ac:dyDescent="0.25">
      <c r="A540" s="2" t="s">
        <v>613</v>
      </c>
      <c r="B540" s="3">
        <v>45762</v>
      </c>
      <c r="C540" s="2" t="s">
        <v>119</v>
      </c>
      <c r="D540" s="2" t="s">
        <v>120</v>
      </c>
      <c r="E540" s="2" t="s">
        <v>76</v>
      </c>
      <c r="F540" s="2" t="s">
        <v>14</v>
      </c>
      <c r="G540" s="2" t="s">
        <v>121</v>
      </c>
      <c r="H540" s="2">
        <v>3</v>
      </c>
      <c r="I540" s="4">
        <v>190</v>
      </c>
      <c r="J540" s="2" t="s">
        <v>16</v>
      </c>
      <c r="K540">
        <f>H540*I540</f>
        <v>570</v>
      </c>
      <c r="L540" t="str">
        <f t="shared" si="16"/>
        <v>Apr</v>
      </c>
      <c r="M540">
        <f t="shared" si="17"/>
        <v>4</v>
      </c>
    </row>
    <row r="541" spans="1:13" x14ac:dyDescent="0.25">
      <c r="A541" s="2" t="s">
        <v>614</v>
      </c>
      <c r="B541" s="3">
        <v>45762</v>
      </c>
      <c r="C541" s="2" t="s">
        <v>120</v>
      </c>
      <c r="D541" s="2" t="s">
        <v>120</v>
      </c>
      <c r="E541" s="2" t="s">
        <v>76</v>
      </c>
      <c r="F541" s="2" t="s">
        <v>20</v>
      </c>
      <c r="G541" s="2" t="s">
        <v>21</v>
      </c>
      <c r="H541" s="2">
        <v>1</v>
      </c>
      <c r="I541" s="4">
        <v>42</v>
      </c>
      <c r="J541" s="2" t="s">
        <v>16</v>
      </c>
      <c r="K541">
        <f>H541*I541</f>
        <v>42</v>
      </c>
      <c r="L541" t="str">
        <f t="shared" si="16"/>
        <v>Apr</v>
      </c>
      <c r="M541">
        <f t="shared" si="17"/>
        <v>4</v>
      </c>
    </row>
    <row r="542" spans="1:13" x14ac:dyDescent="0.25">
      <c r="A542" s="2" t="s">
        <v>615</v>
      </c>
      <c r="B542" s="3">
        <v>45762</v>
      </c>
      <c r="C542" s="2" t="s">
        <v>102</v>
      </c>
      <c r="D542" s="2" t="s">
        <v>102</v>
      </c>
      <c r="E542" s="2" t="s">
        <v>36</v>
      </c>
      <c r="F542" s="2" t="s">
        <v>20</v>
      </c>
      <c r="G542" s="2" t="s">
        <v>21</v>
      </c>
      <c r="H542" s="2">
        <v>3</v>
      </c>
      <c r="I542" s="4">
        <v>35</v>
      </c>
      <c r="J542" s="2" t="s">
        <v>22</v>
      </c>
      <c r="K542">
        <f>H542*I542</f>
        <v>105</v>
      </c>
      <c r="L542" t="str">
        <f t="shared" si="16"/>
        <v>Apr</v>
      </c>
      <c r="M542">
        <f t="shared" si="17"/>
        <v>4</v>
      </c>
    </row>
    <row r="543" spans="1:13" x14ac:dyDescent="0.25">
      <c r="A543" s="2" t="s">
        <v>616</v>
      </c>
      <c r="B543" s="3">
        <v>45762</v>
      </c>
      <c r="C543" s="2" t="s">
        <v>190</v>
      </c>
      <c r="D543" s="2" t="s">
        <v>40</v>
      </c>
      <c r="E543" s="2" t="s">
        <v>19</v>
      </c>
      <c r="F543" s="2" t="s">
        <v>14</v>
      </c>
      <c r="G543" s="2" t="s">
        <v>191</v>
      </c>
      <c r="H543" s="2">
        <v>3</v>
      </c>
      <c r="I543" s="4">
        <v>142</v>
      </c>
      <c r="J543" s="2" t="s">
        <v>16</v>
      </c>
      <c r="K543">
        <f>H543*I543</f>
        <v>426</v>
      </c>
      <c r="L543" t="str">
        <f t="shared" si="16"/>
        <v>Apr</v>
      </c>
      <c r="M543">
        <f t="shared" si="17"/>
        <v>4</v>
      </c>
    </row>
    <row r="544" spans="1:13" x14ac:dyDescent="0.25">
      <c r="A544" s="2" t="s">
        <v>617</v>
      </c>
      <c r="B544" s="3">
        <v>45762</v>
      </c>
      <c r="C544" s="2" t="s">
        <v>25</v>
      </c>
      <c r="D544" s="2" t="s">
        <v>25</v>
      </c>
      <c r="E544" s="2" t="s">
        <v>26</v>
      </c>
      <c r="F544" s="2" t="s">
        <v>20</v>
      </c>
      <c r="G544" s="2" t="s">
        <v>21</v>
      </c>
      <c r="H544" s="2">
        <v>5</v>
      </c>
      <c r="I544" s="4">
        <v>20</v>
      </c>
      <c r="J544" s="2" t="s">
        <v>38</v>
      </c>
      <c r="K544">
        <f>H544*I544</f>
        <v>100</v>
      </c>
      <c r="L544" t="str">
        <f t="shared" si="16"/>
        <v>Apr</v>
      </c>
      <c r="M544">
        <f t="shared" si="17"/>
        <v>4</v>
      </c>
    </row>
    <row r="545" spans="1:13" x14ac:dyDescent="0.25">
      <c r="A545" s="2" t="s">
        <v>618</v>
      </c>
      <c r="B545" s="3">
        <v>45762</v>
      </c>
      <c r="C545" s="2" t="s">
        <v>30</v>
      </c>
      <c r="D545" s="2" t="s">
        <v>30</v>
      </c>
      <c r="E545" s="2" t="s">
        <v>13</v>
      </c>
      <c r="F545" s="2" t="s">
        <v>20</v>
      </c>
      <c r="G545" s="2" t="s">
        <v>21</v>
      </c>
      <c r="H545" s="2">
        <v>1</v>
      </c>
      <c r="I545" s="4">
        <v>15</v>
      </c>
      <c r="J545" s="2" t="s">
        <v>16</v>
      </c>
      <c r="K545">
        <f>H545*I545</f>
        <v>15</v>
      </c>
      <c r="L545" t="str">
        <f t="shared" si="16"/>
        <v>Apr</v>
      </c>
      <c r="M545">
        <f t="shared" si="17"/>
        <v>4</v>
      </c>
    </row>
    <row r="546" spans="1:13" x14ac:dyDescent="0.25">
      <c r="A546" s="2" t="s">
        <v>619</v>
      </c>
      <c r="B546" s="3">
        <v>45762</v>
      </c>
      <c r="C546" s="2" t="s">
        <v>109</v>
      </c>
      <c r="D546" s="2" t="s">
        <v>109</v>
      </c>
      <c r="E546" s="2" t="s">
        <v>13</v>
      </c>
      <c r="F546" s="2" t="s">
        <v>20</v>
      </c>
      <c r="G546" s="2" t="s">
        <v>21</v>
      </c>
      <c r="H546" s="2">
        <v>2</v>
      </c>
      <c r="I546" s="4">
        <v>20</v>
      </c>
      <c r="J546" s="2" t="s">
        <v>31</v>
      </c>
      <c r="K546">
        <f>H546*I546</f>
        <v>40</v>
      </c>
      <c r="L546" t="str">
        <f t="shared" si="16"/>
        <v>Apr</v>
      </c>
      <c r="M546">
        <f t="shared" si="17"/>
        <v>4</v>
      </c>
    </row>
    <row r="547" spans="1:13" x14ac:dyDescent="0.25">
      <c r="A547" s="2" t="s">
        <v>620</v>
      </c>
      <c r="B547" s="3">
        <v>45763</v>
      </c>
      <c r="C547" s="2" t="s">
        <v>67</v>
      </c>
      <c r="D547" s="2" t="s">
        <v>68</v>
      </c>
      <c r="E547" s="2" t="s">
        <v>49</v>
      </c>
      <c r="F547" s="2" t="s">
        <v>14</v>
      </c>
      <c r="G547" s="2" t="s">
        <v>69</v>
      </c>
      <c r="H547" s="2">
        <v>1</v>
      </c>
      <c r="I547" s="4">
        <v>205</v>
      </c>
      <c r="J547" s="2" t="s">
        <v>38</v>
      </c>
      <c r="K547">
        <f>H547*I547</f>
        <v>205</v>
      </c>
      <c r="L547" t="str">
        <f t="shared" si="16"/>
        <v>Apr</v>
      </c>
      <c r="M547">
        <f t="shared" si="17"/>
        <v>4</v>
      </c>
    </row>
    <row r="548" spans="1:13" x14ac:dyDescent="0.25">
      <c r="A548" s="2" t="s">
        <v>621</v>
      </c>
      <c r="B548" s="3">
        <v>45763</v>
      </c>
      <c r="C548" s="2" t="s">
        <v>190</v>
      </c>
      <c r="D548" s="2" t="s">
        <v>40</v>
      </c>
      <c r="E548" s="2" t="s">
        <v>19</v>
      </c>
      <c r="F548" s="2" t="s">
        <v>14</v>
      </c>
      <c r="G548" s="2" t="s">
        <v>191</v>
      </c>
      <c r="H548" s="2">
        <v>3</v>
      </c>
      <c r="I548" s="4">
        <v>142</v>
      </c>
      <c r="J548" s="2" t="s">
        <v>16</v>
      </c>
      <c r="K548">
        <f>H548*I548</f>
        <v>426</v>
      </c>
      <c r="L548" t="str">
        <f t="shared" si="16"/>
        <v>Apr</v>
      </c>
      <c r="M548">
        <f t="shared" si="17"/>
        <v>4</v>
      </c>
    </row>
    <row r="549" spans="1:13" x14ac:dyDescent="0.25">
      <c r="A549" s="2" t="s">
        <v>622</v>
      </c>
      <c r="B549" s="3">
        <v>45763</v>
      </c>
      <c r="C549" s="2" t="s">
        <v>108</v>
      </c>
      <c r="D549" s="2" t="s">
        <v>109</v>
      </c>
      <c r="E549" s="2" t="s">
        <v>13</v>
      </c>
      <c r="F549" s="2" t="s">
        <v>14</v>
      </c>
      <c r="G549" s="2" t="s">
        <v>110</v>
      </c>
      <c r="H549" s="2">
        <v>1</v>
      </c>
      <c r="I549" s="4">
        <v>62</v>
      </c>
      <c r="J549" s="2" t="s">
        <v>16</v>
      </c>
      <c r="K549">
        <f>H549*I549</f>
        <v>62</v>
      </c>
      <c r="L549" t="str">
        <f t="shared" si="16"/>
        <v>Apr</v>
      </c>
      <c r="M549">
        <f t="shared" si="17"/>
        <v>4</v>
      </c>
    </row>
    <row r="550" spans="1:13" x14ac:dyDescent="0.25">
      <c r="A550" s="2" t="s">
        <v>623</v>
      </c>
      <c r="B550" s="3">
        <v>45764</v>
      </c>
      <c r="C550" s="2" t="s">
        <v>74</v>
      </c>
      <c r="D550" s="2" t="s">
        <v>75</v>
      </c>
      <c r="E550" s="2" t="s">
        <v>76</v>
      </c>
      <c r="F550" s="2" t="s">
        <v>14</v>
      </c>
      <c r="G550" s="2" t="s">
        <v>77</v>
      </c>
      <c r="H550" s="2">
        <v>6</v>
      </c>
      <c r="I550" s="4">
        <v>32</v>
      </c>
      <c r="J550" s="2" t="s">
        <v>38</v>
      </c>
      <c r="K550">
        <f>H550*I550</f>
        <v>192</v>
      </c>
      <c r="L550" t="str">
        <f t="shared" si="16"/>
        <v>Apr</v>
      </c>
      <c r="M550">
        <f t="shared" si="17"/>
        <v>4</v>
      </c>
    </row>
    <row r="551" spans="1:13" x14ac:dyDescent="0.25">
      <c r="A551" s="2" t="s">
        <v>624</v>
      </c>
      <c r="B551" s="3">
        <v>45764</v>
      </c>
      <c r="C551" s="2" t="s">
        <v>101</v>
      </c>
      <c r="D551" s="2" t="s">
        <v>102</v>
      </c>
      <c r="E551" s="2" t="s">
        <v>36</v>
      </c>
      <c r="F551" s="2" t="s">
        <v>14</v>
      </c>
      <c r="G551" s="2" t="s">
        <v>103</v>
      </c>
      <c r="H551" s="2">
        <v>3</v>
      </c>
      <c r="I551" s="4">
        <v>92</v>
      </c>
      <c r="J551" s="2" t="s">
        <v>16</v>
      </c>
      <c r="K551">
        <f>H551*I551</f>
        <v>276</v>
      </c>
      <c r="L551" t="str">
        <f t="shared" si="16"/>
        <v>Apr</v>
      </c>
      <c r="M551">
        <f t="shared" si="17"/>
        <v>4</v>
      </c>
    </row>
    <row r="552" spans="1:13" x14ac:dyDescent="0.25">
      <c r="A552" s="2" t="s">
        <v>625</v>
      </c>
      <c r="B552" s="3">
        <v>45764</v>
      </c>
      <c r="C552" s="2" t="s">
        <v>35</v>
      </c>
      <c r="D552" s="2" t="s">
        <v>35</v>
      </c>
      <c r="E552" s="2" t="s">
        <v>36</v>
      </c>
      <c r="F552" s="2" t="s">
        <v>20</v>
      </c>
      <c r="G552" s="2" t="s">
        <v>21</v>
      </c>
      <c r="H552" s="2">
        <v>3</v>
      </c>
      <c r="I552" s="4">
        <v>58</v>
      </c>
      <c r="J552" s="2" t="s">
        <v>38</v>
      </c>
      <c r="K552">
        <f>H552*I552</f>
        <v>174</v>
      </c>
      <c r="L552" t="str">
        <f t="shared" si="16"/>
        <v>Apr</v>
      </c>
      <c r="M552">
        <f t="shared" si="17"/>
        <v>4</v>
      </c>
    </row>
    <row r="553" spans="1:13" x14ac:dyDescent="0.25">
      <c r="A553" s="2" t="s">
        <v>626</v>
      </c>
      <c r="B553" s="3">
        <v>45764</v>
      </c>
      <c r="C553" s="2" t="s">
        <v>124</v>
      </c>
      <c r="D553" s="2" t="s">
        <v>18</v>
      </c>
      <c r="E553" s="2" t="s">
        <v>19</v>
      </c>
      <c r="F553" s="2" t="s">
        <v>14</v>
      </c>
      <c r="G553" s="2" t="s">
        <v>125</v>
      </c>
      <c r="H553" s="2">
        <v>6</v>
      </c>
      <c r="I553" s="4">
        <v>45</v>
      </c>
      <c r="J553" s="2" t="s">
        <v>22</v>
      </c>
      <c r="K553">
        <f>H553*I553</f>
        <v>270</v>
      </c>
      <c r="L553" t="str">
        <f t="shared" si="16"/>
        <v>Apr</v>
      </c>
      <c r="M553">
        <f t="shared" si="17"/>
        <v>4</v>
      </c>
    </row>
    <row r="554" spans="1:13" x14ac:dyDescent="0.25">
      <c r="A554" s="2" t="s">
        <v>627</v>
      </c>
      <c r="B554" s="3">
        <v>45764</v>
      </c>
      <c r="C554" s="2" t="s">
        <v>18</v>
      </c>
      <c r="D554" s="2" t="s">
        <v>18</v>
      </c>
      <c r="E554" s="2" t="s">
        <v>19</v>
      </c>
      <c r="F554" s="2" t="s">
        <v>20</v>
      </c>
      <c r="G554" s="2" t="s">
        <v>21</v>
      </c>
      <c r="H554" s="2">
        <v>12</v>
      </c>
      <c r="I554" s="4">
        <v>15</v>
      </c>
      <c r="J554" s="2" t="s">
        <v>16</v>
      </c>
      <c r="K554">
        <f>H554*I554</f>
        <v>180</v>
      </c>
      <c r="L554" t="str">
        <f t="shared" si="16"/>
        <v>Apr</v>
      </c>
      <c r="M554">
        <f t="shared" si="17"/>
        <v>4</v>
      </c>
    </row>
    <row r="555" spans="1:13" x14ac:dyDescent="0.25">
      <c r="A555" s="2" t="s">
        <v>628</v>
      </c>
      <c r="B555" s="3">
        <v>45764</v>
      </c>
      <c r="C555" s="2" t="s">
        <v>194</v>
      </c>
      <c r="D555" s="2" t="s">
        <v>98</v>
      </c>
      <c r="E555" s="2" t="s">
        <v>99</v>
      </c>
      <c r="F555" s="2" t="s">
        <v>20</v>
      </c>
      <c r="G555" s="2" t="s">
        <v>21</v>
      </c>
      <c r="H555" s="2">
        <v>2</v>
      </c>
      <c r="I555" s="4">
        <v>70</v>
      </c>
      <c r="J555" s="2" t="s">
        <v>31</v>
      </c>
      <c r="K555">
        <f>H555*I555</f>
        <v>140</v>
      </c>
      <c r="L555" t="str">
        <f t="shared" si="16"/>
        <v>Apr</v>
      </c>
      <c r="M555">
        <f t="shared" si="17"/>
        <v>4</v>
      </c>
    </row>
    <row r="556" spans="1:13" x14ac:dyDescent="0.25">
      <c r="A556" s="2" t="s">
        <v>629</v>
      </c>
      <c r="B556" s="3">
        <v>45764</v>
      </c>
      <c r="C556" s="2" t="s">
        <v>52</v>
      </c>
      <c r="D556" s="2" t="s">
        <v>30</v>
      </c>
      <c r="E556" s="2" t="s">
        <v>13</v>
      </c>
      <c r="F556" s="2" t="s">
        <v>14</v>
      </c>
      <c r="G556" s="2" t="s">
        <v>53</v>
      </c>
      <c r="H556" s="2">
        <v>3</v>
      </c>
      <c r="I556" s="4">
        <v>42</v>
      </c>
      <c r="J556" s="2" t="s">
        <v>38</v>
      </c>
      <c r="K556">
        <f>H556*I556</f>
        <v>126</v>
      </c>
      <c r="L556" t="str">
        <f t="shared" si="16"/>
        <v>Apr</v>
      </c>
      <c r="M556">
        <f t="shared" si="17"/>
        <v>4</v>
      </c>
    </row>
    <row r="557" spans="1:13" x14ac:dyDescent="0.25">
      <c r="A557" s="2" t="s">
        <v>630</v>
      </c>
      <c r="B557" s="3">
        <v>45764</v>
      </c>
      <c r="C557" s="2" t="s">
        <v>108</v>
      </c>
      <c r="D557" s="2" t="s">
        <v>109</v>
      </c>
      <c r="E557" s="2" t="s">
        <v>13</v>
      </c>
      <c r="F557" s="2" t="s">
        <v>14</v>
      </c>
      <c r="G557" s="2" t="s">
        <v>110</v>
      </c>
      <c r="H557" s="2">
        <v>4</v>
      </c>
      <c r="I557" s="4">
        <v>62</v>
      </c>
      <c r="J557" s="2" t="s">
        <v>38</v>
      </c>
      <c r="K557">
        <f>H557*I557</f>
        <v>248</v>
      </c>
      <c r="L557" t="str">
        <f t="shared" si="16"/>
        <v>Apr</v>
      </c>
      <c r="M557">
        <f t="shared" si="17"/>
        <v>4</v>
      </c>
    </row>
    <row r="558" spans="1:13" x14ac:dyDescent="0.25">
      <c r="A558" s="2" t="s">
        <v>631</v>
      </c>
      <c r="B558" s="3">
        <v>45765</v>
      </c>
      <c r="C558" s="2" t="s">
        <v>102</v>
      </c>
      <c r="D558" s="2" t="s">
        <v>102</v>
      </c>
      <c r="E558" s="2" t="s">
        <v>36</v>
      </c>
      <c r="F558" s="2" t="s">
        <v>20</v>
      </c>
      <c r="G558" s="2" t="s">
        <v>21</v>
      </c>
      <c r="H558" s="2">
        <v>3</v>
      </c>
      <c r="I558" s="4">
        <v>35</v>
      </c>
      <c r="J558" s="2" t="s">
        <v>38</v>
      </c>
      <c r="K558">
        <f>H558*I558</f>
        <v>105</v>
      </c>
      <c r="L558" t="str">
        <f t="shared" si="16"/>
        <v>Apr</v>
      </c>
      <c r="M558">
        <f t="shared" si="17"/>
        <v>4</v>
      </c>
    </row>
    <row r="559" spans="1:13" x14ac:dyDescent="0.25">
      <c r="A559" s="2" t="s">
        <v>632</v>
      </c>
      <c r="B559" s="3">
        <v>45765</v>
      </c>
      <c r="C559" s="2" t="s">
        <v>40</v>
      </c>
      <c r="D559" s="2" t="s">
        <v>40</v>
      </c>
      <c r="E559" s="2" t="s">
        <v>19</v>
      </c>
      <c r="F559" s="2" t="s">
        <v>20</v>
      </c>
      <c r="G559" s="2" t="s">
        <v>21</v>
      </c>
      <c r="H559" s="2">
        <v>3</v>
      </c>
      <c r="I559" s="4">
        <v>46</v>
      </c>
      <c r="J559" s="2" t="s">
        <v>16</v>
      </c>
      <c r="K559">
        <f>H559*I559</f>
        <v>138</v>
      </c>
      <c r="L559" t="str">
        <f t="shared" si="16"/>
        <v>Apr</v>
      </c>
      <c r="M559">
        <f t="shared" si="17"/>
        <v>4</v>
      </c>
    </row>
    <row r="560" spans="1:13" x14ac:dyDescent="0.25">
      <c r="A560" s="2" t="s">
        <v>633</v>
      </c>
      <c r="B560" s="3">
        <v>45765</v>
      </c>
      <c r="C560" s="2" t="s">
        <v>52</v>
      </c>
      <c r="D560" s="2" t="s">
        <v>30</v>
      </c>
      <c r="E560" s="2" t="s">
        <v>13</v>
      </c>
      <c r="F560" s="2" t="s">
        <v>14</v>
      </c>
      <c r="G560" s="2" t="s">
        <v>53</v>
      </c>
      <c r="H560" s="2">
        <v>5</v>
      </c>
      <c r="I560" s="4">
        <v>42</v>
      </c>
      <c r="J560" s="2" t="s">
        <v>22</v>
      </c>
      <c r="K560">
        <f>H560*I560</f>
        <v>210</v>
      </c>
      <c r="L560" t="str">
        <f t="shared" si="16"/>
        <v>Apr</v>
      </c>
      <c r="M560">
        <f t="shared" si="17"/>
        <v>4</v>
      </c>
    </row>
    <row r="561" spans="1:13" x14ac:dyDescent="0.25">
      <c r="A561" s="2" t="s">
        <v>634</v>
      </c>
      <c r="B561" s="3">
        <v>45766</v>
      </c>
      <c r="C561" s="2" t="s">
        <v>67</v>
      </c>
      <c r="D561" s="2" t="s">
        <v>68</v>
      </c>
      <c r="E561" s="2" t="s">
        <v>49</v>
      </c>
      <c r="F561" s="2" t="s">
        <v>14</v>
      </c>
      <c r="G561" s="2" t="s">
        <v>69</v>
      </c>
      <c r="H561" s="2">
        <v>3</v>
      </c>
      <c r="I561" s="4">
        <v>205</v>
      </c>
      <c r="J561" s="2" t="s">
        <v>38</v>
      </c>
      <c r="K561">
        <f>H561*I561</f>
        <v>615</v>
      </c>
      <c r="L561" t="str">
        <f t="shared" si="16"/>
        <v>Apr</v>
      </c>
      <c r="M561">
        <f t="shared" si="17"/>
        <v>4</v>
      </c>
    </row>
    <row r="562" spans="1:13" x14ac:dyDescent="0.25">
      <c r="A562" s="2" t="s">
        <v>635</v>
      </c>
      <c r="B562" s="3">
        <v>45766</v>
      </c>
      <c r="C562" s="2" t="s">
        <v>124</v>
      </c>
      <c r="D562" s="2" t="s">
        <v>18</v>
      </c>
      <c r="E562" s="2" t="s">
        <v>19</v>
      </c>
      <c r="F562" s="2" t="s">
        <v>14</v>
      </c>
      <c r="G562" s="2" t="s">
        <v>125</v>
      </c>
      <c r="H562" s="2">
        <v>3</v>
      </c>
      <c r="I562" s="4">
        <v>45</v>
      </c>
      <c r="J562" s="2" t="s">
        <v>16</v>
      </c>
      <c r="K562">
        <f>H562*I562</f>
        <v>135</v>
      </c>
      <c r="L562" t="str">
        <f t="shared" si="16"/>
        <v>Apr</v>
      </c>
      <c r="M562">
        <f t="shared" si="17"/>
        <v>4</v>
      </c>
    </row>
    <row r="563" spans="1:13" x14ac:dyDescent="0.25">
      <c r="A563" s="2" t="s">
        <v>636</v>
      </c>
      <c r="B563" s="3">
        <v>45767</v>
      </c>
      <c r="C563" s="2" t="s">
        <v>11</v>
      </c>
      <c r="D563" s="2" t="s">
        <v>12</v>
      </c>
      <c r="E563" s="2" t="s">
        <v>13</v>
      </c>
      <c r="F563" s="2" t="s">
        <v>14</v>
      </c>
      <c r="G563" s="2" t="s">
        <v>15</v>
      </c>
      <c r="H563" s="2">
        <v>1</v>
      </c>
      <c r="I563" s="4">
        <v>32</v>
      </c>
      <c r="J563" s="2" t="s">
        <v>16</v>
      </c>
      <c r="K563">
        <f>H563*I563</f>
        <v>32</v>
      </c>
      <c r="L563" t="str">
        <f t="shared" si="16"/>
        <v>Apr</v>
      </c>
      <c r="M563">
        <f t="shared" si="17"/>
        <v>4</v>
      </c>
    </row>
    <row r="564" spans="1:13" x14ac:dyDescent="0.25">
      <c r="A564" s="2" t="s">
        <v>637</v>
      </c>
      <c r="B564" s="3">
        <v>45767</v>
      </c>
      <c r="C564" s="2" t="s">
        <v>102</v>
      </c>
      <c r="D564" s="2" t="s">
        <v>102</v>
      </c>
      <c r="E564" s="2" t="s">
        <v>36</v>
      </c>
      <c r="F564" s="2" t="s">
        <v>20</v>
      </c>
      <c r="G564" s="2" t="s">
        <v>21</v>
      </c>
      <c r="H564" s="2">
        <v>1</v>
      </c>
      <c r="I564" s="4">
        <v>35</v>
      </c>
      <c r="J564" s="2" t="s">
        <v>16</v>
      </c>
      <c r="K564">
        <f>H564*I564</f>
        <v>35</v>
      </c>
      <c r="L564" t="str">
        <f t="shared" si="16"/>
        <v>Apr</v>
      </c>
      <c r="M564">
        <f t="shared" si="17"/>
        <v>4</v>
      </c>
    </row>
    <row r="565" spans="1:13" x14ac:dyDescent="0.25">
      <c r="A565" s="2" t="s">
        <v>638</v>
      </c>
      <c r="B565" s="3">
        <v>45767</v>
      </c>
      <c r="C565" s="2" t="s">
        <v>34</v>
      </c>
      <c r="D565" s="2" t="s">
        <v>35</v>
      </c>
      <c r="E565" s="2" t="s">
        <v>36</v>
      </c>
      <c r="F565" s="2" t="s">
        <v>14</v>
      </c>
      <c r="G565" s="2" t="s">
        <v>37</v>
      </c>
      <c r="H565" s="2">
        <v>3</v>
      </c>
      <c r="I565" s="4">
        <v>165</v>
      </c>
      <c r="J565" s="2" t="s">
        <v>31</v>
      </c>
      <c r="K565">
        <f>H565*I565</f>
        <v>495</v>
      </c>
      <c r="L565" t="str">
        <f t="shared" si="16"/>
        <v>Apr</v>
      </c>
      <c r="M565">
        <f t="shared" si="17"/>
        <v>4</v>
      </c>
    </row>
    <row r="566" spans="1:13" x14ac:dyDescent="0.25">
      <c r="A566" s="2" t="s">
        <v>639</v>
      </c>
      <c r="B566" s="3">
        <v>45767</v>
      </c>
      <c r="C566" s="2" t="s">
        <v>124</v>
      </c>
      <c r="D566" s="2" t="s">
        <v>18</v>
      </c>
      <c r="E566" s="2" t="s">
        <v>19</v>
      </c>
      <c r="F566" s="2" t="s">
        <v>14</v>
      </c>
      <c r="G566" s="2" t="s">
        <v>125</v>
      </c>
      <c r="H566" s="2">
        <v>6</v>
      </c>
      <c r="I566" s="4">
        <v>45</v>
      </c>
      <c r="J566" s="2" t="s">
        <v>16</v>
      </c>
      <c r="K566">
        <f>H566*I566</f>
        <v>270</v>
      </c>
      <c r="L566" t="str">
        <f t="shared" si="16"/>
        <v>Apr</v>
      </c>
      <c r="M566">
        <f t="shared" si="17"/>
        <v>4</v>
      </c>
    </row>
    <row r="567" spans="1:13" x14ac:dyDescent="0.25">
      <c r="A567" s="2" t="s">
        <v>640</v>
      </c>
      <c r="B567" s="3">
        <v>45767</v>
      </c>
      <c r="C567" s="2" t="s">
        <v>124</v>
      </c>
      <c r="D567" s="2" t="s">
        <v>18</v>
      </c>
      <c r="E567" s="2" t="s">
        <v>19</v>
      </c>
      <c r="F567" s="2" t="s">
        <v>14</v>
      </c>
      <c r="G567" s="2" t="s">
        <v>125</v>
      </c>
      <c r="H567" s="2">
        <v>3</v>
      </c>
      <c r="I567" s="4">
        <v>45</v>
      </c>
      <c r="J567" s="2" t="s">
        <v>38</v>
      </c>
      <c r="K567">
        <f>H567*I567</f>
        <v>135</v>
      </c>
      <c r="L567" t="str">
        <f t="shared" si="16"/>
        <v>Apr</v>
      </c>
      <c r="M567">
        <f t="shared" si="17"/>
        <v>4</v>
      </c>
    </row>
    <row r="568" spans="1:13" x14ac:dyDescent="0.25">
      <c r="A568" s="2" t="s">
        <v>641</v>
      </c>
      <c r="B568" s="3">
        <v>45767</v>
      </c>
      <c r="C568" s="2" t="s">
        <v>79</v>
      </c>
      <c r="D568" s="2" t="s">
        <v>80</v>
      </c>
      <c r="E568" s="2" t="s">
        <v>26</v>
      </c>
      <c r="F568" s="2" t="s">
        <v>14</v>
      </c>
      <c r="G568" s="2" t="s">
        <v>81</v>
      </c>
      <c r="H568" s="2">
        <v>2</v>
      </c>
      <c r="I568" s="4">
        <v>152</v>
      </c>
      <c r="J568" s="2" t="s">
        <v>31</v>
      </c>
      <c r="K568">
        <f>H568*I568</f>
        <v>304</v>
      </c>
      <c r="L568" t="str">
        <f t="shared" si="16"/>
        <v>Apr</v>
      </c>
      <c r="M568">
        <f t="shared" si="17"/>
        <v>4</v>
      </c>
    </row>
    <row r="569" spans="1:13" x14ac:dyDescent="0.25">
      <c r="A569" s="2" t="s">
        <v>642</v>
      </c>
      <c r="B569" s="3">
        <v>45768</v>
      </c>
      <c r="C569" s="2" t="s">
        <v>11</v>
      </c>
      <c r="D569" s="2" t="s">
        <v>12</v>
      </c>
      <c r="E569" s="2" t="s">
        <v>13</v>
      </c>
      <c r="F569" s="2" t="s">
        <v>14</v>
      </c>
      <c r="G569" s="2" t="s">
        <v>15</v>
      </c>
      <c r="H569" s="2">
        <v>4</v>
      </c>
      <c r="I569" s="4">
        <v>32</v>
      </c>
      <c r="J569" s="2" t="s">
        <v>38</v>
      </c>
      <c r="K569">
        <f>H569*I569</f>
        <v>128</v>
      </c>
      <c r="L569" t="str">
        <f t="shared" si="16"/>
        <v>Apr</v>
      </c>
      <c r="M569">
        <f t="shared" si="17"/>
        <v>4</v>
      </c>
    </row>
    <row r="570" spans="1:13" x14ac:dyDescent="0.25">
      <c r="A570" s="2" t="s">
        <v>643</v>
      </c>
      <c r="B570" s="3">
        <v>45768</v>
      </c>
      <c r="C570" s="2" t="s">
        <v>12</v>
      </c>
      <c r="D570" s="2" t="s">
        <v>12</v>
      </c>
      <c r="E570" s="2" t="s">
        <v>13</v>
      </c>
      <c r="F570" s="2" t="s">
        <v>20</v>
      </c>
      <c r="G570" s="2" t="s">
        <v>21</v>
      </c>
      <c r="H570" s="2">
        <v>2</v>
      </c>
      <c r="I570" s="4">
        <v>14</v>
      </c>
      <c r="J570" s="2" t="s">
        <v>31</v>
      </c>
      <c r="K570">
        <f>H570*I570</f>
        <v>28</v>
      </c>
      <c r="L570" t="str">
        <f t="shared" si="16"/>
        <v>Apr</v>
      </c>
      <c r="M570">
        <f t="shared" si="17"/>
        <v>4</v>
      </c>
    </row>
    <row r="571" spans="1:13" x14ac:dyDescent="0.25">
      <c r="A571" s="2" t="s">
        <v>644</v>
      </c>
      <c r="B571" s="3">
        <v>45768</v>
      </c>
      <c r="C571" s="2" t="s">
        <v>72</v>
      </c>
      <c r="D571" s="2" t="s">
        <v>68</v>
      </c>
      <c r="E571" s="2" t="s">
        <v>49</v>
      </c>
      <c r="F571" s="2" t="s">
        <v>20</v>
      </c>
      <c r="G571" s="2" t="s">
        <v>21</v>
      </c>
      <c r="H571" s="2">
        <v>1</v>
      </c>
      <c r="I571" s="4">
        <v>95</v>
      </c>
      <c r="J571" s="2" t="s">
        <v>16</v>
      </c>
      <c r="K571">
        <f>H571*I571</f>
        <v>95</v>
      </c>
      <c r="L571" t="str">
        <f t="shared" si="16"/>
        <v>Apr</v>
      </c>
      <c r="M571">
        <f t="shared" si="17"/>
        <v>4</v>
      </c>
    </row>
    <row r="572" spans="1:13" x14ac:dyDescent="0.25">
      <c r="A572" s="2" t="s">
        <v>645</v>
      </c>
      <c r="B572" s="3">
        <v>45768</v>
      </c>
      <c r="C572" s="2" t="s">
        <v>74</v>
      </c>
      <c r="D572" s="2" t="s">
        <v>75</v>
      </c>
      <c r="E572" s="2" t="s">
        <v>76</v>
      </c>
      <c r="F572" s="2" t="s">
        <v>14</v>
      </c>
      <c r="G572" s="2" t="s">
        <v>77</v>
      </c>
      <c r="H572" s="2">
        <v>6</v>
      </c>
      <c r="I572" s="4">
        <v>32</v>
      </c>
      <c r="J572" s="2" t="s">
        <v>31</v>
      </c>
      <c r="K572">
        <f>H572*I572</f>
        <v>192</v>
      </c>
      <c r="L572" t="str">
        <f t="shared" si="16"/>
        <v>Apr</v>
      </c>
      <c r="M572">
        <f t="shared" si="17"/>
        <v>4</v>
      </c>
    </row>
    <row r="573" spans="1:13" x14ac:dyDescent="0.25">
      <c r="A573" s="2" t="s">
        <v>646</v>
      </c>
      <c r="B573" s="3">
        <v>45768</v>
      </c>
      <c r="C573" s="2" t="s">
        <v>75</v>
      </c>
      <c r="D573" s="2" t="s">
        <v>75</v>
      </c>
      <c r="E573" s="2" t="s">
        <v>76</v>
      </c>
      <c r="F573" s="2" t="s">
        <v>20</v>
      </c>
      <c r="G573" s="2" t="s">
        <v>21</v>
      </c>
      <c r="H573" s="2">
        <v>3</v>
      </c>
      <c r="I573" s="4">
        <v>12</v>
      </c>
      <c r="J573" s="2" t="s">
        <v>22</v>
      </c>
      <c r="K573">
        <f>H573*I573</f>
        <v>36</v>
      </c>
      <c r="L573" t="str">
        <f t="shared" si="16"/>
        <v>Apr</v>
      </c>
      <c r="M573">
        <f t="shared" si="17"/>
        <v>4</v>
      </c>
    </row>
    <row r="574" spans="1:13" x14ac:dyDescent="0.25">
      <c r="A574" s="2" t="s">
        <v>647</v>
      </c>
      <c r="B574" s="3">
        <v>45768</v>
      </c>
      <c r="C574" s="2" t="s">
        <v>79</v>
      </c>
      <c r="D574" s="2" t="s">
        <v>80</v>
      </c>
      <c r="E574" s="2" t="s">
        <v>26</v>
      </c>
      <c r="F574" s="2" t="s">
        <v>14</v>
      </c>
      <c r="G574" s="2" t="s">
        <v>81</v>
      </c>
      <c r="H574" s="2">
        <v>2</v>
      </c>
      <c r="I574" s="4">
        <v>152</v>
      </c>
      <c r="J574" s="2" t="s">
        <v>16</v>
      </c>
      <c r="K574">
        <f>H574*I574</f>
        <v>304</v>
      </c>
      <c r="L574" t="str">
        <f t="shared" si="16"/>
        <v>Apr</v>
      </c>
      <c r="M574">
        <f t="shared" si="17"/>
        <v>4</v>
      </c>
    </row>
    <row r="575" spans="1:13" x14ac:dyDescent="0.25">
      <c r="A575" s="2" t="s">
        <v>648</v>
      </c>
      <c r="B575" s="3">
        <v>45768</v>
      </c>
      <c r="C575" s="2" t="s">
        <v>194</v>
      </c>
      <c r="D575" s="2" t="s">
        <v>98</v>
      </c>
      <c r="E575" s="2" t="s">
        <v>99</v>
      </c>
      <c r="F575" s="2" t="s">
        <v>20</v>
      </c>
      <c r="G575" s="2" t="s">
        <v>21</v>
      </c>
      <c r="H575" s="2">
        <v>2</v>
      </c>
      <c r="I575" s="4">
        <v>70</v>
      </c>
      <c r="J575" s="2" t="s">
        <v>38</v>
      </c>
      <c r="K575">
        <f>H575*I575</f>
        <v>140</v>
      </c>
      <c r="L575" t="str">
        <f t="shared" si="16"/>
        <v>Apr</v>
      </c>
      <c r="M575">
        <f t="shared" si="17"/>
        <v>4</v>
      </c>
    </row>
    <row r="576" spans="1:13" x14ac:dyDescent="0.25">
      <c r="A576" s="2" t="s">
        <v>649</v>
      </c>
      <c r="B576" s="3">
        <v>45769</v>
      </c>
      <c r="C576" s="2" t="s">
        <v>75</v>
      </c>
      <c r="D576" s="2" t="s">
        <v>75</v>
      </c>
      <c r="E576" s="2" t="s">
        <v>76</v>
      </c>
      <c r="F576" s="2" t="s">
        <v>20</v>
      </c>
      <c r="G576" s="2" t="s">
        <v>21</v>
      </c>
      <c r="H576" s="2">
        <v>6</v>
      </c>
      <c r="I576" s="4">
        <v>12</v>
      </c>
      <c r="J576" s="2" t="s">
        <v>16</v>
      </c>
      <c r="K576">
        <f>H576*I576</f>
        <v>72</v>
      </c>
      <c r="L576" t="str">
        <f t="shared" si="16"/>
        <v>Apr</v>
      </c>
      <c r="M576">
        <f t="shared" si="17"/>
        <v>4</v>
      </c>
    </row>
    <row r="577" spans="1:13" x14ac:dyDescent="0.25">
      <c r="A577" s="2" t="s">
        <v>650</v>
      </c>
      <c r="B577" s="3">
        <v>45769</v>
      </c>
      <c r="C577" s="2" t="s">
        <v>101</v>
      </c>
      <c r="D577" s="2" t="s">
        <v>102</v>
      </c>
      <c r="E577" s="2" t="s">
        <v>36</v>
      </c>
      <c r="F577" s="2" t="s">
        <v>14</v>
      </c>
      <c r="G577" s="2" t="s">
        <v>103</v>
      </c>
      <c r="H577" s="2">
        <v>3</v>
      </c>
      <c r="I577" s="4">
        <v>92</v>
      </c>
      <c r="J577" s="2" t="s">
        <v>31</v>
      </c>
      <c r="K577">
        <f>H577*I577</f>
        <v>276</v>
      </c>
      <c r="L577" t="str">
        <f t="shared" si="16"/>
        <v>Apr</v>
      </c>
      <c r="M577">
        <f t="shared" si="17"/>
        <v>4</v>
      </c>
    </row>
    <row r="578" spans="1:13" x14ac:dyDescent="0.25">
      <c r="A578" s="2" t="s">
        <v>651</v>
      </c>
      <c r="B578" s="3">
        <v>45769</v>
      </c>
      <c r="C578" s="2" t="s">
        <v>190</v>
      </c>
      <c r="D578" s="2" t="s">
        <v>40</v>
      </c>
      <c r="E578" s="2" t="s">
        <v>19</v>
      </c>
      <c r="F578" s="2" t="s">
        <v>14</v>
      </c>
      <c r="G578" s="2" t="s">
        <v>191</v>
      </c>
      <c r="H578" s="2">
        <v>12</v>
      </c>
      <c r="I578" s="4">
        <v>142</v>
      </c>
      <c r="J578" s="2" t="s">
        <v>22</v>
      </c>
      <c r="K578">
        <f>H578*I578</f>
        <v>1704</v>
      </c>
      <c r="L578" t="str">
        <f t="shared" si="16"/>
        <v>Apr</v>
      </c>
      <c r="M578">
        <f t="shared" si="17"/>
        <v>4</v>
      </c>
    </row>
    <row r="579" spans="1:13" x14ac:dyDescent="0.25">
      <c r="A579" s="2" t="s">
        <v>652</v>
      </c>
      <c r="B579" s="3">
        <v>45769</v>
      </c>
      <c r="C579" s="2" t="s">
        <v>79</v>
      </c>
      <c r="D579" s="2" t="s">
        <v>80</v>
      </c>
      <c r="E579" s="2" t="s">
        <v>26</v>
      </c>
      <c r="F579" s="2" t="s">
        <v>14</v>
      </c>
      <c r="G579" s="2" t="s">
        <v>81</v>
      </c>
      <c r="H579" s="2">
        <v>2</v>
      </c>
      <c r="I579" s="4">
        <v>152</v>
      </c>
      <c r="J579" s="2" t="s">
        <v>16</v>
      </c>
      <c r="K579">
        <f>H579*I579</f>
        <v>304</v>
      </c>
      <c r="L579" t="str">
        <f t="shared" ref="L579:L642" si="18">TEXT(B579,"mmm")</f>
        <v>Apr</v>
      </c>
      <c r="M579">
        <f t="shared" ref="M579:M642" si="19">MONTH(B579)</f>
        <v>4</v>
      </c>
    </row>
    <row r="580" spans="1:13" x14ac:dyDescent="0.25">
      <c r="A580" s="2" t="s">
        <v>653</v>
      </c>
      <c r="B580" s="3">
        <v>45769</v>
      </c>
      <c r="C580" s="2" t="s">
        <v>43</v>
      </c>
      <c r="D580" s="2" t="s">
        <v>43</v>
      </c>
      <c r="E580" s="2" t="s">
        <v>44</v>
      </c>
      <c r="F580" s="2" t="s">
        <v>20</v>
      </c>
      <c r="G580" s="2" t="s">
        <v>21</v>
      </c>
      <c r="H580" s="2">
        <v>1</v>
      </c>
      <c r="I580" s="4">
        <v>18</v>
      </c>
      <c r="J580" s="2" t="s">
        <v>16</v>
      </c>
      <c r="K580">
        <f>H580*I580</f>
        <v>18</v>
      </c>
      <c r="L580" t="str">
        <f t="shared" si="18"/>
        <v>Apr</v>
      </c>
      <c r="M580">
        <f t="shared" si="19"/>
        <v>4</v>
      </c>
    </row>
    <row r="581" spans="1:13" x14ac:dyDescent="0.25">
      <c r="A581" s="2" t="s">
        <v>654</v>
      </c>
      <c r="B581" s="3">
        <v>45770</v>
      </c>
      <c r="C581" s="2" t="s">
        <v>12</v>
      </c>
      <c r="D581" s="2" t="s">
        <v>12</v>
      </c>
      <c r="E581" s="2" t="s">
        <v>13</v>
      </c>
      <c r="F581" s="2" t="s">
        <v>20</v>
      </c>
      <c r="G581" s="2" t="s">
        <v>21</v>
      </c>
      <c r="H581" s="2">
        <v>5</v>
      </c>
      <c r="I581" s="4">
        <v>14</v>
      </c>
      <c r="J581" s="2" t="s">
        <v>38</v>
      </c>
      <c r="K581">
        <f>H581*I581</f>
        <v>70</v>
      </c>
      <c r="L581" t="str">
        <f t="shared" si="18"/>
        <v>Apr</v>
      </c>
      <c r="M581">
        <f t="shared" si="19"/>
        <v>4</v>
      </c>
    </row>
    <row r="582" spans="1:13" x14ac:dyDescent="0.25">
      <c r="A582" s="2" t="s">
        <v>655</v>
      </c>
      <c r="B582" s="3">
        <v>45770</v>
      </c>
      <c r="C582" s="2" t="s">
        <v>86</v>
      </c>
      <c r="D582" s="2" t="s">
        <v>48</v>
      </c>
      <c r="E582" s="2" t="s">
        <v>49</v>
      </c>
      <c r="F582" s="2" t="s">
        <v>14</v>
      </c>
      <c r="G582" s="2" t="s">
        <v>87</v>
      </c>
      <c r="H582" s="2">
        <v>1</v>
      </c>
      <c r="I582" s="4">
        <v>125</v>
      </c>
      <c r="J582" s="2" t="s">
        <v>38</v>
      </c>
      <c r="K582">
        <f>H582*I582</f>
        <v>125</v>
      </c>
      <c r="L582" t="str">
        <f t="shared" si="18"/>
        <v>Apr</v>
      </c>
      <c r="M582">
        <f t="shared" si="19"/>
        <v>4</v>
      </c>
    </row>
    <row r="583" spans="1:13" x14ac:dyDescent="0.25">
      <c r="A583" s="2" t="s">
        <v>656</v>
      </c>
      <c r="B583" s="3">
        <v>45770</v>
      </c>
      <c r="C583" s="2" t="s">
        <v>18</v>
      </c>
      <c r="D583" s="2" t="s">
        <v>18</v>
      </c>
      <c r="E583" s="2" t="s">
        <v>19</v>
      </c>
      <c r="F583" s="2" t="s">
        <v>20</v>
      </c>
      <c r="G583" s="2" t="s">
        <v>21</v>
      </c>
      <c r="H583" s="2">
        <v>1</v>
      </c>
      <c r="I583" s="4">
        <v>15</v>
      </c>
      <c r="J583" s="2" t="s">
        <v>16</v>
      </c>
      <c r="K583">
        <f>H583*I583</f>
        <v>15</v>
      </c>
      <c r="L583" t="str">
        <f t="shared" si="18"/>
        <v>Apr</v>
      </c>
      <c r="M583">
        <f t="shared" si="19"/>
        <v>4</v>
      </c>
    </row>
    <row r="584" spans="1:13" x14ac:dyDescent="0.25">
      <c r="A584" s="2" t="s">
        <v>657</v>
      </c>
      <c r="B584" s="3">
        <v>45770</v>
      </c>
      <c r="C584" s="2" t="s">
        <v>40</v>
      </c>
      <c r="D584" s="2" t="s">
        <v>40</v>
      </c>
      <c r="E584" s="2" t="s">
        <v>19</v>
      </c>
      <c r="F584" s="2" t="s">
        <v>20</v>
      </c>
      <c r="G584" s="2" t="s">
        <v>21</v>
      </c>
      <c r="H584" s="2">
        <v>2</v>
      </c>
      <c r="I584" s="4">
        <v>46</v>
      </c>
      <c r="J584" s="2" t="s">
        <v>16</v>
      </c>
      <c r="K584">
        <f>H584*I584</f>
        <v>92</v>
      </c>
      <c r="L584" t="str">
        <f t="shared" si="18"/>
        <v>Apr</v>
      </c>
      <c r="M584">
        <f t="shared" si="19"/>
        <v>4</v>
      </c>
    </row>
    <row r="585" spans="1:13" x14ac:dyDescent="0.25">
      <c r="A585" s="2" t="s">
        <v>658</v>
      </c>
      <c r="B585" s="3">
        <v>45770</v>
      </c>
      <c r="C585" s="2" t="s">
        <v>60</v>
      </c>
      <c r="D585" s="2" t="s">
        <v>61</v>
      </c>
      <c r="E585" s="2" t="s">
        <v>62</v>
      </c>
      <c r="F585" s="2" t="s">
        <v>14</v>
      </c>
      <c r="G585" s="2" t="s">
        <v>63</v>
      </c>
      <c r="H585" s="2">
        <v>1</v>
      </c>
      <c r="I585" s="4">
        <v>26</v>
      </c>
      <c r="J585" s="2" t="s">
        <v>22</v>
      </c>
      <c r="K585">
        <f>H585*I585</f>
        <v>26</v>
      </c>
      <c r="L585" t="str">
        <f t="shared" si="18"/>
        <v>Apr</v>
      </c>
      <c r="M585">
        <f t="shared" si="19"/>
        <v>4</v>
      </c>
    </row>
    <row r="586" spans="1:13" x14ac:dyDescent="0.25">
      <c r="A586" s="2" t="s">
        <v>659</v>
      </c>
      <c r="B586" s="3">
        <v>45770</v>
      </c>
      <c r="C586" s="2" t="s">
        <v>42</v>
      </c>
      <c r="D586" s="2" t="s">
        <v>43</v>
      </c>
      <c r="E586" s="2" t="s">
        <v>44</v>
      </c>
      <c r="F586" s="2" t="s">
        <v>14</v>
      </c>
      <c r="G586" s="2" t="s">
        <v>45</v>
      </c>
      <c r="H586" s="2">
        <v>1</v>
      </c>
      <c r="I586" s="4">
        <v>46</v>
      </c>
      <c r="J586" s="2" t="s">
        <v>31</v>
      </c>
      <c r="K586">
        <f>H586*I586</f>
        <v>46</v>
      </c>
      <c r="L586" t="str">
        <f t="shared" si="18"/>
        <v>Apr</v>
      </c>
      <c r="M586">
        <f t="shared" si="19"/>
        <v>4</v>
      </c>
    </row>
    <row r="587" spans="1:13" x14ac:dyDescent="0.25">
      <c r="A587" s="2" t="s">
        <v>660</v>
      </c>
      <c r="B587" s="3">
        <v>45771</v>
      </c>
      <c r="C587" s="2" t="s">
        <v>101</v>
      </c>
      <c r="D587" s="2" t="s">
        <v>102</v>
      </c>
      <c r="E587" s="2" t="s">
        <v>36</v>
      </c>
      <c r="F587" s="2" t="s">
        <v>14</v>
      </c>
      <c r="G587" s="2" t="s">
        <v>103</v>
      </c>
      <c r="H587" s="2">
        <v>3</v>
      </c>
      <c r="I587" s="4">
        <v>92</v>
      </c>
      <c r="J587" s="2" t="s">
        <v>16</v>
      </c>
      <c r="K587">
        <f>H587*I587</f>
        <v>276</v>
      </c>
      <c r="L587" t="str">
        <f t="shared" si="18"/>
        <v>Apr</v>
      </c>
      <c r="M587">
        <f t="shared" si="19"/>
        <v>4</v>
      </c>
    </row>
    <row r="588" spans="1:13" x14ac:dyDescent="0.25">
      <c r="A588" s="2" t="s">
        <v>661</v>
      </c>
      <c r="B588" s="3">
        <v>45771</v>
      </c>
      <c r="C588" s="2" t="s">
        <v>18</v>
      </c>
      <c r="D588" s="2" t="s">
        <v>18</v>
      </c>
      <c r="E588" s="2" t="s">
        <v>19</v>
      </c>
      <c r="F588" s="2" t="s">
        <v>20</v>
      </c>
      <c r="G588" s="2" t="s">
        <v>21</v>
      </c>
      <c r="H588" s="2">
        <v>2</v>
      </c>
      <c r="I588" s="4">
        <v>15</v>
      </c>
      <c r="J588" s="2" t="s">
        <v>16</v>
      </c>
      <c r="K588">
        <f>H588*I588</f>
        <v>30</v>
      </c>
      <c r="L588" t="str">
        <f t="shared" si="18"/>
        <v>Apr</v>
      </c>
      <c r="M588">
        <f t="shared" si="19"/>
        <v>4</v>
      </c>
    </row>
    <row r="589" spans="1:13" x14ac:dyDescent="0.25">
      <c r="A589" s="2" t="s">
        <v>662</v>
      </c>
      <c r="B589" s="3">
        <v>45771</v>
      </c>
      <c r="C589" s="2" t="s">
        <v>60</v>
      </c>
      <c r="D589" s="2" t="s">
        <v>61</v>
      </c>
      <c r="E589" s="2" t="s">
        <v>62</v>
      </c>
      <c r="F589" s="2" t="s">
        <v>14</v>
      </c>
      <c r="G589" s="2" t="s">
        <v>63</v>
      </c>
      <c r="H589" s="2">
        <v>5</v>
      </c>
      <c r="I589" s="4">
        <v>26</v>
      </c>
      <c r="J589" s="2" t="s">
        <v>16</v>
      </c>
      <c r="K589">
        <f>H589*I589</f>
        <v>130</v>
      </c>
      <c r="L589" t="str">
        <f t="shared" si="18"/>
        <v>Apr</v>
      </c>
      <c r="M589">
        <f t="shared" si="19"/>
        <v>4</v>
      </c>
    </row>
    <row r="590" spans="1:13" x14ac:dyDescent="0.25">
      <c r="A590" s="2" t="s">
        <v>663</v>
      </c>
      <c r="B590" s="3">
        <v>45771</v>
      </c>
      <c r="C590" s="2" t="s">
        <v>52</v>
      </c>
      <c r="D590" s="2" t="s">
        <v>30</v>
      </c>
      <c r="E590" s="2" t="s">
        <v>13</v>
      </c>
      <c r="F590" s="2" t="s">
        <v>14</v>
      </c>
      <c r="G590" s="2" t="s">
        <v>53</v>
      </c>
      <c r="H590" s="2">
        <v>3</v>
      </c>
      <c r="I590" s="4">
        <v>42</v>
      </c>
      <c r="J590" s="2" t="s">
        <v>22</v>
      </c>
      <c r="K590">
        <f>H590*I590</f>
        <v>126</v>
      </c>
      <c r="L590" t="str">
        <f t="shared" si="18"/>
        <v>Apr</v>
      </c>
      <c r="M590">
        <f t="shared" si="19"/>
        <v>4</v>
      </c>
    </row>
    <row r="591" spans="1:13" x14ac:dyDescent="0.25">
      <c r="A591" s="2" t="s">
        <v>664</v>
      </c>
      <c r="B591" s="3">
        <v>45772</v>
      </c>
      <c r="C591" s="2" t="s">
        <v>119</v>
      </c>
      <c r="D591" s="2" t="s">
        <v>120</v>
      </c>
      <c r="E591" s="2" t="s">
        <v>76</v>
      </c>
      <c r="F591" s="2" t="s">
        <v>14</v>
      </c>
      <c r="G591" s="2" t="s">
        <v>121</v>
      </c>
      <c r="H591" s="2">
        <v>6</v>
      </c>
      <c r="I591" s="4">
        <v>190</v>
      </c>
      <c r="J591" s="2" t="s">
        <v>31</v>
      </c>
      <c r="K591">
        <f>H591*I591</f>
        <v>1140</v>
      </c>
      <c r="L591" t="str">
        <f t="shared" si="18"/>
        <v>Apr</v>
      </c>
      <c r="M591">
        <f t="shared" si="19"/>
        <v>4</v>
      </c>
    </row>
    <row r="592" spans="1:13" x14ac:dyDescent="0.25">
      <c r="A592" s="2" t="s">
        <v>665</v>
      </c>
      <c r="B592" s="3">
        <v>45772</v>
      </c>
      <c r="C592" s="2" t="s">
        <v>102</v>
      </c>
      <c r="D592" s="2" t="s">
        <v>102</v>
      </c>
      <c r="E592" s="2" t="s">
        <v>36</v>
      </c>
      <c r="F592" s="2" t="s">
        <v>20</v>
      </c>
      <c r="G592" s="2" t="s">
        <v>21</v>
      </c>
      <c r="H592" s="2">
        <v>3</v>
      </c>
      <c r="I592" s="4">
        <v>35</v>
      </c>
      <c r="J592" s="2" t="s">
        <v>16</v>
      </c>
      <c r="K592">
        <f>H592*I592</f>
        <v>105</v>
      </c>
      <c r="L592" t="str">
        <f t="shared" si="18"/>
        <v>Apr</v>
      </c>
      <c r="M592">
        <f t="shared" si="19"/>
        <v>4</v>
      </c>
    </row>
    <row r="593" spans="1:13" x14ac:dyDescent="0.25">
      <c r="A593" s="2" t="s">
        <v>666</v>
      </c>
      <c r="B593" s="3">
        <v>45772</v>
      </c>
      <c r="C593" s="2" t="s">
        <v>60</v>
      </c>
      <c r="D593" s="2" t="s">
        <v>61</v>
      </c>
      <c r="E593" s="2" t="s">
        <v>62</v>
      </c>
      <c r="F593" s="2" t="s">
        <v>14</v>
      </c>
      <c r="G593" s="2" t="s">
        <v>63</v>
      </c>
      <c r="H593" s="2">
        <v>2</v>
      </c>
      <c r="I593" s="4">
        <v>26</v>
      </c>
      <c r="J593" s="2" t="s">
        <v>38</v>
      </c>
      <c r="K593">
        <f>H593*I593</f>
        <v>52</v>
      </c>
      <c r="L593" t="str">
        <f t="shared" si="18"/>
        <v>Apr</v>
      </c>
      <c r="M593">
        <f t="shared" si="19"/>
        <v>4</v>
      </c>
    </row>
    <row r="594" spans="1:13" x14ac:dyDescent="0.25">
      <c r="A594" s="2" t="s">
        <v>667</v>
      </c>
      <c r="B594" s="3">
        <v>45772</v>
      </c>
      <c r="C594" s="2" t="s">
        <v>52</v>
      </c>
      <c r="D594" s="2" t="s">
        <v>30</v>
      </c>
      <c r="E594" s="2" t="s">
        <v>13</v>
      </c>
      <c r="F594" s="2" t="s">
        <v>14</v>
      </c>
      <c r="G594" s="2" t="s">
        <v>53</v>
      </c>
      <c r="H594" s="2">
        <v>1</v>
      </c>
      <c r="I594" s="4">
        <v>42</v>
      </c>
      <c r="J594" s="2" t="s">
        <v>16</v>
      </c>
      <c r="K594">
        <f>H594*I594</f>
        <v>42</v>
      </c>
      <c r="L594" t="str">
        <f t="shared" si="18"/>
        <v>Apr</v>
      </c>
      <c r="M594">
        <f t="shared" si="19"/>
        <v>4</v>
      </c>
    </row>
    <row r="595" spans="1:13" x14ac:dyDescent="0.25">
      <c r="A595" s="2" t="s">
        <v>668</v>
      </c>
      <c r="B595" s="3">
        <v>45772</v>
      </c>
      <c r="C595" s="2" t="s">
        <v>42</v>
      </c>
      <c r="D595" s="2" t="s">
        <v>43</v>
      </c>
      <c r="E595" s="2" t="s">
        <v>44</v>
      </c>
      <c r="F595" s="2" t="s">
        <v>14</v>
      </c>
      <c r="G595" s="2" t="s">
        <v>45</v>
      </c>
      <c r="H595" s="2">
        <v>4</v>
      </c>
      <c r="I595" s="4">
        <v>46</v>
      </c>
      <c r="J595" s="2" t="s">
        <v>16</v>
      </c>
      <c r="K595">
        <f>H595*I595</f>
        <v>184</v>
      </c>
      <c r="L595" t="str">
        <f t="shared" si="18"/>
        <v>Apr</v>
      </c>
      <c r="M595">
        <f t="shared" si="19"/>
        <v>4</v>
      </c>
    </row>
    <row r="596" spans="1:13" x14ac:dyDescent="0.25">
      <c r="A596" s="2" t="s">
        <v>669</v>
      </c>
      <c r="B596" s="3">
        <v>45773</v>
      </c>
      <c r="C596" s="2" t="s">
        <v>11</v>
      </c>
      <c r="D596" s="2" t="s">
        <v>12</v>
      </c>
      <c r="E596" s="2" t="s">
        <v>13</v>
      </c>
      <c r="F596" s="2" t="s">
        <v>14</v>
      </c>
      <c r="G596" s="2" t="s">
        <v>15</v>
      </c>
      <c r="H596" s="2">
        <v>1</v>
      </c>
      <c r="I596" s="4">
        <v>32</v>
      </c>
      <c r="J596" s="2" t="s">
        <v>16</v>
      </c>
      <c r="K596">
        <f>H596*I596</f>
        <v>32</v>
      </c>
      <c r="L596" t="str">
        <f t="shared" si="18"/>
        <v>Apr</v>
      </c>
      <c r="M596">
        <f t="shared" si="19"/>
        <v>4</v>
      </c>
    </row>
    <row r="597" spans="1:13" x14ac:dyDescent="0.25">
      <c r="A597" s="2" t="s">
        <v>670</v>
      </c>
      <c r="B597" s="3">
        <v>45773</v>
      </c>
      <c r="C597" s="2" t="s">
        <v>108</v>
      </c>
      <c r="D597" s="2" t="s">
        <v>109</v>
      </c>
      <c r="E597" s="2" t="s">
        <v>13</v>
      </c>
      <c r="F597" s="2" t="s">
        <v>14</v>
      </c>
      <c r="G597" s="2" t="s">
        <v>110</v>
      </c>
      <c r="H597" s="2">
        <v>1</v>
      </c>
      <c r="I597" s="4">
        <v>62</v>
      </c>
      <c r="J597" s="2" t="s">
        <v>16</v>
      </c>
      <c r="K597">
        <f>H597*I597</f>
        <v>62</v>
      </c>
      <c r="L597" t="str">
        <f t="shared" si="18"/>
        <v>Apr</v>
      </c>
      <c r="M597">
        <f t="shared" si="19"/>
        <v>4</v>
      </c>
    </row>
    <row r="598" spans="1:13" x14ac:dyDescent="0.25">
      <c r="A598" s="2" t="s">
        <v>671</v>
      </c>
      <c r="B598" s="3">
        <v>45774</v>
      </c>
      <c r="C598" s="2" t="s">
        <v>72</v>
      </c>
      <c r="D598" s="2" t="s">
        <v>68</v>
      </c>
      <c r="E598" s="2" t="s">
        <v>49</v>
      </c>
      <c r="F598" s="2" t="s">
        <v>20</v>
      </c>
      <c r="G598" s="2" t="s">
        <v>21</v>
      </c>
      <c r="H598" s="2">
        <v>1</v>
      </c>
      <c r="I598" s="4">
        <v>95</v>
      </c>
      <c r="J598" s="2" t="s">
        <v>16</v>
      </c>
      <c r="K598">
        <f>H598*I598</f>
        <v>95</v>
      </c>
      <c r="L598" t="str">
        <f t="shared" si="18"/>
        <v>Apr</v>
      </c>
      <c r="M598">
        <f t="shared" si="19"/>
        <v>4</v>
      </c>
    </row>
    <row r="599" spans="1:13" x14ac:dyDescent="0.25">
      <c r="A599" s="2" t="s">
        <v>672</v>
      </c>
      <c r="B599" s="3">
        <v>45774</v>
      </c>
      <c r="C599" s="2" t="s">
        <v>74</v>
      </c>
      <c r="D599" s="2" t="s">
        <v>75</v>
      </c>
      <c r="E599" s="2" t="s">
        <v>76</v>
      </c>
      <c r="F599" s="2" t="s">
        <v>14</v>
      </c>
      <c r="G599" s="2" t="s">
        <v>77</v>
      </c>
      <c r="H599" s="2">
        <v>2</v>
      </c>
      <c r="I599" s="4">
        <v>32</v>
      </c>
      <c r="J599" s="2" t="s">
        <v>16</v>
      </c>
      <c r="K599">
        <f>H599*I599</f>
        <v>64</v>
      </c>
      <c r="L599" t="str">
        <f t="shared" si="18"/>
        <v>Apr</v>
      </c>
      <c r="M599">
        <f t="shared" si="19"/>
        <v>4</v>
      </c>
    </row>
    <row r="600" spans="1:13" x14ac:dyDescent="0.25">
      <c r="A600" s="2" t="s">
        <v>673</v>
      </c>
      <c r="B600" s="3">
        <v>45774</v>
      </c>
      <c r="C600" s="2" t="s">
        <v>75</v>
      </c>
      <c r="D600" s="2" t="s">
        <v>75</v>
      </c>
      <c r="E600" s="2" t="s">
        <v>76</v>
      </c>
      <c r="F600" s="2" t="s">
        <v>20</v>
      </c>
      <c r="G600" s="2" t="s">
        <v>21</v>
      </c>
      <c r="H600" s="2">
        <v>3</v>
      </c>
      <c r="I600" s="4">
        <v>12</v>
      </c>
      <c r="J600" s="2" t="s">
        <v>31</v>
      </c>
      <c r="K600">
        <f>H600*I600</f>
        <v>36</v>
      </c>
      <c r="L600" t="str">
        <f t="shared" si="18"/>
        <v>Apr</v>
      </c>
      <c r="M600">
        <f t="shared" si="19"/>
        <v>4</v>
      </c>
    </row>
    <row r="601" spans="1:13" x14ac:dyDescent="0.25">
      <c r="A601" s="2" t="s">
        <v>674</v>
      </c>
      <c r="B601" s="3">
        <v>45774</v>
      </c>
      <c r="C601" s="2" t="s">
        <v>52</v>
      </c>
      <c r="D601" s="2" t="s">
        <v>30</v>
      </c>
      <c r="E601" s="2" t="s">
        <v>13</v>
      </c>
      <c r="F601" s="2" t="s">
        <v>14</v>
      </c>
      <c r="G601" s="2" t="s">
        <v>53</v>
      </c>
      <c r="H601" s="2">
        <v>2</v>
      </c>
      <c r="I601" s="4">
        <v>42</v>
      </c>
      <c r="J601" s="2" t="s">
        <v>22</v>
      </c>
      <c r="K601">
        <f>H601*I601</f>
        <v>84</v>
      </c>
      <c r="L601" t="str">
        <f t="shared" si="18"/>
        <v>Apr</v>
      </c>
      <c r="M601">
        <f t="shared" si="19"/>
        <v>4</v>
      </c>
    </row>
    <row r="602" spans="1:13" x14ac:dyDescent="0.25">
      <c r="A602" s="2" t="s">
        <v>675</v>
      </c>
      <c r="B602" s="3">
        <v>45774</v>
      </c>
      <c r="C602" s="2" t="s">
        <v>30</v>
      </c>
      <c r="D602" s="2" t="s">
        <v>30</v>
      </c>
      <c r="E602" s="2" t="s">
        <v>13</v>
      </c>
      <c r="F602" s="2" t="s">
        <v>20</v>
      </c>
      <c r="G602" s="2" t="s">
        <v>21</v>
      </c>
      <c r="H602" s="2">
        <v>2</v>
      </c>
      <c r="I602" s="4">
        <v>15</v>
      </c>
      <c r="J602" s="2" t="s">
        <v>38</v>
      </c>
      <c r="K602">
        <f>H602*I602</f>
        <v>30</v>
      </c>
      <c r="L602" t="str">
        <f t="shared" si="18"/>
        <v>Apr</v>
      </c>
      <c r="M602">
        <f t="shared" si="19"/>
        <v>4</v>
      </c>
    </row>
    <row r="603" spans="1:13" x14ac:dyDescent="0.25">
      <c r="A603" s="2" t="s">
        <v>676</v>
      </c>
      <c r="B603" s="3">
        <v>45775</v>
      </c>
      <c r="C603" s="2" t="s">
        <v>11</v>
      </c>
      <c r="D603" s="2" t="s">
        <v>12</v>
      </c>
      <c r="E603" s="2" t="s">
        <v>13</v>
      </c>
      <c r="F603" s="2" t="s">
        <v>14</v>
      </c>
      <c r="G603" s="2" t="s">
        <v>15</v>
      </c>
      <c r="H603" s="2">
        <v>3</v>
      </c>
      <c r="I603" s="4">
        <v>32</v>
      </c>
      <c r="J603" s="2" t="s">
        <v>16</v>
      </c>
      <c r="K603">
        <f>H603*I603</f>
        <v>96</v>
      </c>
      <c r="L603" t="str">
        <f t="shared" si="18"/>
        <v>Apr</v>
      </c>
      <c r="M603">
        <f t="shared" si="19"/>
        <v>4</v>
      </c>
    </row>
    <row r="604" spans="1:13" x14ac:dyDescent="0.25">
      <c r="A604" s="2" t="s">
        <v>677</v>
      </c>
      <c r="B604" s="3">
        <v>45775</v>
      </c>
      <c r="C604" s="2" t="s">
        <v>11</v>
      </c>
      <c r="D604" s="2" t="s">
        <v>12</v>
      </c>
      <c r="E604" s="2" t="s">
        <v>13</v>
      </c>
      <c r="F604" s="2" t="s">
        <v>14</v>
      </c>
      <c r="G604" s="2" t="s">
        <v>15</v>
      </c>
      <c r="H604" s="2">
        <v>5</v>
      </c>
      <c r="I604" s="4">
        <v>32</v>
      </c>
      <c r="J604" s="2" t="s">
        <v>16</v>
      </c>
      <c r="K604">
        <f>H604*I604</f>
        <v>160</v>
      </c>
      <c r="L604" t="str">
        <f t="shared" si="18"/>
        <v>Apr</v>
      </c>
      <c r="M604">
        <f t="shared" si="19"/>
        <v>4</v>
      </c>
    </row>
    <row r="605" spans="1:13" x14ac:dyDescent="0.25">
      <c r="A605" s="2" t="s">
        <v>678</v>
      </c>
      <c r="B605" s="3">
        <v>45775</v>
      </c>
      <c r="C605" s="2" t="s">
        <v>86</v>
      </c>
      <c r="D605" s="2" t="s">
        <v>48</v>
      </c>
      <c r="E605" s="2" t="s">
        <v>49</v>
      </c>
      <c r="F605" s="2" t="s">
        <v>14</v>
      </c>
      <c r="G605" s="2" t="s">
        <v>87</v>
      </c>
      <c r="H605" s="2">
        <v>3</v>
      </c>
      <c r="I605" s="4">
        <v>125</v>
      </c>
      <c r="J605" s="2" t="s">
        <v>16</v>
      </c>
      <c r="K605">
        <f>H605*I605</f>
        <v>375</v>
      </c>
      <c r="L605" t="str">
        <f t="shared" si="18"/>
        <v>Apr</v>
      </c>
      <c r="M605">
        <f t="shared" si="19"/>
        <v>4</v>
      </c>
    </row>
    <row r="606" spans="1:13" x14ac:dyDescent="0.25">
      <c r="A606" s="2" t="s">
        <v>679</v>
      </c>
      <c r="B606" s="3">
        <v>45775</v>
      </c>
      <c r="C606" s="2" t="s">
        <v>18</v>
      </c>
      <c r="D606" s="2" t="s">
        <v>18</v>
      </c>
      <c r="E606" s="2" t="s">
        <v>19</v>
      </c>
      <c r="F606" s="2" t="s">
        <v>20</v>
      </c>
      <c r="G606" s="2" t="s">
        <v>21</v>
      </c>
      <c r="H606" s="2">
        <v>12</v>
      </c>
      <c r="I606" s="4">
        <v>15</v>
      </c>
      <c r="J606" s="2" t="s">
        <v>22</v>
      </c>
      <c r="K606">
        <f>H606*I606</f>
        <v>180</v>
      </c>
      <c r="L606" t="str">
        <f t="shared" si="18"/>
        <v>Apr</v>
      </c>
      <c r="M606">
        <f t="shared" si="19"/>
        <v>4</v>
      </c>
    </row>
    <row r="607" spans="1:13" x14ac:dyDescent="0.25">
      <c r="A607" s="2" t="s">
        <v>680</v>
      </c>
      <c r="B607" s="3">
        <v>45776</v>
      </c>
      <c r="C607" s="2" t="s">
        <v>86</v>
      </c>
      <c r="D607" s="2" t="s">
        <v>48</v>
      </c>
      <c r="E607" s="2" t="s">
        <v>49</v>
      </c>
      <c r="F607" s="2" t="s">
        <v>14</v>
      </c>
      <c r="G607" s="2" t="s">
        <v>87</v>
      </c>
      <c r="H607" s="2">
        <v>5</v>
      </c>
      <c r="I607" s="4">
        <v>125</v>
      </c>
      <c r="J607" s="2" t="s">
        <v>22</v>
      </c>
      <c r="K607">
        <f>H607*I607</f>
        <v>625</v>
      </c>
      <c r="L607" t="str">
        <f t="shared" si="18"/>
        <v>Apr</v>
      </c>
      <c r="M607">
        <f t="shared" si="19"/>
        <v>4</v>
      </c>
    </row>
    <row r="608" spans="1:13" x14ac:dyDescent="0.25">
      <c r="A608" s="2" t="s">
        <v>681</v>
      </c>
      <c r="B608" s="3">
        <v>45776</v>
      </c>
      <c r="C608" s="2" t="s">
        <v>61</v>
      </c>
      <c r="D608" s="2" t="s">
        <v>61</v>
      </c>
      <c r="E608" s="2" t="s">
        <v>62</v>
      </c>
      <c r="F608" s="2" t="s">
        <v>20</v>
      </c>
      <c r="G608" s="2" t="s">
        <v>21</v>
      </c>
      <c r="H608" s="2">
        <v>4</v>
      </c>
      <c r="I608" s="4">
        <v>8</v>
      </c>
      <c r="J608" s="2" t="s">
        <v>38</v>
      </c>
      <c r="K608">
        <f>H608*I608</f>
        <v>32</v>
      </c>
      <c r="L608" t="str">
        <f t="shared" si="18"/>
        <v>Apr</v>
      </c>
      <c r="M608">
        <f t="shared" si="19"/>
        <v>4</v>
      </c>
    </row>
    <row r="609" spans="1:13" x14ac:dyDescent="0.25">
      <c r="A609" s="2" t="s">
        <v>682</v>
      </c>
      <c r="B609" s="3">
        <v>45777</v>
      </c>
      <c r="C609" s="2" t="s">
        <v>86</v>
      </c>
      <c r="D609" s="2" t="s">
        <v>48</v>
      </c>
      <c r="E609" s="2" t="s">
        <v>49</v>
      </c>
      <c r="F609" s="2" t="s">
        <v>14</v>
      </c>
      <c r="G609" s="2" t="s">
        <v>87</v>
      </c>
      <c r="H609" s="2">
        <v>5</v>
      </c>
      <c r="I609" s="4">
        <v>125</v>
      </c>
      <c r="J609" s="2" t="s">
        <v>31</v>
      </c>
      <c r="K609">
        <f>H609*I609</f>
        <v>625</v>
      </c>
      <c r="L609" t="str">
        <f t="shared" si="18"/>
        <v>Apr</v>
      </c>
      <c r="M609">
        <f t="shared" si="19"/>
        <v>4</v>
      </c>
    </row>
    <row r="610" spans="1:13" x14ac:dyDescent="0.25">
      <c r="A610" s="2" t="s">
        <v>683</v>
      </c>
      <c r="B610" s="3">
        <v>45777</v>
      </c>
      <c r="C610" s="2" t="s">
        <v>48</v>
      </c>
      <c r="D610" s="2" t="s">
        <v>48</v>
      </c>
      <c r="E610" s="2" t="s">
        <v>49</v>
      </c>
      <c r="F610" s="2" t="s">
        <v>20</v>
      </c>
      <c r="G610" s="2" t="s">
        <v>21</v>
      </c>
      <c r="H610" s="2">
        <v>1</v>
      </c>
      <c r="I610" s="4">
        <v>55</v>
      </c>
      <c r="J610" s="2" t="s">
        <v>38</v>
      </c>
      <c r="K610">
        <f>H610*I610</f>
        <v>55</v>
      </c>
      <c r="L610" t="str">
        <f t="shared" si="18"/>
        <v>Apr</v>
      </c>
      <c r="M610">
        <f t="shared" si="19"/>
        <v>4</v>
      </c>
    </row>
    <row r="611" spans="1:13" x14ac:dyDescent="0.25">
      <c r="A611" s="2" t="s">
        <v>684</v>
      </c>
      <c r="B611" s="3">
        <v>45777</v>
      </c>
      <c r="C611" s="2" t="s">
        <v>79</v>
      </c>
      <c r="D611" s="2" t="s">
        <v>80</v>
      </c>
      <c r="E611" s="2" t="s">
        <v>26</v>
      </c>
      <c r="F611" s="2" t="s">
        <v>14</v>
      </c>
      <c r="G611" s="2" t="s">
        <v>81</v>
      </c>
      <c r="H611" s="2">
        <v>2</v>
      </c>
      <c r="I611" s="4">
        <v>152</v>
      </c>
      <c r="J611" s="2" t="s">
        <v>31</v>
      </c>
      <c r="K611">
        <f>H611*I611</f>
        <v>304</v>
      </c>
      <c r="L611" t="str">
        <f t="shared" si="18"/>
        <v>Apr</v>
      </c>
      <c r="M611">
        <f t="shared" si="19"/>
        <v>4</v>
      </c>
    </row>
    <row r="612" spans="1:13" x14ac:dyDescent="0.25">
      <c r="A612" s="2" t="s">
        <v>685</v>
      </c>
      <c r="B612" s="3">
        <v>45777</v>
      </c>
      <c r="C612" s="2" t="s">
        <v>80</v>
      </c>
      <c r="D612" s="2" t="s">
        <v>80</v>
      </c>
      <c r="E612" s="2" t="s">
        <v>26</v>
      </c>
      <c r="F612" s="2" t="s">
        <v>20</v>
      </c>
      <c r="G612" s="2" t="s">
        <v>21</v>
      </c>
      <c r="H612" s="2">
        <v>1</v>
      </c>
      <c r="I612" s="4">
        <v>50</v>
      </c>
      <c r="J612" s="2" t="s">
        <v>22</v>
      </c>
      <c r="K612">
        <f>H612*I612</f>
        <v>50</v>
      </c>
      <c r="L612" t="str">
        <f t="shared" si="18"/>
        <v>Apr</v>
      </c>
      <c r="M612">
        <f t="shared" si="19"/>
        <v>4</v>
      </c>
    </row>
    <row r="613" spans="1:13" x14ac:dyDescent="0.25">
      <c r="A613" s="2" t="s">
        <v>686</v>
      </c>
      <c r="B613" s="3">
        <v>45777</v>
      </c>
      <c r="C613" s="2" t="s">
        <v>80</v>
      </c>
      <c r="D613" s="2" t="s">
        <v>80</v>
      </c>
      <c r="E613" s="2" t="s">
        <v>26</v>
      </c>
      <c r="F613" s="2" t="s">
        <v>20</v>
      </c>
      <c r="G613" s="2" t="s">
        <v>21</v>
      </c>
      <c r="H613" s="2">
        <v>5</v>
      </c>
      <c r="I613" s="4">
        <v>50</v>
      </c>
      <c r="J613" s="2" t="s">
        <v>22</v>
      </c>
      <c r="K613">
        <f>H613*I613</f>
        <v>250</v>
      </c>
      <c r="L613" t="str">
        <f t="shared" si="18"/>
        <v>Apr</v>
      </c>
      <c r="M613">
        <f t="shared" si="19"/>
        <v>4</v>
      </c>
    </row>
    <row r="614" spans="1:13" x14ac:dyDescent="0.25">
      <c r="A614" s="2" t="s">
        <v>687</v>
      </c>
      <c r="B614" s="3">
        <v>45777</v>
      </c>
      <c r="C614" s="2" t="s">
        <v>42</v>
      </c>
      <c r="D614" s="2" t="s">
        <v>43</v>
      </c>
      <c r="E614" s="2" t="s">
        <v>44</v>
      </c>
      <c r="F614" s="2" t="s">
        <v>14</v>
      </c>
      <c r="G614" s="2" t="s">
        <v>45</v>
      </c>
      <c r="H614" s="2">
        <v>1</v>
      </c>
      <c r="I614" s="4">
        <v>46</v>
      </c>
      <c r="J614" s="2" t="s">
        <v>31</v>
      </c>
      <c r="K614">
        <f>H614*I614</f>
        <v>46</v>
      </c>
      <c r="L614" t="str">
        <f t="shared" si="18"/>
        <v>Apr</v>
      </c>
      <c r="M614">
        <f t="shared" si="19"/>
        <v>4</v>
      </c>
    </row>
    <row r="615" spans="1:13" x14ac:dyDescent="0.25">
      <c r="A615" s="2" t="s">
        <v>688</v>
      </c>
      <c r="B615" s="3">
        <v>45777</v>
      </c>
      <c r="C615" s="2" t="s">
        <v>43</v>
      </c>
      <c r="D615" s="2" t="s">
        <v>43</v>
      </c>
      <c r="E615" s="2" t="s">
        <v>44</v>
      </c>
      <c r="F615" s="2" t="s">
        <v>20</v>
      </c>
      <c r="G615" s="2" t="s">
        <v>21</v>
      </c>
      <c r="H615" s="2">
        <v>4</v>
      </c>
      <c r="I615" s="4">
        <v>18</v>
      </c>
      <c r="J615" s="2" t="s">
        <v>31</v>
      </c>
      <c r="K615">
        <f>H615*I615</f>
        <v>72</v>
      </c>
      <c r="L615" t="str">
        <f t="shared" si="18"/>
        <v>Apr</v>
      </c>
      <c r="M615">
        <f t="shared" si="19"/>
        <v>4</v>
      </c>
    </row>
    <row r="616" spans="1:13" x14ac:dyDescent="0.25">
      <c r="A616" s="2" t="s">
        <v>689</v>
      </c>
      <c r="B616" s="3">
        <v>45778</v>
      </c>
      <c r="C616" s="2" t="s">
        <v>119</v>
      </c>
      <c r="D616" s="2" t="s">
        <v>120</v>
      </c>
      <c r="E616" s="2" t="s">
        <v>76</v>
      </c>
      <c r="F616" s="2" t="s">
        <v>14</v>
      </c>
      <c r="G616" s="2" t="s">
        <v>121</v>
      </c>
      <c r="H616" s="2">
        <v>6</v>
      </c>
      <c r="I616" s="4">
        <v>190</v>
      </c>
      <c r="J616" s="2" t="s">
        <v>16</v>
      </c>
      <c r="K616">
        <f>H616*I616</f>
        <v>1140</v>
      </c>
      <c r="L616" t="str">
        <f t="shared" si="18"/>
        <v>May</v>
      </c>
      <c r="M616">
        <f t="shared" si="19"/>
        <v>5</v>
      </c>
    </row>
    <row r="617" spans="1:13" x14ac:dyDescent="0.25">
      <c r="A617" s="2" t="s">
        <v>690</v>
      </c>
      <c r="B617" s="3">
        <v>45778</v>
      </c>
      <c r="C617" s="2" t="s">
        <v>79</v>
      </c>
      <c r="D617" s="2" t="s">
        <v>80</v>
      </c>
      <c r="E617" s="2" t="s">
        <v>26</v>
      </c>
      <c r="F617" s="2" t="s">
        <v>14</v>
      </c>
      <c r="G617" s="2" t="s">
        <v>81</v>
      </c>
      <c r="H617" s="2">
        <v>4</v>
      </c>
      <c r="I617" s="4">
        <v>152</v>
      </c>
      <c r="J617" s="2" t="s">
        <v>38</v>
      </c>
      <c r="K617">
        <f>H617*I617</f>
        <v>608</v>
      </c>
      <c r="L617" t="str">
        <f t="shared" si="18"/>
        <v>May</v>
      </c>
      <c r="M617">
        <f t="shared" si="19"/>
        <v>5</v>
      </c>
    </row>
    <row r="618" spans="1:13" x14ac:dyDescent="0.25">
      <c r="A618" s="2" t="s">
        <v>691</v>
      </c>
      <c r="B618" s="3">
        <v>45778</v>
      </c>
      <c r="C618" s="2" t="s">
        <v>97</v>
      </c>
      <c r="D618" s="2" t="s">
        <v>98</v>
      </c>
      <c r="E618" s="2" t="s">
        <v>99</v>
      </c>
      <c r="F618" s="2" t="s">
        <v>14</v>
      </c>
      <c r="G618" s="2" t="s">
        <v>37</v>
      </c>
      <c r="H618" s="2">
        <v>3</v>
      </c>
      <c r="I618" s="4">
        <v>182</v>
      </c>
      <c r="J618" s="2" t="s">
        <v>31</v>
      </c>
      <c r="K618">
        <f>H618*I618</f>
        <v>546</v>
      </c>
      <c r="L618" t="str">
        <f t="shared" si="18"/>
        <v>May</v>
      </c>
      <c r="M618">
        <f t="shared" si="19"/>
        <v>5</v>
      </c>
    </row>
    <row r="619" spans="1:13" x14ac:dyDescent="0.25">
      <c r="A619" s="2" t="s">
        <v>692</v>
      </c>
      <c r="B619" s="3">
        <v>45779</v>
      </c>
      <c r="C619" s="2" t="s">
        <v>11</v>
      </c>
      <c r="D619" s="2" t="s">
        <v>12</v>
      </c>
      <c r="E619" s="2" t="s">
        <v>13</v>
      </c>
      <c r="F619" s="2" t="s">
        <v>14</v>
      </c>
      <c r="G619" s="2" t="s">
        <v>15</v>
      </c>
      <c r="H619" s="2">
        <v>4</v>
      </c>
      <c r="I619" s="4">
        <v>32</v>
      </c>
      <c r="J619" s="2" t="s">
        <v>16</v>
      </c>
      <c r="K619">
        <f>H619*I619</f>
        <v>128</v>
      </c>
      <c r="L619" t="str">
        <f t="shared" si="18"/>
        <v>May</v>
      </c>
      <c r="M619">
        <f t="shared" si="19"/>
        <v>5</v>
      </c>
    </row>
    <row r="620" spans="1:13" x14ac:dyDescent="0.25">
      <c r="A620" s="2" t="s">
        <v>693</v>
      </c>
      <c r="B620" s="3">
        <v>45779</v>
      </c>
      <c r="C620" s="2" t="s">
        <v>12</v>
      </c>
      <c r="D620" s="2" t="s">
        <v>12</v>
      </c>
      <c r="E620" s="2" t="s">
        <v>13</v>
      </c>
      <c r="F620" s="2" t="s">
        <v>20</v>
      </c>
      <c r="G620" s="2" t="s">
        <v>21</v>
      </c>
      <c r="H620" s="2">
        <v>1</v>
      </c>
      <c r="I620" s="4">
        <v>14</v>
      </c>
      <c r="J620" s="2" t="s">
        <v>22</v>
      </c>
      <c r="K620">
        <f>H620*I620</f>
        <v>14</v>
      </c>
      <c r="L620" t="str">
        <f t="shared" si="18"/>
        <v>May</v>
      </c>
      <c r="M620">
        <f t="shared" si="19"/>
        <v>5</v>
      </c>
    </row>
    <row r="621" spans="1:13" x14ac:dyDescent="0.25">
      <c r="A621" s="2" t="s">
        <v>694</v>
      </c>
      <c r="B621" s="3">
        <v>45779</v>
      </c>
      <c r="C621" s="2" t="s">
        <v>102</v>
      </c>
      <c r="D621" s="2" t="s">
        <v>102</v>
      </c>
      <c r="E621" s="2" t="s">
        <v>36</v>
      </c>
      <c r="F621" s="2" t="s">
        <v>20</v>
      </c>
      <c r="G621" s="2" t="s">
        <v>21</v>
      </c>
      <c r="H621" s="2">
        <v>2</v>
      </c>
      <c r="I621" s="4">
        <v>35</v>
      </c>
      <c r="J621" s="2" t="s">
        <v>38</v>
      </c>
      <c r="K621">
        <f>H621*I621</f>
        <v>70</v>
      </c>
      <c r="L621" t="str">
        <f t="shared" si="18"/>
        <v>May</v>
      </c>
      <c r="M621">
        <f t="shared" si="19"/>
        <v>5</v>
      </c>
    </row>
    <row r="622" spans="1:13" x14ac:dyDescent="0.25">
      <c r="A622" s="2" t="s">
        <v>695</v>
      </c>
      <c r="B622" s="3">
        <v>45780</v>
      </c>
      <c r="C622" s="2" t="s">
        <v>11</v>
      </c>
      <c r="D622" s="2" t="s">
        <v>12</v>
      </c>
      <c r="E622" s="2" t="s">
        <v>13</v>
      </c>
      <c r="F622" s="2" t="s">
        <v>14</v>
      </c>
      <c r="G622" s="2" t="s">
        <v>15</v>
      </c>
      <c r="H622" s="2">
        <v>1</v>
      </c>
      <c r="I622" s="4">
        <v>32</v>
      </c>
      <c r="J622" s="2" t="s">
        <v>31</v>
      </c>
      <c r="K622">
        <f>H622*I622</f>
        <v>32</v>
      </c>
      <c r="L622" t="str">
        <f t="shared" si="18"/>
        <v>May</v>
      </c>
      <c r="M622">
        <f t="shared" si="19"/>
        <v>5</v>
      </c>
    </row>
    <row r="623" spans="1:13" x14ac:dyDescent="0.25">
      <c r="A623" s="2" t="s">
        <v>696</v>
      </c>
      <c r="B623" s="3">
        <v>45780</v>
      </c>
      <c r="C623" s="2" t="s">
        <v>48</v>
      </c>
      <c r="D623" s="2" t="s">
        <v>48</v>
      </c>
      <c r="E623" s="2" t="s">
        <v>49</v>
      </c>
      <c r="F623" s="2" t="s">
        <v>20</v>
      </c>
      <c r="G623" s="2" t="s">
        <v>21</v>
      </c>
      <c r="H623" s="2">
        <v>2</v>
      </c>
      <c r="I623" s="4">
        <v>55</v>
      </c>
      <c r="J623" s="2" t="s">
        <v>16</v>
      </c>
      <c r="K623">
        <f>H623*I623</f>
        <v>110</v>
      </c>
      <c r="L623" t="str">
        <f t="shared" si="18"/>
        <v>May</v>
      </c>
      <c r="M623">
        <f t="shared" si="19"/>
        <v>5</v>
      </c>
    </row>
    <row r="624" spans="1:13" x14ac:dyDescent="0.25">
      <c r="A624" s="2" t="s">
        <v>697</v>
      </c>
      <c r="B624" s="3">
        <v>45780</v>
      </c>
      <c r="C624" s="2" t="s">
        <v>35</v>
      </c>
      <c r="D624" s="2" t="s">
        <v>35</v>
      </c>
      <c r="E624" s="2" t="s">
        <v>36</v>
      </c>
      <c r="F624" s="2" t="s">
        <v>20</v>
      </c>
      <c r="G624" s="2" t="s">
        <v>21</v>
      </c>
      <c r="H624" s="2">
        <v>6</v>
      </c>
      <c r="I624" s="4">
        <v>58</v>
      </c>
      <c r="J624" s="2" t="s">
        <v>31</v>
      </c>
      <c r="K624">
        <f>H624*I624</f>
        <v>348</v>
      </c>
      <c r="L624" t="str">
        <f t="shared" si="18"/>
        <v>May</v>
      </c>
      <c r="M624">
        <f t="shared" si="19"/>
        <v>5</v>
      </c>
    </row>
    <row r="625" spans="1:13" x14ac:dyDescent="0.25">
      <c r="A625" s="2" t="s">
        <v>698</v>
      </c>
      <c r="B625" s="3">
        <v>45780</v>
      </c>
      <c r="C625" s="2" t="s">
        <v>30</v>
      </c>
      <c r="D625" s="2" t="s">
        <v>30</v>
      </c>
      <c r="E625" s="2" t="s">
        <v>13</v>
      </c>
      <c r="F625" s="2" t="s">
        <v>20</v>
      </c>
      <c r="G625" s="2" t="s">
        <v>21</v>
      </c>
      <c r="H625" s="2">
        <v>1</v>
      </c>
      <c r="I625" s="4">
        <v>15</v>
      </c>
      <c r="J625" s="2" t="s">
        <v>16</v>
      </c>
      <c r="K625">
        <f>H625*I625</f>
        <v>15</v>
      </c>
      <c r="L625" t="str">
        <f t="shared" si="18"/>
        <v>May</v>
      </c>
      <c r="M625">
        <f t="shared" si="19"/>
        <v>5</v>
      </c>
    </row>
    <row r="626" spans="1:13" x14ac:dyDescent="0.25">
      <c r="A626" s="2" t="s">
        <v>699</v>
      </c>
      <c r="B626" s="3">
        <v>45780</v>
      </c>
      <c r="C626" s="2" t="s">
        <v>109</v>
      </c>
      <c r="D626" s="2" t="s">
        <v>109</v>
      </c>
      <c r="E626" s="2" t="s">
        <v>13</v>
      </c>
      <c r="F626" s="2" t="s">
        <v>20</v>
      </c>
      <c r="G626" s="2" t="s">
        <v>21</v>
      </c>
      <c r="H626" s="2">
        <v>1</v>
      </c>
      <c r="I626" s="4">
        <v>20</v>
      </c>
      <c r="J626" s="2" t="s">
        <v>31</v>
      </c>
      <c r="K626">
        <f>H626*I626</f>
        <v>20</v>
      </c>
      <c r="L626" t="str">
        <f t="shared" si="18"/>
        <v>May</v>
      </c>
      <c r="M626">
        <f t="shared" si="19"/>
        <v>5</v>
      </c>
    </row>
    <row r="627" spans="1:13" x14ac:dyDescent="0.25">
      <c r="A627" s="2" t="s">
        <v>700</v>
      </c>
      <c r="B627" s="3">
        <v>45781</v>
      </c>
      <c r="C627" s="2" t="s">
        <v>18</v>
      </c>
      <c r="D627" s="2" t="s">
        <v>18</v>
      </c>
      <c r="E627" s="2" t="s">
        <v>19</v>
      </c>
      <c r="F627" s="2" t="s">
        <v>20</v>
      </c>
      <c r="G627" s="2" t="s">
        <v>21</v>
      </c>
      <c r="H627" s="2">
        <v>1</v>
      </c>
      <c r="I627" s="4">
        <v>15</v>
      </c>
      <c r="J627" s="2" t="s">
        <v>16</v>
      </c>
      <c r="K627">
        <f>H627*I627</f>
        <v>15</v>
      </c>
      <c r="L627" t="str">
        <f t="shared" si="18"/>
        <v>May</v>
      </c>
      <c r="M627">
        <f t="shared" si="19"/>
        <v>5</v>
      </c>
    </row>
    <row r="628" spans="1:13" x14ac:dyDescent="0.25">
      <c r="A628" s="2" t="s">
        <v>701</v>
      </c>
      <c r="B628" s="3">
        <v>45781</v>
      </c>
      <c r="C628" s="2" t="s">
        <v>60</v>
      </c>
      <c r="D628" s="2" t="s">
        <v>61</v>
      </c>
      <c r="E628" s="2" t="s">
        <v>62</v>
      </c>
      <c r="F628" s="2" t="s">
        <v>14</v>
      </c>
      <c r="G628" s="2" t="s">
        <v>63</v>
      </c>
      <c r="H628" s="2">
        <v>1</v>
      </c>
      <c r="I628" s="4">
        <v>26</v>
      </c>
      <c r="J628" s="2" t="s">
        <v>16</v>
      </c>
      <c r="K628">
        <f>H628*I628</f>
        <v>26</v>
      </c>
      <c r="L628" t="str">
        <f t="shared" si="18"/>
        <v>May</v>
      </c>
      <c r="M628">
        <f t="shared" si="19"/>
        <v>5</v>
      </c>
    </row>
    <row r="629" spans="1:13" x14ac:dyDescent="0.25">
      <c r="A629" s="2" t="s">
        <v>702</v>
      </c>
      <c r="B629" s="3">
        <v>45781</v>
      </c>
      <c r="C629" s="2" t="s">
        <v>30</v>
      </c>
      <c r="D629" s="2" t="s">
        <v>30</v>
      </c>
      <c r="E629" s="2" t="s">
        <v>13</v>
      </c>
      <c r="F629" s="2" t="s">
        <v>20</v>
      </c>
      <c r="G629" s="2" t="s">
        <v>21</v>
      </c>
      <c r="H629" s="2">
        <v>2</v>
      </c>
      <c r="I629" s="4">
        <v>15</v>
      </c>
      <c r="J629" s="2" t="s">
        <v>16</v>
      </c>
      <c r="K629">
        <f>H629*I629</f>
        <v>30</v>
      </c>
      <c r="L629" t="str">
        <f t="shared" si="18"/>
        <v>May</v>
      </c>
      <c r="M629">
        <f t="shared" si="19"/>
        <v>5</v>
      </c>
    </row>
    <row r="630" spans="1:13" x14ac:dyDescent="0.25">
      <c r="A630" s="2" t="s">
        <v>703</v>
      </c>
      <c r="B630" s="3">
        <v>45781</v>
      </c>
      <c r="C630" s="2" t="s">
        <v>42</v>
      </c>
      <c r="D630" s="2" t="s">
        <v>43</v>
      </c>
      <c r="E630" s="2" t="s">
        <v>44</v>
      </c>
      <c r="F630" s="2" t="s">
        <v>14</v>
      </c>
      <c r="G630" s="2" t="s">
        <v>45</v>
      </c>
      <c r="H630" s="2">
        <v>1</v>
      </c>
      <c r="I630" s="4">
        <v>46</v>
      </c>
      <c r="J630" s="2" t="s">
        <v>22</v>
      </c>
      <c r="K630">
        <f>H630*I630</f>
        <v>46</v>
      </c>
      <c r="L630" t="str">
        <f t="shared" si="18"/>
        <v>May</v>
      </c>
      <c r="M630">
        <f t="shared" si="19"/>
        <v>5</v>
      </c>
    </row>
    <row r="631" spans="1:13" x14ac:dyDescent="0.25">
      <c r="A631" s="2" t="s">
        <v>704</v>
      </c>
      <c r="B631" s="3">
        <v>45782</v>
      </c>
      <c r="C631" s="2" t="s">
        <v>74</v>
      </c>
      <c r="D631" s="2" t="s">
        <v>75</v>
      </c>
      <c r="E631" s="2" t="s">
        <v>76</v>
      </c>
      <c r="F631" s="2" t="s">
        <v>14</v>
      </c>
      <c r="G631" s="2" t="s">
        <v>77</v>
      </c>
      <c r="H631" s="2">
        <v>1</v>
      </c>
      <c r="I631" s="4">
        <v>32</v>
      </c>
      <c r="J631" s="2" t="s">
        <v>38</v>
      </c>
      <c r="K631">
        <f>H631*I631</f>
        <v>32</v>
      </c>
      <c r="L631" t="str">
        <f t="shared" si="18"/>
        <v>May</v>
      </c>
      <c r="M631">
        <f t="shared" si="19"/>
        <v>5</v>
      </c>
    </row>
    <row r="632" spans="1:13" x14ac:dyDescent="0.25">
      <c r="A632" s="2" t="s">
        <v>705</v>
      </c>
      <c r="B632" s="3">
        <v>45782</v>
      </c>
      <c r="C632" s="2" t="s">
        <v>75</v>
      </c>
      <c r="D632" s="2" t="s">
        <v>75</v>
      </c>
      <c r="E632" s="2" t="s">
        <v>76</v>
      </c>
      <c r="F632" s="2" t="s">
        <v>20</v>
      </c>
      <c r="G632" s="2" t="s">
        <v>21</v>
      </c>
      <c r="H632" s="2">
        <v>6</v>
      </c>
      <c r="I632" s="4">
        <v>12</v>
      </c>
      <c r="J632" s="2" t="s">
        <v>22</v>
      </c>
      <c r="K632">
        <f>H632*I632</f>
        <v>72</v>
      </c>
      <c r="L632" t="str">
        <f t="shared" si="18"/>
        <v>May</v>
      </c>
      <c r="M632">
        <f t="shared" si="19"/>
        <v>5</v>
      </c>
    </row>
    <row r="633" spans="1:13" x14ac:dyDescent="0.25">
      <c r="A633" s="2" t="s">
        <v>706</v>
      </c>
      <c r="B633" s="3">
        <v>45782</v>
      </c>
      <c r="C633" s="2" t="s">
        <v>75</v>
      </c>
      <c r="D633" s="2" t="s">
        <v>75</v>
      </c>
      <c r="E633" s="2" t="s">
        <v>76</v>
      </c>
      <c r="F633" s="2" t="s">
        <v>20</v>
      </c>
      <c r="G633" s="2" t="s">
        <v>21</v>
      </c>
      <c r="H633" s="2">
        <v>1</v>
      </c>
      <c r="I633" s="4">
        <v>12</v>
      </c>
      <c r="J633" s="2" t="s">
        <v>16</v>
      </c>
      <c r="K633">
        <f>H633*I633</f>
        <v>12</v>
      </c>
      <c r="L633" t="str">
        <f t="shared" si="18"/>
        <v>May</v>
      </c>
      <c r="M633">
        <f t="shared" si="19"/>
        <v>5</v>
      </c>
    </row>
    <row r="634" spans="1:13" x14ac:dyDescent="0.25">
      <c r="A634" s="2" t="s">
        <v>707</v>
      </c>
      <c r="B634" s="3">
        <v>45782</v>
      </c>
      <c r="C634" s="2" t="s">
        <v>120</v>
      </c>
      <c r="D634" s="2" t="s">
        <v>120</v>
      </c>
      <c r="E634" s="2" t="s">
        <v>76</v>
      </c>
      <c r="F634" s="2" t="s">
        <v>20</v>
      </c>
      <c r="G634" s="2" t="s">
        <v>21</v>
      </c>
      <c r="H634" s="2">
        <v>1</v>
      </c>
      <c r="I634" s="4">
        <v>42</v>
      </c>
      <c r="J634" s="2" t="s">
        <v>38</v>
      </c>
      <c r="K634">
        <f>H634*I634</f>
        <v>42</v>
      </c>
      <c r="L634" t="str">
        <f t="shared" si="18"/>
        <v>May</v>
      </c>
      <c r="M634">
        <f t="shared" si="19"/>
        <v>5</v>
      </c>
    </row>
    <row r="635" spans="1:13" x14ac:dyDescent="0.25">
      <c r="A635" s="2" t="s">
        <v>708</v>
      </c>
      <c r="B635" s="3">
        <v>45782</v>
      </c>
      <c r="C635" s="2" t="s">
        <v>18</v>
      </c>
      <c r="D635" s="2" t="s">
        <v>18</v>
      </c>
      <c r="E635" s="2" t="s">
        <v>19</v>
      </c>
      <c r="F635" s="2" t="s">
        <v>20</v>
      </c>
      <c r="G635" s="2" t="s">
        <v>21</v>
      </c>
      <c r="H635" s="2">
        <v>6</v>
      </c>
      <c r="I635" s="4">
        <v>15</v>
      </c>
      <c r="J635" s="2" t="s">
        <v>16</v>
      </c>
      <c r="K635">
        <f>H635*I635</f>
        <v>90</v>
      </c>
      <c r="L635" t="str">
        <f t="shared" si="18"/>
        <v>May</v>
      </c>
      <c r="M635">
        <f t="shared" si="19"/>
        <v>5</v>
      </c>
    </row>
    <row r="636" spans="1:13" x14ac:dyDescent="0.25">
      <c r="A636" s="2" t="s">
        <v>709</v>
      </c>
      <c r="B636" s="3">
        <v>45782</v>
      </c>
      <c r="C636" s="2" t="s">
        <v>42</v>
      </c>
      <c r="D636" s="2" t="s">
        <v>43</v>
      </c>
      <c r="E636" s="2" t="s">
        <v>44</v>
      </c>
      <c r="F636" s="2" t="s">
        <v>14</v>
      </c>
      <c r="G636" s="2" t="s">
        <v>45</v>
      </c>
      <c r="H636" s="2">
        <v>4</v>
      </c>
      <c r="I636" s="4">
        <v>46</v>
      </c>
      <c r="J636" s="2" t="s">
        <v>38</v>
      </c>
      <c r="K636">
        <f>H636*I636</f>
        <v>184</v>
      </c>
      <c r="L636" t="str">
        <f t="shared" si="18"/>
        <v>May</v>
      </c>
      <c r="M636">
        <f t="shared" si="19"/>
        <v>5</v>
      </c>
    </row>
    <row r="637" spans="1:13" x14ac:dyDescent="0.25">
      <c r="A637" s="2" t="s">
        <v>710</v>
      </c>
      <c r="B637" s="3">
        <v>45782</v>
      </c>
      <c r="C637" s="2" t="s">
        <v>42</v>
      </c>
      <c r="D637" s="2" t="s">
        <v>43</v>
      </c>
      <c r="E637" s="2" t="s">
        <v>44</v>
      </c>
      <c r="F637" s="2" t="s">
        <v>14</v>
      </c>
      <c r="G637" s="2" t="s">
        <v>45</v>
      </c>
      <c r="H637" s="2">
        <v>4</v>
      </c>
      <c r="I637" s="4">
        <v>46</v>
      </c>
      <c r="J637" s="2" t="s">
        <v>16</v>
      </c>
      <c r="K637">
        <f>H637*I637</f>
        <v>184</v>
      </c>
      <c r="L637" t="str">
        <f t="shared" si="18"/>
        <v>May</v>
      </c>
      <c r="M637">
        <f t="shared" si="19"/>
        <v>5</v>
      </c>
    </row>
    <row r="638" spans="1:13" x14ac:dyDescent="0.25">
      <c r="A638" s="2" t="s">
        <v>711</v>
      </c>
      <c r="B638" s="3">
        <v>45783</v>
      </c>
      <c r="C638" s="2" t="s">
        <v>18</v>
      </c>
      <c r="D638" s="2" t="s">
        <v>18</v>
      </c>
      <c r="E638" s="2" t="s">
        <v>19</v>
      </c>
      <c r="F638" s="2" t="s">
        <v>20</v>
      </c>
      <c r="G638" s="2" t="s">
        <v>21</v>
      </c>
      <c r="H638" s="2">
        <v>3</v>
      </c>
      <c r="I638" s="4">
        <v>15</v>
      </c>
      <c r="J638" s="2" t="s">
        <v>38</v>
      </c>
      <c r="K638">
        <f>H638*I638</f>
        <v>45</v>
      </c>
      <c r="L638" t="str">
        <f t="shared" si="18"/>
        <v>May</v>
      </c>
      <c r="M638">
        <f t="shared" si="19"/>
        <v>5</v>
      </c>
    </row>
    <row r="639" spans="1:13" x14ac:dyDescent="0.25">
      <c r="A639" s="2" t="s">
        <v>712</v>
      </c>
      <c r="B639" s="3">
        <v>45783</v>
      </c>
      <c r="C639" s="2" t="s">
        <v>190</v>
      </c>
      <c r="D639" s="2" t="s">
        <v>40</v>
      </c>
      <c r="E639" s="2" t="s">
        <v>19</v>
      </c>
      <c r="F639" s="2" t="s">
        <v>14</v>
      </c>
      <c r="G639" s="2" t="s">
        <v>191</v>
      </c>
      <c r="H639" s="2">
        <v>1</v>
      </c>
      <c r="I639" s="4">
        <v>142</v>
      </c>
      <c r="J639" s="2" t="s">
        <v>16</v>
      </c>
      <c r="K639">
        <f>H639*I639</f>
        <v>142</v>
      </c>
      <c r="L639" t="str">
        <f t="shared" si="18"/>
        <v>May</v>
      </c>
      <c r="M639">
        <f t="shared" si="19"/>
        <v>5</v>
      </c>
    </row>
    <row r="640" spans="1:13" x14ac:dyDescent="0.25">
      <c r="A640" s="2" t="s">
        <v>713</v>
      </c>
      <c r="B640" s="3">
        <v>45783</v>
      </c>
      <c r="C640" s="2" t="s">
        <v>79</v>
      </c>
      <c r="D640" s="2" t="s">
        <v>80</v>
      </c>
      <c r="E640" s="2" t="s">
        <v>26</v>
      </c>
      <c r="F640" s="2" t="s">
        <v>14</v>
      </c>
      <c r="G640" s="2" t="s">
        <v>81</v>
      </c>
      <c r="H640" s="2">
        <v>4</v>
      </c>
      <c r="I640" s="4">
        <v>152</v>
      </c>
      <c r="J640" s="2" t="s">
        <v>16</v>
      </c>
      <c r="K640">
        <f>H640*I640</f>
        <v>608</v>
      </c>
      <c r="L640" t="str">
        <f t="shared" si="18"/>
        <v>May</v>
      </c>
      <c r="M640">
        <f t="shared" si="19"/>
        <v>5</v>
      </c>
    </row>
    <row r="641" spans="1:13" x14ac:dyDescent="0.25">
      <c r="A641" s="2" t="s">
        <v>714</v>
      </c>
      <c r="B641" s="3">
        <v>45783</v>
      </c>
      <c r="C641" s="2" t="s">
        <v>80</v>
      </c>
      <c r="D641" s="2" t="s">
        <v>80</v>
      </c>
      <c r="E641" s="2" t="s">
        <v>26</v>
      </c>
      <c r="F641" s="2" t="s">
        <v>20</v>
      </c>
      <c r="G641" s="2" t="s">
        <v>21</v>
      </c>
      <c r="H641" s="2">
        <v>1</v>
      </c>
      <c r="I641" s="4">
        <v>50</v>
      </c>
      <c r="J641" s="2" t="s">
        <v>16</v>
      </c>
      <c r="K641">
        <f>H641*I641</f>
        <v>50</v>
      </c>
      <c r="L641" t="str">
        <f t="shared" si="18"/>
        <v>May</v>
      </c>
      <c r="M641">
        <f t="shared" si="19"/>
        <v>5</v>
      </c>
    </row>
    <row r="642" spans="1:13" x14ac:dyDescent="0.25">
      <c r="A642" s="2" t="s">
        <v>715</v>
      </c>
      <c r="B642" s="3">
        <v>45783</v>
      </c>
      <c r="C642" s="2" t="s">
        <v>194</v>
      </c>
      <c r="D642" s="2" t="s">
        <v>98</v>
      </c>
      <c r="E642" s="2" t="s">
        <v>99</v>
      </c>
      <c r="F642" s="2" t="s">
        <v>20</v>
      </c>
      <c r="G642" s="2" t="s">
        <v>21</v>
      </c>
      <c r="H642" s="2">
        <v>2</v>
      </c>
      <c r="I642" s="4">
        <v>70</v>
      </c>
      <c r="J642" s="2" t="s">
        <v>16</v>
      </c>
      <c r="K642">
        <f>H642*I642</f>
        <v>140</v>
      </c>
      <c r="L642" t="str">
        <f t="shared" si="18"/>
        <v>May</v>
      </c>
      <c r="M642">
        <f t="shared" si="19"/>
        <v>5</v>
      </c>
    </row>
    <row r="643" spans="1:13" x14ac:dyDescent="0.25">
      <c r="A643" s="2" t="s">
        <v>716</v>
      </c>
      <c r="B643" s="3">
        <v>45783</v>
      </c>
      <c r="C643" s="2" t="s">
        <v>52</v>
      </c>
      <c r="D643" s="2" t="s">
        <v>30</v>
      </c>
      <c r="E643" s="2" t="s">
        <v>13</v>
      </c>
      <c r="F643" s="2" t="s">
        <v>14</v>
      </c>
      <c r="G643" s="2" t="s">
        <v>53</v>
      </c>
      <c r="H643" s="2">
        <v>1</v>
      </c>
      <c r="I643" s="4">
        <v>42</v>
      </c>
      <c r="J643" s="2" t="s">
        <v>22</v>
      </c>
      <c r="K643">
        <f>H643*I643</f>
        <v>42</v>
      </c>
      <c r="L643" t="str">
        <f t="shared" ref="L643:L706" si="20">TEXT(B643,"mmm")</f>
        <v>May</v>
      </c>
      <c r="M643">
        <f t="shared" ref="M643:M706" si="21">MONTH(B643)</f>
        <v>5</v>
      </c>
    </row>
    <row r="644" spans="1:13" x14ac:dyDescent="0.25">
      <c r="A644" s="2" t="s">
        <v>717</v>
      </c>
      <c r="B644" s="3">
        <v>45784</v>
      </c>
      <c r="C644" s="2" t="s">
        <v>74</v>
      </c>
      <c r="D644" s="2" t="s">
        <v>75</v>
      </c>
      <c r="E644" s="2" t="s">
        <v>76</v>
      </c>
      <c r="F644" s="2" t="s">
        <v>14</v>
      </c>
      <c r="G644" s="2" t="s">
        <v>77</v>
      </c>
      <c r="H644" s="2">
        <v>3</v>
      </c>
      <c r="I644" s="4">
        <v>32</v>
      </c>
      <c r="J644" s="2" t="s">
        <v>38</v>
      </c>
      <c r="K644">
        <f>H644*I644</f>
        <v>96</v>
      </c>
      <c r="L644" t="str">
        <f t="shared" si="20"/>
        <v>May</v>
      </c>
      <c r="M644">
        <f t="shared" si="21"/>
        <v>5</v>
      </c>
    </row>
    <row r="645" spans="1:13" x14ac:dyDescent="0.25">
      <c r="A645" s="2" t="s">
        <v>718</v>
      </c>
      <c r="B645" s="3">
        <v>45784</v>
      </c>
      <c r="C645" s="2" t="s">
        <v>34</v>
      </c>
      <c r="D645" s="2" t="s">
        <v>35</v>
      </c>
      <c r="E645" s="2" t="s">
        <v>36</v>
      </c>
      <c r="F645" s="2" t="s">
        <v>14</v>
      </c>
      <c r="G645" s="2" t="s">
        <v>37</v>
      </c>
      <c r="H645" s="2">
        <v>3</v>
      </c>
      <c r="I645" s="4">
        <v>165</v>
      </c>
      <c r="J645" s="2" t="s">
        <v>16</v>
      </c>
      <c r="K645">
        <f>H645*I645</f>
        <v>495</v>
      </c>
      <c r="L645" t="str">
        <f t="shared" si="20"/>
        <v>May</v>
      </c>
      <c r="M645">
        <f t="shared" si="21"/>
        <v>5</v>
      </c>
    </row>
    <row r="646" spans="1:13" x14ac:dyDescent="0.25">
      <c r="A646" s="2" t="s">
        <v>719</v>
      </c>
      <c r="B646" s="3">
        <v>45784</v>
      </c>
      <c r="C646" s="2" t="s">
        <v>52</v>
      </c>
      <c r="D646" s="2" t="s">
        <v>30</v>
      </c>
      <c r="E646" s="2" t="s">
        <v>13</v>
      </c>
      <c r="F646" s="2" t="s">
        <v>14</v>
      </c>
      <c r="G646" s="2" t="s">
        <v>53</v>
      </c>
      <c r="H646" s="2">
        <v>2</v>
      </c>
      <c r="I646" s="4">
        <v>42</v>
      </c>
      <c r="J646" s="2" t="s">
        <v>22</v>
      </c>
      <c r="K646">
        <f>H646*I646</f>
        <v>84</v>
      </c>
      <c r="L646" t="str">
        <f t="shared" si="20"/>
        <v>May</v>
      </c>
      <c r="M646">
        <f t="shared" si="21"/>
        <v>5</v>
      </c>
    </row>
    <row r="647" spans="1:13" x14ac:dyDescent="0.25">
      <c r="A647" s="2" t="s">
        <v>720</v>
      </c>
      <c r="B647" s="3">
        <v>45785</v>
      </c>
      <c r="C647" s="2" t="s">
        <v>12</v>
      </c>
      <c r="D647" s="2" t="s">
        <v>12</v>
      </c>
      <c r="E647" s="2" t="s">
        <v>13</v>
      </c>
      <c r="F647" s="2" t="s">
        <v>20</v>
      </c>
      <c r="G647" s="2" t="s">
        <v>21</v>
      </c>
      <c r="H647" s="2">
        <v>4</v>
      </c>
      <c r="I647" s="4">
        <v>14</v>
      </c>
      <c r="J647" s="2" t="s">
        <v>16</v>
      </c>
      <c r="K647">
        <f>H647*I647</f>
        <v>56</v>
      </c>
      <c r="L647" t="str">
        <f t="shared" si="20"/>
        <v>May</v>
      </c>
      <c r="M647">
        <f t="shared" si="21"/>
        <v>5</v>
      </c>
    </row>
    <row r="648" spans="1:13" x14ac:dyDescent="0.25">
      <c r="A648" s="2" t="s">
        <v>721</v>
      </c>
      <c r="B648" s="3">
        <v>45785</v>
      </c>
      <c r="C648" s="2" t="s">
        <v>34</v>
      </c>
      <c r="D648" s="2" t="s">
        <v>35</v>
      </c>
      <c r="E648" s="2" t="s">
        <v>36</v>
      </c>
      <c r="F648" s="2" t="s">
        <v>14</v>
      </c>
      <c r="G648" s="2" t="s">
        <v>37</v>
      </c>
      <c r="H648" s="2">
        <v>3</v>
      </c>
      <c r="I648" s="4">
        <v>165</v>
      </c>
      <c r="J648" s="2" t="s">
        <v>38</v>
      </c>
      <c r="K648">
        <f>H648*I648</f>
        <v>495</v>
      </c>
      <c r="L648" t="str">
        <f t="shared" si="20"/>
        <v>May</v>
      </c>
      <c r="M648">
        <f t="shared" si="21"/>
        <v>5</v>
      </c>
    </row>
    <row r="649" spans="1:13" x14ac:dyDescent="0.25">
      <c r="A649" s="2" t="s">
        <v>722</v>
      </c>
      <c r="B649" s="3">
        <v>45785</v>
      </c>
      <c r="C649" s="2" t="s">
        <v>124</v>
      </c>
      <c r="D649" s="2" t="s">
        <v>18</v>
      </c>
      <c r="E649" s="2" t="s">
        <v>19</v>
      </c>
      <c r="F649" s="2" t="s">
        <v>14</v>
      </c>
      <c r="G649" s="2" t="s">
        <v>125</v>
      </c>
      <c r="H649" s="2">
        <v>1</v>
      </c>
      <c r="I649" s="4">
        <v>45</v>
      </c>
      <c r="J649" s="2" t="s">
        <v>38</v>
      </c>
      <c r="K649">
        <f>H649*I649</f>
        <v>45</v>
      </c>
      <c r="L649" t="str">
        <f t="shared" si="20"/>
        <v>May</v>
      </c>
      <c r="M649">
        <f t="shared" si="21"/>
        <v>5</v>
      </c>
    </row>
    <row r="650" spans="1:13" x14ac:dyDescent="0.25">
      <c r="A650" s="2" t="s">
        <v>723</v>
      </c>
      <c r="B650" s="3">
        <v>45785</v>
      </c>
      <c r="C650" s="2" t="s">
        <v>60</v>
      </c>
      <c r="D650" s="2" t="s">
        <v>61</v>
      </c>
      <c r="E650" s="2" t="s">
        <v>62</v>
      </c>
      <c r="F650" s="2" t="s">
        <v>14</v>
      </c>
      <c r="G650" s="2" t="s">
        <v>63</v>
      </c>
      <c r="H650" s="2">
        <v>2</v>
      </c>
      <c r="I650" s="4">
        <v>26</v>
      </c>
      <c r="J650" s="2" t="s">
        <v>16</v>
      </c>
      <c r="K650">
        <f>H650*I650</f>
        <v>52</v>
      </c>
      <c r="L650" t="str">
        <f t="shared" si="20"/>
        <v>May</v>
      </c>
      <c r="M650">
        <f t="shared" si="21"/>
        <v>5</v>
      </c>
    </row>
    <row r="651" spans="1:13" x14ac:dyDescent="0.25">
      <c r="A651" s="2" t="s">
        <v>724</v>
      </c>
      <c r="B651" s="3">
        <v>45786</v>
      </c>
      <c r="C651" s="2" t="s">
        <v>18</v>
      </c>
      <c r="D651" s="2" t="s">
        <v>18</v>
      </c>
      <c r="E651" s="2" t="s">
        <v>19</v>
      </c>
      <c r="F651" s="2" t="s">
        <v>20</v>
      </c>
      <c r="G651" s="2" t="s">
        <v>21</v>
      </c>
      <c r="H651" s="2">
        <v>1</v>
      </c>
      <c r="I651" s="4">
        <v>15</v>
      </c>
      <c r="J651" s="2" t="s">
        <v>22</v>
      </c>
      <c r="K651">
        <f>H651*I651</f>
        <v>15</v>
      </c>
      <c r="L651" t="str">
        <f t="shared" si="20"/>
        <v>May</v>
      </c>
      <c r="M651">
        <f t="shared" si="21"/>
        <v>5</v>
      </c>
    </row>
    <row r="652" spans="1:13" x14ac:dyDescent="0.25">
      <c r="A652" s="2" t="s">
        <v>725</v>
      </c>
      <c r="B652" s="3">
        <v>45786</v>
      </c>
      <c r="C652" s="2" t="s">
        <v>80</v>
      </c>
      <c r="D652" s="2" t="s">
        <v>80</v>
      </c>
      <c r="E652" s="2" t="s">
        <v>26</v>
      </c>
      <c r="F652" s="2" t="s">
        <v>20</v>
      </c>
      <c r="G652" s="2" t="s">
        <v>21</v>
      </c>
      <c r="H652" s="2">
        <v>4</v>
      </c>
      <c r="I652" s="4">
        <v>50</v>
      </c>
      <c r="J652" s="2" t="s">
        <v>31</v>
      </c>
      <c r="K652">
        <f>H652*I652</f>
        <v>200</v>
      </c>
      <c r="L652" t="str">
        <f t="shared" si="20"/>
        <v>May</v>
      </c>
      <c r="M652">
        <f t="shared" si="21"/>
        <v>5</v>
      </c>
    </row>
    <row r="653" spans="1:13" x14ac:dyDescent="0.25">
      <c r="A653" s="2" t="s">
        <v>726</v>
      </c>
      <c r="B653" s="3">
        <v>45787</v>
      </c>
      <c r="C653" s="2" t="s">
        <v>11</v>
      </c>
      <c r="D653" s="2" t="s">
        <v>12</v>
      </c>
      <c r="E653" s="2" t="s">
        <v>13</v>
      </c>
      <c r="F653" s="2" t="s">
        <v>14</v>
      </c>
      <c r="G653" s="2" t="s">
        <v>15</v>
      </c>
      <c r="H653" s="2">
        <v>5</v>
      </c>
      <c r="I653" s="4">
        <v>32</v>
      </c>
      <c r="J653" s="2" t="s">
        <v>22</v>
      </c>
      <c r="K653">
        <f>H653*I653</f>
        <v>160</v>
      </c>
      <c r="L653" t="str">
        <f t="shared" si="20"/>
        <v>May</v>
      </c>
      <c r="M653">
        <f t="shared" si="21"/>
        <v>5</v>
      </c>
    </row>
    <row r="654" spans="1:13" x14ac:dyDescent="0.25">
      <c r="A654" s="2" t="s">
        <v>727</v>
      </c>
      <c r="B654" s="3">
        <v>45787</v>
      </c>
      <c r="C654" s="2" t="s">
        <v>12</v>
      </c>
      <c r="D654" s="2" t="s">
        <v>12</v>
      </c>
      <c r="E654" s="2" t="s">
        <v>13</v>
      </c>
      <c r="F654" s="2" t="s">
        <v>20</v>
      </c>
      <c r="G654" s="2" t="s">
        <v>21</v>
      </c>
      <c r="H654" s="2">
        <v>2</v>
      </c>
      <c r="I654" s="4">
        <v>14</v>
      </c>
      <c r="J654" s="2" t="s">
        <v>38</v>
      </c>
      <c r="K654">
        <f>H654*I654</f>
        <v>28</v>
      </c>
      <c r="L654" t="str">
        <f t="shared" si="20"/>
        <v>May</v>
      </c>
      <c r="M654">
        <f t="shared" si="21"/>
        <v>5</v>
      </c>
    </row>
    <row r="655" spans="1:13" x14ac:dyDescent="0.25">
      <c r="A655" s="2" t="s">
        <v>728</v>
      </c>
      <c r="B655" s="3">
        <v>45787</v>
      </c>
      <c r="C655" s="2" t="s">
        <v>86</v>
      </c>
      <c r="D655" s="2" t="s">
        <v>48</v>
      </c>
      <c r="E655" s="2" t="s">
        <v>49</v>
      </c>
      <c r="F655" s="2" t="s">
        <v>14</v>
      </c>
      <c r="G655" s="2" t="s">
        <v>87</v>
      </c>
      <c r="H655" s="2">
        <v>4</v>
      </c>
      <c r="I655" s="4">
        <v>125</v>
      </c>
      <c r="J655" s="2" t="s">
        <v>38</v>
      </c>
      <c r="K655">
        <f>H655*I655</f>
        <v>500</v>
      </c>
      <c r="L655" t="str">
        <f t="shared" si="20"/>
        <v>May</v>
      </c>
      <c r="M655">
        <f t="shared" si="21"/>
        <v>5</v>
      </c>
    </row>
    <row r="656" spans="1:13" x14ac:dyDescent="0.25">
      <c r="A656" s="2" t="s">
        <v>729</v>
      </c>
      <c r="B656" s="3">
        <v>45787</v>
      </c>
      <c r="C656" s="2" t="s">
        <v>18</v>
      </c>
      <c r="D656" s="2" t="s">
        <v>18</v>
      </c>
      <c r="E656" s="2" t="s">
        <v>19</v>
      </c>
      <c r="F656" s="2" t="s">
        <v>20</v>
      </c>
      <c r="G656" s="2" t="s">
        <v>21</v>
      </c>
      <c r="H656" s="2">
        <v>2</v>
      </c>
      <c r="I656" s="4">
        <v>15</v>
      </c>
      <c r="J656" s="2" t="s">
        <v>31</v>
      </c>
      <c r="K656">
        <f>H656*I656</f>
        <v>30</v>
      </c>
      <c r="L656" t="str">
        <f t="shared" si="20"/>
        <v>May</v>
      </c>
      <c r="M656">
        <f t="shared" si="21"/>
        <v>5</v>
      </c>
    </row>
    <row r="657" spans="1:13" x14ac:dyDescent="0.25">
      <c r="A657" s="2" t="s">
        <v>730</v>
      </c>
      <c r="B657" s="3">
        <v>45787</v>
      </c>
      <c r="C657" s="2" t="s">
        <v>40</v>
      </c>
      <c r="D657" s="2" t="s">
        <v>40</v>
      </c>
      <c r="E657" s="2" t="s">
        <v>19</v>
      </c>
      <c r="F657" s="2" t="s">
        <v>20</v>
      </c>
      <c r="G657" s="2" t="s">
        <v>21</v>
      </c>
      <c r="H657" s="2">
        <v>3</v>
      </c>
      <c r="I657" s="4">
        <v>46</v>
      </c>
      <c r="J657" s="2" t="s">
        <v>16</v>
      </c>
      <c r="K657">
        <f>H657*I657</f>
        <v>138</v>
      </c>
      <c r="L657" t="str">
        <f t="shared" si="20"/>
        <v>May</v>
      </c>
      <c r="M657">
        <f t="shared" si="21"/>
        <v>5</v>
      </c>
    </row>
    <row r="658" spans="1:13" x14ac:dyDescent="0.25">
      <c r="A658" s="2" t="s">
        <v>731</v>
      </c>
      <c r="B658" s="3">
        <v>45787</v>
      </c>
      <c r="C658" s="2" t="s">
        <v>61</v>
      </c>
      <c r="D658" s="2" t="s">
        <v>61</v>
      </c>
      <c r="E658" s="2" t="s">
        <v>62</v>
      </c>
      <c r="F658" s="2" t="s">
        <v>20</v>
      </c>
      <c r="G658" s="2" t="s">
        <v>21</v>
      </c>
      <c r="H658" s="2">
        <v>4</v>
      </c>
      <c r="I658" s="4">
        <v>8</v>
      </c>
      <c r="J658" s="2" t="s">
        <v>31</v>
      </c>
      <c r="K658">
        <f>H658*I658</f>
        <v>32</v>
      </c>
      <c r="L658" t="str">
        <f t="shared" si="20"/>
        <v>May</v>
      </c>
      <c r="M658">
        <f t="shared" si="21"/>
        <v>5</v>
      </c>
    </row>
    <row r="659" spans="1:13" x14ac:dyDescent="0.25">
      <c r="A659" s="2" t="s">
        <v>732</v>
      </c>
      <c r="B659" s="3">
        <v>45787</v>
      </c>
      <c r="C659" s="2" t="s">
        <v>97</v>
      </c>
      <c r="D659" s="2" t="s">
        <v>98</v>
      </c>
      <c r="E659" s="2" t="s">
        <v>99</v>
      </c>
      <c r="F659" s="2" t="s">
        <v>14</v>
      </c>
      <c r="G659" s="2" t="s">
        <v>37</v>
      </c>
      <c r="H659" s="2">
        <v>1</v>
      </c>
      <c r="I659" s="4">
        <v>182</v>
      </c>
      <c r="J659" s="2" t="s">
        <v>31</v>
      </c>
      <c r="K659">
        <f>H659*I659</f>
        <v>182</v>
      </c>
      <c r="L659" t="str">
        <f t="shared" si="20"/>
        <v>May</v>
      </c>
      <c r="M659">
        <f t="shared" si="21"/>
        <v>5</v>
      </c>
    </row>
    <row r="660" spans="1:13" x14ac:dyDescent="0.25">
      <c r="A660" s="2" t="s">
        <v>733</v>
      </c>
      <c r="B660" s="3">
        <v>45788</v>
      </c>
      <c r="C660" s="2" t="s">
        <v>12</v>
      </c>
      <c r="D660" s="2" t="s">
        <v>12</v>
      </c>
      <c r="E660" s="2" t="s">
        <v>13</v>
      </c>
      <c r="F660" s="2" t="s">
        <v>20</v>
      </c>
      <c r="G660" s="2" t="s">
        <v>21</v>
      </c>
      <c r="H660" s="2">
        <v>3</v>
      </c>
      <c r="I660" s="4">
        <v>14</v>
      </c>
      <c r="J660" s="2" t="s">
        <v>16</v>
      </c>
      <c r="K660">
        <f>H660*I660</f>
        <v>42</v>
      </c>
      <c r="L660" t="str">
        <f t="shared" si="20"/>
        <v>May</v>
      </c>
      <c r="M660">
        <f t="shared" si="21"/>
        <v>5</v>
      </c>
    </row>
    <row r="661" spans="1:13" x14ac:dyDescent="0.25">
      <c r="A661" s="2" t="s">
        <v>734</v>
      </c>
      <c r="B661" s="3">
        <v>45788</v>
      </c>
      <c r="C661" s="2" t="s">
        <v>48</v>
      </c>
      <c r="D661" s="2" t="s">
        <v>48</v>
      </c>
      <c r="E661" s="2" t="s">
        <v>49</v>
      </c>
      <c r="F661" s="2" t="s">
        <v>20</v>
      </c>
      <c r="G661" s="2" t="s">
        <v>21</v>
      </c>
      <c r="H661" s="2">
        <v>1</v>
      </c>
      <c r="I661" s="4">
        <v>55</v>
      </c>
      <c r="J661" s="2" t="s">
        <v>16</v>
      </c>
      <c r="K661">
        <f>H661*I661</f>
        <v>55</v>
      </c>
      <c r="L661" t="str">
        <f t="shared" si="20"/>
        <v>May</v>
      </c>
      <c r="M661">
        <f t="shared" si="21"/>
        <v>5</v>
      </c>
    </row>
    <row r="662" spans="1:13" x14ac:dyDescent="0.25">
      <c r="A662" s="2" t="s">
        <v>735</v>
      </c>
      <c r="B662" s="3">
        <v>45788</v>
      </c>
      <c r="C662" s="2" t="s">
        <v>67</v>
      </c>
      <c r="D662" s="2" t="s">
        <v>68</v>
      </c>
      <c r="E662" s="2" t="s">
        <v>49</v>
      </c>
      <c r="F662" s="2" t="s">
        <v>14</v>
      </c>
      <c r="G662" s="2" t="s">
        <v>69</v>
      </c>
      <c r="H662" s="2">
        <v>2</v>
      </c>
      <c r="I662" s="4">
        <v>205</v>
      </c>
      <c r="J662" s="2" t="s">
        <v>16</v>
      </c>
      <c r="K662">
        <f>H662*I662</f>
        <v>410</v>
      </c>
      <c r="L662" t="str">
        <f t="shared" si="20"/>
        <v>May</v>
      </c>
      <c r="M662">
        <f t="shared" si="21"/>
        <v>5</v>
      </c>
    </row>
    <row r="663" spans="1:13" x14ac:dyDescent="0.25">
      <c r="A663" s="2" t="s">
        <v>736</v>
      </c>
      <c r="B663" s="3">
        <v>45788</v>
      </c>
      <c r="C663" s="2" t="s">
        <v>61</v>
      </c>
      <c r="D663" s="2" t="s">
        <v>61</v>
      </c>
      <c r="E663" s="2" t="s">
        <v>62</v>
      </c>
      <c r="F663" s="2" t="s">
        <v>20</v>
      </c>
      <c r="G663" s="2" t="s">
        <v>21</v>
      </c>
      <c r="H663" s="2">
        <v>5</v>
      </c>
      <c r="I663" s="4">
        <v>8</v>
      </c>
      <c r="J663" s="2" t="s">
        <v>38</v>
      </c>
      <c r="K663">
        <f>H663*I663</f>
        <v>40</v>
      </c>
      <c r="L663" t="str">
        <f t="shared" si="20"/>
        <v>May</v>
      </c>
      <c r="M663">
        <f t="shared" si="21"/>
        <v>5</v>
      </c>
    </row>
    <row r="664" spans="1:13" x14ac:dyDescent="0.25">
      <c r="A664" s="2" t="s">
        <v>737</v>
      </c>
      <c r="B664" s="3">
        <v>45789</v>
      </c>
      <c r="C664" s="2" t="s">
        <v>11</v>
      </c>
      <c r="D664" s="2" t="s">
        <v>12</v>
      </c>
      <c r="E664" s="2" t="s">
        <v>13</v>
      </c>
      <c r="F664" s="2" t="s">
        <v>14</v>
      </c>
      <c r="G664" s="2" t="s">
        <v>15</v>
      </c>
      <c r="H664" s="2">
        <v>1</v>
      </c>
      <c r="I664" s="4">
        <v>32</v>
      </c>
      <c r="J664" s="2" t="s">
        <v>16</v>
      </c>
      <c r="K664">
        <f>H664*I664</f>
        <v>32</v>
      </c>
      <c r="L664" t="str">
        <f t="shared" si="20"/>
        <v>May</v>
      </c>
      <c r="M664">
        <f t="shared" si="21"/>
        <v>5</v>
      </c>
    </row>
    <row r="665" spans="1:13" x14ac:dyDescent="0.25">
      <c r="A665" s="2" t="s">
        <v>738</v>
      </c>
      <c r="B665" s="3">
        <v>45789</v>
      </c>
      <c r="C665" s="2" t="s">
        <v>75</v>
      </c>
      <c r="D665" s="2" t="s">
        <v>75</v>
      </c>
      <c r="E665" s="2" t="s">
        <v>76</v>
      </c>
      <c r="F665" s="2" t="s">
        <v>20</v>
      </c>
      <c r="G665" s="2" t="s">
        <v>21</v>
      </c>
      <c r="H665" s="2">
        <v>2</v>
      </c>
      <c r="I665" s="4">
        <v>12</v>
      </c>
      <c r="J665" s="2" t="s">
        <v>22</v>
      </c>
      <c r="K665">
        <f>H665*I665</f>
        <v>24</v>
      </c>
      <c r="L665" t="str">
        <f t="shared" si="20"/>
        <v>May</v>
      </c>
      <c r="M665">
        <f t="shared" si="21"/>
        <v>5</v>
      </c>
    </row>
    <row r="666" spans="1:13" x14ac:dyDescent="0.25">
      <c r="A666" s="2" t="s">
        <v>739</v>
      </c>
      <c r="B666" s="3">
        <v>45789</v>
      </c>
      <c r="C666" s="2" t="s">
        <v>101</v>
      </c>
      <c r="D666" s="2" t="s">
        <v>102</v>
      </c>
      <c r="E666" s="2" t="s">
        <v>36</v>
      </c>
      <c r="F666" s="2" t="s">
        <v>14</v>
      </c>
      <c r="G666" s="2" t="s">
        <v>103</v>
      </c>
      <c r="H666" s="2">
        <v>3</v>
      </c>
      <c r="I666" s="4">
        <v>92</v>
      </c>
      <c r="J666" s="2" t="s">
        <v>16</v>
      </c>
      <c r="K666">
        <f>H666*I666</f>
        <v>276</v>
      </c>
      <c r="L666" t="str">
        <f t="shared" si="20"/>
        <v>May</v>
      </c>
      <c r="M666">
        <f t="shared" si="21"/>
        <v>5</v>
      </c>
    </row>
    <row r="667" spans="1:13" x14ac:dyDescent="0.25">
      <c r="A667" s="2" t="s">
        <v>740</v>
      </c>
      <c r="B667" s="3">
        <v>45789</v>
      </c>
      <c r="C667" s="2" t="s">
        <v>124</v>
      </c>
      <c r="D667" s="2" t="s">
        <v>18</v>
      </c>
      <c r="E667" s="2" t="s">
        <v>19</v>
      </c>
      <c r="F667" s="2" t="s">
        <v>14</v>
      </c>
      <c r="G667" s="2" t="s">
        <v>125</v>
      </c>
      <c r="H667" s="2">
        <v>3</v>
      </c>
      <c r="I667" s="4">
        <v>45</v>
      </c>
      <c r="J667" s="2" t="s">
        <v>16</v>
      </c>
      <c r="K667">
        <f>H667*I667</f>
        <v>135</v>
      </c>
      <c r="L667" t="str">
        <f t="shared" si="20"/>
        <v>May</v>
      </c>
      <c r="M667">
        <f t="shared" si="21"/>
        <v>5</v>
      </c>
    </row>
    <row r="668" spans="1:13" x14ac:dyDescent="0.25">
      <c r="A668" s="2" t="s">
        <v>741</v>
      </c>
      <c r="B668" s="3">
        <v>45789</v>
      </c>
      <c r="C668" s="2" t="s">
        <v>18</v>
      </c>
      <c r="D668" s="2" t="s">
        <v>18</v>
      </c>
      <c r="E668" s="2" t="s">
        <v>19</v>
      </c>
      <c r="F668" s="2" t="s">
        <v>20</v>
      </c>
      <c r="G668" s="2" t="s">
        <v>21</v>
      </c>
      <c r="H668" s="2">
        <v>3</v>
      </c>
      <c r="I668" s="4">
        <v>15</v>
      </c>
      <c r="J668" s="2" t="s">
        <v>31</v>
      </c>
      <c r="K668">
        <f>H668*I668</f>
        <v>45</v>
      </c>
      <c r="L668" t="str">
        <f t="shared" si="20"/>
        <v>May</v>
      </c>
      <c r="M668">
        <f t="shared" si="21"/>
        <v>5</v>
      </c>
    </row>
    <row r="669" spans="1:13" x14ac:dyDescent="0.25">
      <c r="A669" s="2" t="s">
        <v>742</v>
      </c>
      <c r="B669" s="3">
        <v>45789</v>
      </c>
      <c r="C669" s="2" t="s">
        <v>18</v>
      </c>
      <c r="D669" s="2" t="s">
        <v>18</v>
      </c>
      <c r="E669" s="2" t="s">
        <v>19</v>
      </c>
      <c r="F669" s="2" t="s">
        <v>20</v>
      </c>
      <c r="G669" s="2" t="s">
        <v>21</v>
      </c>
      <c r="H669" s="2">
        <v>3</v>
      </c>
      <c r="I669" s="4">
        <v>15</v>
      </c>
      <c r="J669" s="2" t="s">
        <v>38</v>
      </c>
      <c r="K669">
        <f>H669*I669</f>
        <v>45</v>
      </c>
      <c r="L669" t="str">
        <f t="shared" si="20"/>
        <v>May</v>
      </c>
      <c r="M669">
        <f t="shared" si="21"/>
        <v>5</v>
      </c>
    </row>
    <row r="670" spans="1:13" x14ac:dyDescent="0.25">
      <c r="A670" s="2" t="s">
        <v>743</v>
      </c>
      <c r="B670" s="3">
        <v>45789</v>
      </c>
      <c r="C670" s="2" t="s">
        <v>30</v>
      </c>
      <c r="D670" s="2" t="s">
        <v>30</v>
      </c>
      <c r="E670" s="2" t="s">
        <v>13</v>
      </c>
      <c r="F670" s="2" t="s">
        <v>20</v>
      </c>
      <c r="G670" s="2" t="s">
        <v>21</v>
      </c>
      <c r="H670" s="2">
        <v>3</v>
      </c>
      <c r="I670" s="4">
        <v>15</v>
      </c>
      <c r="J670" s="2" t="s">
        <v>16</v>
      </c>
      <c r="K670">
        <f>H670*I670</f>
        <v>45</v>
      </c>
      <c r="L670" t="str">
        <f t="shared" si="20"/>
        <v>May</v>
      </c>
      <c r="M670">
        <f t="shared" si="21"/>
        <v>5</v>
      </c>
    </row>
    <row r="671" spans="1:13" x14ac:dyDescent="0.25">
      <c r="A671" s="2" t="s">
        <v>744</v>
      </c>
      <c r="B671" s="3">
        <v>45789</v>
      </c>
      <c r="C671" s="2" t="s">
        <v>108</v>
      </c>
      <c r="D671" s="2" t="s">
        <v>109</v>
      </c>
      <c r="E671" s="2" t="s">
        <v>13</v>
      </c>
      <c r="F671" s="2" t="s">
        <v>14</v>
      </c>
      <c r="G671" s="2" t="s">
        <v>110</v>
      </c>
      <c r="H671" s="2">
        <v>3</v>
      </c>
      <c r="I671" s="4">
        <v>62</v>
      </c>
      <c r="J671" s="2" t="s">
        <v>38</v>
      </c>
      <c r="K671">
        <f>H671*I671</f>
        <v>186</v>
      </c>
      <c r="L671" t="str">
        <f t="shared" si="20"/>
        <v>May</v>
      </c>
      <c r="M671">
        <f t="shared" si="21"/>
        <v>5</v>
      </c>
    </row>
    <row r="672" spans="1:13" x14ac:dyDescent="0.25">
      <c r="A672" s="2" t="s">
        <v>745</v>
      </c>
      <c r="B672" s="3">
        <v>45790</v>
      </c>
      <c r="C672" s="2" t="s">
        <v>48</v>
      </c>
      <c r="D672" s="2" t="s">
        <v>48</v>
      </c>
      <c r="E672" s="2" t="s">
        <v>49</v>
      </c>
      <c r="F672" s="2" t="s">
        <v>20</v>
      </c>
      <c r="G672" s="2" t="s">
        <v>21</v>
      </c>
      <c r="H672" s="2">
        <v>1</v>
      </c>
      <c r="I672" s="4">
        <v>55</v>
      </c>
      <c r="J672" s="2" t="s">
        <v>16</v>
      </c>
      <c r="K672">
        <f>H672*I672</f>
        <v>55</v>
      </c>
      <c r="L672" t="str">
        <f t="shared" si="20"/>
        <v>May</v>
      </c>
      <c r="M672">
        <f t="shared" si="21"/>
        <v>5</v>
      </c>
    </row>
    <row r="673" spans="1:13" x14ac:dyDescent="0.25">
      <c r="A673" s="2" t="s">
        <v>746</v>
      </c>
      <c r="B673" s="3">
        <v>45790</v>
      </c>
      <c r="C673" s="2" t="s">
        <v>101</v>
      </c>
      <c r="D673" s="2" t="s">
        <v>102</v>
      </c>
      <c r="E673" s="2" t="s">
        <v>36</v>
      </c>
      <c r="F673" s="2" t="s">
        <v>14</v>
      </c>
      <c r="G673" s="2" t="s">
        <v>103</v>
      </c>
      <c r="H673" s="2">
        <v>6</v>
      </c>
      <c r="I673" s="4">
        <v>92</v>
      </c>
      <c r="J673" s="2" t="s">
        <v>31</v>
      </c>
      <c r="K673">
        <f>H673*I673</f>
        <v>552</v>
      </c>
      <c r="L673" t="str">
        <f t="shared" si="20"/>
        <v>May</v>
      </c>
      <c r="M673">
        <f t="shared" si="21"/>
        <v>5</v>
      </c>
    </row>
    <row r="674" spans="1:13" x14ac:dyDescent="0.25">
      <c r="A674" s="2" t="s">
        <v>747</v>
      </c>
      <c r="B674" s="3">
        <v>45790</v>
      </c>
      <c r="C674" s="2" t="s">
        <v>190</v>
      </c>
      <c r="D674" s="2" t="s">
        <v>40</v>
      </c>
      <c r="E674" s="2" t="s">
        <v>19</v>
      </c>
      <c r="F674" s="2" t="s">
        <v>14</v>
      </c>
      <c r="G674" s="2" t="s">
        <v>191</v>
      </c>
      <c r="H674" s="2">
        <v>2</v>
      </c>
      <c r="I674" s="4">
        <v>142</v>
      </c>
      <c r="J674" s="2" t="s">
        <v>16</v>
      </c>
      <c r="K674">
        <f>H674*I674</f>
        <v>284</v>
      </c>
      <c r="L674" t="str">
        <f t="shared" si="20"/>
        <v>May</v>
      </c>
      <c r="M674">
        <f t="shared" si="21"/>
        <v>5</v>
      </c>
    </row>
    <row r="675" spans="1:13" x14ac:dyDescent="0.25">
      <c r="A675" s="2" t="s">
        <v>748</v>
      </c>
      <c r="B675" s="3">
        <v>45790</v>
      </c>
      <c r="C675" s="2" t="s">
        <v>79</v>
      </c>
      <c r="D675" s="2" t="s">
        <v>80</v>
      </c>
      <c r="E675" s="2" t="s">
        <v>26</v>
      </c>
      <c r="F675" s="2" t="s">
        <v>14</v>
      </c>
      <c r="G675" s="2" t="s">
        <v>81</v>
      </c>
      <c r="H675" s="2">
        <v>3</v>
      </c>
      <c r="I675" s="4">
        <v>152</v>
      </c>
      <c r="J675" s="2" t="s">
        <v>16</v>
      </c>
      <c r="K675">
        <f>H675*I675</f>
        <v>456</v>
      </c>
      <c r="L675" t="str">
        <f t="shared" si="20"/>
        <v>May</v>
      </c>
      <c r="M675">
        <f t="shared" si="21"/>
        <v>5</v>
      </c>
    </row>
    <row r="676" spans="1:13" x14ac:dyDescent="0.25">
      <c r="A676" s="2" t="s">
        <v>749</v>
      </c>
      <c r="B676" s="3">
        <v>45790</v>
      </c>
      <c r="C676" s="2" t="s">
        <v>60</v>
      </c>
      <c r="D676" s="2" t="s">
        <v>61</v>
      </c>
      <c r="E676" s="2" t="s">
        <v>62</v>
      </c>
      <c r="F676" s="2" t="s">
        <v>14</v>
      </c>
      <c r="G676" s="2" t="s">
        <v>63</v>
      </c>
      <c r="H676" s="2">
        <v>5</v>
      </c>
      <c r="I676" s="4">
        <v>26</v>
      </c>
      <c r="J676" s="2" t="s">
        <v>38</v>
      </c>
      <c r="K676">
        <f>H676*I676</f>
        <v>130</v>
      </c>
      <c r="L676" t="str">
        <f t="shared" si="20"/>
        <v>May</v>
      </c>
      <c r="M676">
        <f t="shared" si="21"/>
        <v>5</v>
      </c>
    </row>
    <row r="677" spans="1:13" x14ac:dyDescent="0.25">
      <c r="A677" s="2" t="s">
        <v>750</v>
      </c>
      <c r="B677" s="3">
        <v>45791</v>
      </c>
      <c r="C677" s="2" t="s">
        <v>11</v>
      </c>
      <c r="D677" s="2" t="s">
        <v>12</v>
      </c>
      <c r="E677" s="2" t="s">
        <v>13</v>
      </c>
      <c r="F677" s="2" t="s">
        <v>14</v>
      </c>
      <c r="G677" s="2" t="s">
        <v>15</v>
      </c>
      <c r="H677" s="2">
        <v>1</v>
      </c>
      <c r="I677" s="4">
        <v>32</v>
      </c>
      <c r="J677" s="2" t="s">
        <v>16</v>
      </c>
      <c r="K677">
        <f>H677*I677</f>
        <v>32</v>
      </c>
      <c r="L677" t="str">
        <f t="shared" si="20"/>
        <v>May</v>
      </c>
      <c r="M677">
        <f t="shared" si="21"/>
        <v>5</v>
      </c>
    </row>
    <row r="678" spans="1:13" x14ac:dyDescent="0.25">
      <c r="A678" s="2" t="s">
        <v>751</v>
      </c>
      <c r="B678" s="3">
        <v>45791</v>
      </c>
      <c r="C678" s="2" t="s">
        <v>12</v>
      </c>
      <c r="D678" s="2" t="s">
        <v>12</v>
      </c>
      <c r="E678" s="2" t="s">
        <v>13</v>
      </c>
      <c r="F678" s="2" t="s">
        <v>20</v>
      </c>
      <c r="G678" s="2" t="s">
        <v>21</v>
      </c>
      <c r="H678" s="2">
        <v>5</v>
      </c>
      <c r="I678" s="4">
        <v>14</v>
      </c>
      <c r="J678" s="2" t="s">
        <v>16</v>
      </c>
      <c r="K678">
        <f>H678*I678</f>
        <v>70</v>
      </c>
      <c r="L678" t="str">
        <f t="shared" si="20"/>
        <v>May</v>
      </c>
      <c r="M678">
        <f t="shared" si="21"/>
        <v>5</v>
      </c>
    </row>
    <row r="679" spans="1:13" x14ac:dyDescent="0.25">
      <c r="A679" s="2" t="s">
        <v>752</v>
      </c>
      <c r="B679" s="3">
        <v>45791</v>
      </c>
      <c r="C679" s="2" t="s">
        <v>74</v>
      </c>
      <c r="D679" s="2" t="s">
        <v>75</v>
      </c>
      <c r="E679" s="2" t="s">
        <v>76</v>
      </c>
      <c r="F679" s="2" t="s">
        <v>14</v>
      </c>
      <c r="G679" s="2" t="s">
        <v>77</v>
      </c>
      <c r="H679" s="2">
        <v>2</v>
      </c>
      <c r="I679" s="4">
        <v>32</v>
      </c>
      <c r="J679" s="2" t="s">
        <v>22</v>
      </c>
      <c r="K679">
        <f>H679*I679</f>
        <v>64</v>
      </c>
      <c r="L679" t="str">
        <f t="shared" si="20"/>
        <v>May</v>
      </c>
      <c r="M679">
        <f t="shared" si="21"/>
        <v>5</v>
      </c>
    </row>
    <row r="680" spans="1:13" x14ac:dyDescent="0.25">
      <c r="A680" s="2" t="s">
        <v>753</v>
      </c>
      <c r="B680" s="3">
        <v>45791</v>
      </c>
      <c r="C680" s="2" t="s">
        <v>102</v>
      </c>
      <c r="D680" s="2" t="s">
        <v>102</v>
      </c>
      <c r="E680" s="2" t="s">
        <v>36</v>
      </c>
      <c r="F680" s="2" t="s">
        <v>20</v>
      </c>
      <c r="G680" s="2" t="s">
        <v>21</v>
      </c>
      <c r="H680" s="2">
        <v>6</v>
      </c>
      <c r="I680" s="4">
        <v>35</v>
      </c>
      <c r="J680" s="2" t="s">
        <v>31</v>
      </c>
      <c r="K680">
        <f>H680*I680</f>
        <v>210</v>
      </c>
      <c r="L680" t="str">
        <f t="shared" si="20"/>
        <v>May</v>
      </c>
      <c r="M680">
        <f t="shared" si="21"/>
        <v>5</v>
      </c>
    </row>
    <row r="681" spans="1:13" x14ac:dyDescent="0.25">
      <c r="A681" s="2" t="s">
        <v>754</v>
      </c>
      <c r="B681" s="3">
        <v>45791</v>
      </c>
      <c r="C681" s="2" t="s">
        <v>79</v>
      </c>
      <c r="D681" s="2" t="s">
        <v>80</v>
      </c>
      <c r="E681" s="2" t="s">
        <v>26</v>
      </c>
      <c r="F681" s="2" t="s">
        <v>14</v>
      </c>
      <c r="G681" s="2" t="s">
        <v>81</v>
      </c>
      <c r="H681" s="2">
        <v>1</v>
      </c>
      <c r="I681" s="4">
        <v>152</v>
      </c>
      <c r="J681" s="2" t="s">
        <v>16</v>
      </c>
      <c r="K681">
        <f>H681*I681</f>
        <v>152</v>
      </c>
      <c r="L681" t="str">
        <f t="shared" si="20"/>
        <v>May</v>
      </c>
      <c r="M681">
        <f t="shared" si="21"/>
        <v>5</v>
      </c>
    </row>
    <row r="682" spans="1:13" x14ac:dyDescent="0.25">
      <c r="A682" s="2" t="s">
        <v>755</v>
      </c>
      <c r="B682" s="3">
        <v>45791</v>
      </c>
      <c r="C682" s="2" t="s">
        <v>52</v>
      </c>
      <c r="D682" s="2" t="s">
        <v>30</v>
      </c>
      <c r="E682" s="2" t="s">
        <v>13</v>
      </c>
      <c r="F682" s="2" t="s">
        <v>14</v>
      </c>
      <c r="G682" s="2" t="s">
        <v>53</v>
      </c>
      <c r="H682" s="2">
        <v>4</v>
      </c>
      <c r="I682" s="4">
        <v>42</v>
      </c>
      <c r="J682" s="2" t="s">
        <v>22</v>
      </c>
      <c r="K682">
        <f>H682*I682</f>
        <v>168</v>
      </c>
      <c r="L682" t="str">
        <f t="shared" si="20"/>
        <v>May</v>
      </c>
      <c r="M682">
        <f t="shared" si="21"/>
        <v>5</v>
      </c>
    </row>
    <row r="683" spans="1:13" x14ac:dyDescent="0.25">
      <c r="A683" s="2" t="s">
        <v>756</v>
      </c>
      <c r="B683" s="3">
        <v>45791</v>
      </c>
      <c r="C683" s="2" t="s">
        <v>52</v>
      </c>
      <c r="D683" s="2" t="s">
        <v>30</v>
      </c>
      <c r="E683" s="2" t="s">
        <v>13</v>
      </c>
      <c r="F683" s="2" t="s">
        <v>14</v>
      </c>
      <c r="G683" s="2" t="s">
        <v>53</v>
      </c>
      <c r="H683" s="2">
        <v>4</v>
      </c>
      <c r="I683" s="4">
        <v>42</v>
      </c>
      <c r="J683" s="2" t="s">
        <v>22</v>
      </c>
      <c r="K683">
        <f>H683*I683</f>
        <v>168</v>
      </c>
      <c r="L683" t="str">
        <f t="shared" si="20"/>
        <v>May</v>
      </c>
      <c r="M683">
        <f t="shared" si="21"/>
        <v>5</v>
      </c>
    </row>
    <row r="684" spans="1:13" x14ac:dyDescent="0.25">
      <c r="A684" s="2" t="s">
        <v>757</v>
      </c>
      <c r="B684" s="3">
        <v>45792</v>
      </c>
      <c r="C684" s="2" t="s">
        <v>11</v>
      </c>
      <c r="D684" s="2" t="s">
        <v>12</v>
      </c>
      <c r="E684" s="2" t="s">
        <v>13</v>
      </c>
      <c r="F684" s="2" t="s">
        <v>14</v>
      </c>
      <c r="G684" s="2" t="s">
        <v>15</v>
      </c>
      <c r="H684" s="2">
        <v>1</v>
      </c>
      <c r="I684" s="4">
        <v>32</v>
      </c>
      <c r="J684" s="2" t="s">
        <v>22</v>
      </c>
      <c r="K684">
        <f>H684*I684</f>
        <v>32</v>
      </c>
      <c r="L684" t="str">
        <f t="shared" si="20"/>
        <v>May</v>
      </c>
      <c r="M684">
        <f t="shared" si="21"/>
        <v>5</v>
      </c>
    </row>
    <row r="685" spans="1:13" x14ac:dyDescent="0.25">
      <c r="A685" s="2" t="s">
        <v>758</v>
      </c>
      <c r="B685" s="3">
        <v>45792</v>
      </c>
      <c r="C685" s="2" t="s">
        <v>67</v>
      </c>
      <c r="D685" s="2" t="s">
        <v>68</v>
      </c>
      <c r="E685" s="2" t="s">
        <v>49</v>
      </c>
      <c r="F685" s="2" t="s">
        <v>14</v>
      </c>
      <c r="G685" s="2" t="s">
        <v>69</v>
      </c>
      <c r="H685" s="2">
        <v>3</v>
      </c>
      <c r="I685" s="4">
        <v>205</v>
      </c>
      <c r="J685" s="2" t="s">
        <v>16</v>
      </c>
      <c r="K685">
        <f>H685*I685</f>
        <v>615</v>
      </c>
      <c r="L685" t="str">
        <f t="shared" si="20"/>
        <v>May</v>
      </c>
      <c r="M685">
        <f t="shared" si="21"/>
        <v>5</v>
      </c>
    </row>
    <row r="686" spans="1:13" x14ac:dyDescent="0.25">
      <c r="A686" s="2" t="s">
        <v>759</v>
      </c>
      <c r="B686" s="3">
        <v>45792</v>
      </c>
      <c r="C686" s="2" t="s">
        <v>52</v>
      </c>
      <c r="D686" s="2" t="s">
        <v>30</v>
      </c>
      <c r="E686" s="2" t="s">
        <v>13</v>
      </c>
      <c r="F686" s="2" t="s">
        <v>14</v>
      </c>
      <c r="G686" s="2" t="s">
        <v>53</v>
      </c>
      <c r="H686" s="2">
        <v>2</v>
      </c>
      <c r="I686" s="4">
        <v>42</v>
      </c>
      <c r="J686" s="2" t="s">
        <v>22</v>
      </c>
      <c r="K686">
        <f>H686*I686</f>
        <v>84</v>
      </c>
      <c r="L686" t="str">
        <f t="shared" si="20"/>
        <v>May</v>
      </c>
      <c r="M686">
        <f t="shared" si="21"/>
        <v>5</v>
      </c>
    </row>
    <row r="687" spans="1:13" x14ac:dyDescent="0.25">
      <c r="A687" s="2" t="s">
        <v>760</v>
      </c>
      <c r="B687" s="3">
        <v>45792</v>
      </c>
      <c r="C687" s="2" t="s">
        <v>43</v>
      </c>
      <c r="D687" s="2" t="s">
        <v>43</v>
      </c>
      <c r="E687" s="2" t="s">
        <v>44</v>
      </c>
      <c r="F687" s="2" t="s">
        <v>20</v>
      </c>
      <c r="G687" s="2" t="s">
        <v>21</v>
      </c>
      <c r="H687" s="2">
        <v>1</v>
      </c>
      <c r="I687" s="4">
        <v>18</v>
      </c>
      <c r="J687" s="2" t="s">
        <v>31</v>
      </c>
      <c r="K687">
        <f>H687*I687</f>
        <v>18</v>
      </c>
      <c r="L687" t="str">
        <f t="shared" si="20"/>
        <v>May</v>
      </c>
      <c r="M687">
        <f t="shared" si="21"/>
        <v>5</v>
      </c>
    </row>
    <row r="688" spans="1:13" x14ac:dyDescent="0.25">
      <c r="A688" s="2" t="s">
        <v>761</v>
      </c>
      <c r="B688" s="3">
        <v>45793</v>
      </c>
      <c r="C688" s="2" t="s">
        <v>86</v>
      </c>
      <c r="D688" s="2" t="s">
        <v>48</v>
      </c>
      <c r="E688" s="2" t="s">
        <v>49</v>
      </c>
      <c r="F688" s="2" t="s">
        <v>14</v>
      </c>
      <c r="G688" s="2" t="s">
        <v>87</v>
      </c>
      <c r="H688" s="2">
        <v>2</v>
      </c>
      <c r="I688" s="4">
        <v>125</v>
      </c>
      <c r="J688" s="2" t="s">
        <v>16</v>
      </c>
      <c r="K688">
        <f>H688*I688</f>
        <v>250</v>
      </c>
      <c r="L688" t="str">
        <f t="shared" si="20"/>
        <v>May</v>
      </c>
      <c r="M688">
        <f t="shared" si="21"/>
        <v>5</v>
      </c>
    </row>
    <row r="689" spans="1:13" x14ac:dyDescent="0.25">
      <c r="A689" s="2" t="s">
        <v>762</v>
      </c>
      <c r="B689" s="3">
        <v>45793</v>
      </c>
      <c r="C689" s="2" t="s">
        <v>190</v>
      </c>
      <c r="D689" s="2" t="s">
        <v>40</v>
      </c>
      <c r="E689" s="2" t="s">
        <v>19</v>
      </c>
      <c r="F689" s="2" t="s">
        <v>14</v>
      </c>
      <c r="G689" s="2" t="s">
        <v>191</v>
      </c>
      <c r="H689" s="2">
        <v>1</v>
      </c>
      <c r="I689" s="4">
        <v>142</v>
      </c>
      <c r="J689" s="2" t="s">
        <v>16</v>
      </c>
      <c r="K689">
        <f>H689*I689</f>
        <v>142</v>
      </c>
      <c r="L689" t="str">
        <f t="shared" si="20"/>
        <v>May</v>
      </c>
      <c r="M689">
        <f t="shared" si="21"/>
        <v>5</v>
      </c>
    </row>
    <row r="690" spans="1:13" x14ac:dyDescent="0.25">
      <c r="A690" s="2" t="s">
        <v>763</v>
      </c>
      <c r="B690" s="3">
        <v>45793</v>
      </c>
      <c r="C690" s="2" t="s">
        <v>61</v>
      </c>
      <c r="D690" s="2" t="s">
        <v>61</v>
      </c>
      <c r="E690" s="2" t="s">
        <v>62</v>
      </c>
      <c r="F690" s="2" t="s">
        <v>20</v>
      </c>
      <c r="G690" s="2" t="s">
        <v>21</v>
      </c>
      <c r="H690" s="2">
        <v>3</v>
      </c>
      <c r="I690" s="4">
        <v>8</v>
      </c>
      <c r="J690" s="2" t="s">
        <v>31</v>
      </c>
      <c r="K690">
        <f>H690*I690</f>
        <v>24</v>
      </c>
      <c r="L690" t="str">
        <f t="shared" si="20"/>
        <v>May</v>
      </c>
      <c r="M690">
        <f t="shared" si="21"/>
        <v>5</v>
      </c>
    </row>
    <row r="691" spans="1:13" x14ac:dyDescent="0.25">
      <c r="A691" s="2" t="s">
        <v>764</v>
      </c>
      <c r="B691" s="3">
        <v>45793</v>
      </c>
      <c r="C691" s="2" t="s">
        <v>42</v>
      </c>
      <c r="D691" s="2" t="s">
        <v>43</v>
      </c>
      <c r="E691" s="2" t="s">
        <v>44</v>
      </c>
      <c r="F691" s="2" t="s">
        <v>14</v>
      </c>
      <c r="G691" s="2" t="s">
        <v>45</v>
      </c>
      <c r="H691" s="2">
        <v>1</v>
      </c>
      <c r="I691" s="4">
        <v>46</v>
      </c>
      <c r="J691" s="2" t="s">
        <v>16</v>
      </c>
      <c r="K691">
        <f>H691*I691</f>
        <v>46</v>
      </c>
      <c r="L691" t="str">
        <f t="shared" si="20"/>
        <v>May</v>
      </c>
      <c r="M691">
        <f t="shared" si="21"/>
        <v>5</v>
      </c>
    </row>
    <row r="692" spans="1:13" x14ac:dyDescent="0.25">
      <c r="A692" s="2" t="s">
        <v>765</v>
      </c>
      <c r="B692" s="3">
        <v>45793</v>
      </c>
      <c r="C692" s="2" t="s">
        <v>42</v>
      </c>
      <c r="D692" s="2" t="s">
        <v>43</v>
      </c>
      <c r="E692" s="2" t="s">
        <v>44</v>
      </c>
      <c r="F692" s="2" t="s">
        <v>14</v>
      </c>
      <c r="G692" s="2" t="s">
        <v>45</v>
      </c>
      <c r="H692" s="2">
        <v>2</v>
      </c>
      <c r="I692" s="4">
        <v>46</v>
      </c>
      <c r="J692" s="2" t="s">
        <v>16</v>
      </c>
      <c r="K692">
        <f>H692*I692</f>
        <v>92</v>
      </c>
      <c r="L692" t="str">
        <f t="shared" si="20"/>
        <v>May</v>
      </c>
      <c r="M692">
        <f t="shared" si="21"/>
        <v>5</v>
      </c>
    </row>
    <row r="693" spans="1:13" x14ac:dyDescent="0.25">
      <c r="A693" s="2" t="s">
        <v>766</v>
      </c>
      <c r="B693" s="3">
        <v>45793</v>
      </c>
      <c r="C693" s="2" t="s">
        <v>43</v>
      </c>
      <c r="D693" s="2" t="s">
        <v>43</v>
      </c>
      <c r="E693" s="2" t="s">
        <v>44</v>
      </c>
      <c r="F693" s="2" t="s">
        <v>20</v>
      </c>
      <c r="G693" s="2" t="s">
        <v>21</v>
      </c>
      <c r="H693" s="2">
        <v>1</v>
      </c>
      <c r="I693" s="4">
        <v>18</v>
      </c>
      <c r="J693" s="2" t="s">
        <v>16</v>
      </c>
      <c r="K693">
        <f>H693*I693</f>
        <v>18</v>
      </c>
      <c r="L693" t="str">
        <f t="shared" si="20"/>
        <v>May</v>
      </c>
      <c r="M693">
        <f t="shared" si="21"/>
        <v>5</v>
      </c>
    </row>
    <row r="694" spans="1:13" x14ac:dyDescent="0.25">
      <c r="A694" s="2" t="s">
        <v>767</v>
      </c>
      <c r="B694" s="3">
        <v>45794</v>
      </c>
      <c r="C694" s="2" t="s">
        <v>86</v>
      </c>
      <c r="D694" s="2" t="s">
        <v>48</v>
      </c>
      <c r="E694" s="2" t="s">
        <v>49</v>
      </c>
      <c r="F694" s="2" t="s">
        <v>14</v>
      </c>
      <c r="G694" s="2" t="s">
        <v>87</v>
      </c>
      <c r="H694" s="2">
        <v>1</v>
      </c>
      <c r="I694" s="4">
        <v>125</v>
      </c>
      <c r="J694" s="2" t="s">
        <v>16</v>
      </c>
      <c r="K694">
        <f>H694*I694</f>
        <v>125</v>
      </c>
      <c r="L694" t="str">
        <f t="shared" si="20"/>
        <v>May</v>
      </c>
      <c r="M694">
        <f t="shared" si="21"/>
        <v>5</v>
      </c>
    </row>
    <row r="695" spans="1:13" x14ac:dyDescent="0.25">
      <c r="A695" s="2" t="s">
        <v>768</v>
      </c>
      <c r="B695" s="3">
        <v>45794</v>
      </c>
      <c r="C695" s="2" t="s">
        <v>119</v>
      </c>
      <c r="D695" s="2" t="s">
        <v>120</v>
      </c>
      <c r="E695" s="2" t="s">
        <v>76</v>
      </c>
      <c r="F695" s="2" t="s">
        <v>14</v>
      </c>
      <c r="G695" s="2" t="s">
        <v>121</v>
      </c>
      <c r="H695" s="2">
        <v>6</v>
      </c>
      <c r="I695" s="4">
        <v>190</v>
      </c>
      <c r="J695" s="2" t="s">
        <v>16</v>
      </c>
      <c r="K695">
        <f>H695*I695</f>
        <v>1140</v>
      </c>
      <c r="L695" t="str">
        <f t="shared" si="20"/>
        <v>May</v>
      </c>
      <c r="M695">
        <f t="shared" si="21"/>
        <v>5</v>
      </c>
    </row>
    <row r="696" spans="1:13" x14ac:dyDescent="0.25">
      <c r="A696" s="2" t="s">
        <v>769</v>
      </c>
      <c r="B696" s="3">
        <v>45794</v>
      </c>
      <c r="C696" s="2" t="s">
        <v>18</v>
      </c>
      <c r="D696" s="2" t="s">
        <v>18</v>
      </c>
      <c r="E696" s="2" t="s">
        <v>19</v>
      </c>
      <c r="F696" s="2" t="s">
        <v>20</v>
      </c>
      <c r="G696" s="2" t="s">
        <v>21</v>
      </c>
      <c r="H696" s="2">
        <v>3</v>
      </c>
      <c r="I696" s="4">
        <v>15</v>
      </c>
      <c r="J696" s="2" t="s">
        <v>31</v>
      </c>
      <c r="K696">
        <f>H696*I696</f>
        <v>45</v>
      </c>
      <c r="L696" t="str">
        <f t="shared" si="20"/>
        <v>May</v>
      </c>
      <c r="M696">
        <f t="shared" si="21"/>
        <v>5</v>
      </c>
    </row>
    <row r="697" spans="1:13" x14ac:dyDescent="0.25">
      <c r="A697" s="2" t="s">
        <v>770</v>
      </c>
      <c r="B697" s="3">
        <v>45795</v>
      </c>
      <c r="C697" s="2" t="s">
        <v>11</v>
      </c>
      <c r="D697" s="2" t="s">
        <v>12</v>
      </c>
      <c r="E697" s="2" t="s">
        <v>13</v>
      </c>
      <c r="F697" s="2" t="s">
        <v>14</v>
      </c>
      <c r="G697" s="2" t="s">
        <v>15</v>
      </c>
      <c r="H697" s="2">
        <v>4</v>
      </c>
      <c r="I697" s="4">
        <v>32</v>
      </c>
      <c r="J697" s="2" t="s">
        <v>16</v>
      </c>
      <c r="K697">
        <f>H697*I697</f>
        <v>128</v>
      </c>
      <c r="L697" t="str">
        <f t="shared" si="20"/>
        <v>May</v>
      </c>
      <c r="M697">
        <f t="shared" si="21"/>
        <v>5</v>
      </c>
    </row>
    <row r="698" spans="1:13" x14ac:dyDescent="0.25">
      <c r="A698" s="2" t="s">
        <v>771</v>
      </c>
      <c r="B698" s="3">
        <v>45795</v>
      </c>
      <c r="C698" s="2" t="s">
        <v>11</v>
      </c>
      <c r="D698" s="2" t="s">
        <v>12</v>
      </c>
      <c r="E698" s="2" t="s">
        <v>13</v>
      </c>
      <c r="F698" s="2" t="s">
        <v>14</v>
      </c>
      <c r="G698" s="2" t="s">
        <v>15</v>
      </c>
      <c r="H698" s="2">
        <v>4</v>
      </c>
      <c r="I698" s="4">
        <v>32</v>
      </c>
      <c r="J698" s="2" t="s">
        <v>16</v>
      </c>
      <c r="K698">
        <f>H698*I698</f>
        <v>128</v>
      </c>
      <c r="L698" t="str">
        <f t="shared" si="20"/>
        <v>May</v>
      </c>
      <c r="M698">
        <f t="shared" si="21"/>
        <v>5</v>
      </c>
    </row>
    <row r="699" spans="1:13" x14ac:dyDescent="0.25">
      <c r="A699" s="2" t="s">
        <v>772</v>
      </c>
      <c r="B699" s="3">
        <v>45795</v>
      </c>
      <c r="C699" s="2" t="s">
        <v>11</v>
      </c>
      <c r="D699" s="2" t="s">
        <v>12</v>
      </c>
      <c r="E699" s="2" t="s">
        <v>13</v>
      </c>
      <c r="F699" s="2" t="s">
        <v>14</v>
      </c>
      <c r="G699" s="2" t="s">
        <v>15</v>
      </c>
      <c r="H699" s="2">
        <v>2</v>
      </c>
      <c r="I699" s="4">
        <v>32</v>
      </c>
      <c r="J699" s="2" t="s">
        <v>16</v>
      </c>
      <c r="K699">
        <f>H699*I699</f>
        <v>64</v>
      </c>
      <c r="L699" t="str">
        <f t="shared" si="20"/>
        <v>May</v>
      </c>
      <c r="M699">
        <f t="shared" si="21"/>
        <v>5</v>
      </c>
    </row>
    <row r="700" spans="1:13" x14ac:dyDescent="0.25">
      <c r="A700" s="2" t="s">
        <v>773</v>
      </c>
      <c r="B700" s="3">
        <v>45795</v>
      </c>
      <c r="C700" s="2" t="s">
        <v>86</v>
      </c>
      <c r="D700" s="2" t="s">
        <v>48</v>
      </c>
      <c r="E700" s="2" t="s">
        <v>49</v>
      </c>
      <c r="F700" s="2" t="s">
        <v>14</v>
      </c>
      <c r="G700" s="2" t="s">
        <v>87</v>
      </c>
      <c r="H700" s="2">
        <v>4</v>
      </c>
      <c r="I700" s="4">
        <v>125</v>
      </c>
      <c r="J700" s="2" t="s">
        <v>38</v>
      </c>
      <c r="K700">
        <f>H700*I700</f>
        <v>500</v>
      </c>
      <c r="L700" t="str">
        <f t="shared" si="20"/>
        <v>May</v>
      </c>
      <c r="M700">
        <f t="shared" si="21"/>
        <v>5</v>
      </c>
    </row>
    <row r="701" spans="1:13" x14ac:dyDescent="0.25">
      <c r="A701" s="2" t="s">
        <v>774</v>
      </c>
      <c r="B701" s="3">
        <v>45795</v>
      </c>
      <c r="C701" s="2" t="s">
        <v>67</v>
      </c>
      <c r="D701" s="2" t="s">
        <v>68</v>
      </c>
      <c r="E701" s="2" t="s">
        <v>49</v>
      </c>
      <c r="F701" s="2" t="s">
        <v>14</v>
      </c>
      <c r="G701" s="2" t="s">
        <v>69</v>
      </c>
      <c r="H701" s="2">
        <v>3</v>
      </c>
      <c r="I701" s="4">
        <v>205</v>
      </c>
      <c r="J701" s="2" t="s">
        <v>16</v>
      </c>
      <c r="K701">
        <f>H701*I701</f>
        <v>615</v>
      </c>
      <c r="L701" t="str">
        <f t="shared" si="20"/>
        <v>May</v>
      </c>
      <c r="M701">
        <f t="shared" si="21"/>
        <v>5</v>
      </c>
    </row>
    <row r="702" spans="1:13" x14ac:dyDescent="0.25">
      <c r="A702" s="2" t="s">
        <v>775</v>
      </c>
      <c r="B702" s="3">
        <v>45795</v>
      </c>
      <c r="C702" s="2" t="s">
        <v>75</v>
      </c>
      <c r="D702" s="2" t="s">
        <v>75</v>
      </c>
      <c r="E702" s="2" t="s">
        <v>76</v>
      </c>
      <c r="F702" s="2" t="s">
        <v>20</v>
      </c>
      <c r="G702" s="2" t="s">
        <v>21</v>
      </c>
      <c r="H702" s="2">
        <v>3</v>
      </c>
      <c r="I702" s="4">
        <v>12</v>
      </c>
      <c r="J702" s="2" t="s">
        <v>22</v>
      </c>
      <c r="K702">
        <f>H702*I702</f>
        <v>36</v>
      </c>
      <c r="L702" t="str">
        <f t="shared" si="20"/>
        <v>May</v>
      </c>
      <c r="M702">
        <f t="shared" si="21"/>
        <v>5</v>
      </c>
    </row>
    <row r="703" spans="1:13" x14ac:dyDescent="0.25">
      <c r="A703" s="2" t="s">
        <v>776</v>
      </c>
      <c r="B703" s="3">
        <v>45795</v>
      </c>
      <c r="C703" s="2" t="s">
        <v>119</v>
      </c>
      <c r="D703" s="2" t="s">
        <v>120</v>
      </c>
      <c r="E703" s="2" t="s">
        <v>76</v>
      </c>
      <c r="F703" s="2" t="s">
        <v>14</v>
      </c>
      <c r="G703" s="2" t="s">
        <v>121</v>
      </c>
      <c r="H703" s="2">
        <v>3</v>
      </c>
      <c r="I703" s="4">
        <v>190</v>
      </c>
      <c r="J703" s="2" t="s">
        <v>31</v>
      </c>
      <c r="K703">
        <f>H703*I703</f>
        <v>570</v>
      </c>
      <c r="L703" t="str">
        <f t="shared" si="20"/>
        <v>May</v>
      </c>
      <c r="M703">
        <f t="shared" si="21"/>
        <v>5</v>
      </c>
    </row>
    <row r="704" spans="1:13" x14ac:dyDescent="0.25">
      <c r="A704" s="2" t="s">
        <v>777</v>
      </c>
      <c r="B704" s="3">
        <v>45795</v>
      </c>
      <c r="C704" s="2" t="s">
        <v>194</v>
      </c>
      <c r="D704" s="2" t="s">
        <v>98</v>
      </c>
      <c r="E704" s="2" t="s">
        <v>99</v>
      </c>
      <c r="F704" s="2" t="s">
        <v>20</v>
      </c>
      <c r="G704" s="2" t="s">
        <v>21</v>
      </c>
      <c r="H704" s="2">
        <v>1</v>
      </c>
      <c r="I704" s="4">
        <v>70</v>
      </c>
      <c r="J704" s="2" t="s">
        <v>38</v>
      </c>
      <c r="K704">
        <f>H704*I704</f>
        <v>70</v>
      </c>
      <c r="L704" t="str">
        <f t="shared" si="20"/>
        <v>May</v>
      </c>
      <c r="M704">
        <f t="shared" si="21"/>
        <v>5</v>
      </c>
    </row>
    <row r="705" spans="1:13" x14ac:dyDescent="0.25">
      <c r="A705" s="2" t="s">
        <v>778</v>
      </c>
      <c r="B705" s="3">
        <v>45796</v>
      </c>
      <c r="C705" s="2" t="s">
        <v>74</v>
      </c>
      <c r="D705" s="2" t="s">
        <v>75</v>
      </c>
      <c r="E705" s="2" t="s">
        <v>76</v>
      </c>
      <c r="F705" s="2" t="s">
        <v>14</v>
      </c>
      <c r="G705" s="2" t="s">
        <v>77</v>
      </c>
      <c r="H705" s="2">
        <v>6</v>
      </c>
      <c r="I705" s="4">
        <v>32</v>
      </c>
      <c r="J705" s="2" t="s">
        <v>16</v>
      </c>
      <c r="K705">
        <f>H705*I705</f>
        <v>192</v>
      </c>
      <c r="L705" t="str">
        <f t="shared" si="20"/>
        <v>May</v>
      </c>
      <c r="M705">
        <f t="shared" si="21"/>
        <v>5</v>
      </c>
    </row>
    <row r="706" spans="1:13" x14ac:dyDescent="0.25">
      <c r="A706" s="2" t="s">
        <v>779</v>
      </c>
      <c r="B706" s="3">
        <v>45796</v>
      </c>
      <c r="C706" s="2" t="s">
        <v>102</v>
      </c>
      <c r="D706" s="2" t="s">
        <v>102</v>
      </c>
      <c r="E706" s="2" t="s">
        <v>36</v>
      </c>
      <c r="F706" s="2" t="s">
        <v>20</v>
      </c>
      <c r="G706" s="2" t="s">
        <v>21</v>
      </c>
      <c r="H706" s="2">
        <v>6</v>
      </c>
      <c r="I706" s="4">
        <v>35</v>
      </c>
      <c r="J706" s="2" t="s">
        <v>16</v>
      </c>
      <c r="K706">
        <f>H706*I706</f>
        <v>210</v>
      </c>
      <c r="L706" t="str">
        <f t="shared" si="20"/>
        <v>May</v>
      </c>
      <c r="M706">
        <f t="shared" si="21"/>
        <v>5</v>
      </c>
    </row>
    <row r="707" spans="1:13" x14ac:dyDescent="0.25">
      <c r="A707" s="2" t="s">
        <v>780</v>
      </c>
      <c r="B707" s="3">
        <v>45796</v>
      </c>
      <c r="C707" s="2" t="s">
        <v>190</v>
      </c>
      <c r="D707" s="2" t="s">
        <v>40</v>
      </c>
      <c r="E707" s="2" t="s">
        <v>19</v>
      </c>
      <c r="F707" s="2" t="s">
        <v>14</v>
      </c>
      <c r="G707" s="2" t="s">
        <v>191</v>
      </c>
      <c r="H707" s="2">
        <v>3</v>
      </c>
      <c r="I707" s="4">
        <v>142</v>
      </c>
      <c r="J707" s="2" t="s">
        <v>16</v>
      </c>
      <c r="K707">
        <f>H707*I707</f>
        <v>426</v>
      </c>
      <c r="L707" t="str">
        <f t="shared" ref="L707:L770" si="22">TEXT(B707,"mmm")</f>
        <v>May</v>
      </c>
      <c r="M707">
        <f t="shared" ref="M707:M770" si="23">MONTH(B707)</f>
        <v>5</v>
      </c>
    </row>
    <row r="708" spans="1:13" x14ac:dyDescent="0.25">
      <c r="A708" s="2" t="s">
        <v>781</v>
      </c>
      <c r="B708" s="3">
        <v>45796</v>
      </c>
      <c r="C708" s="2" t="s">
        <v>60</v>
      </c>
      <c r="D708" s="2" t="s">
        <v>61</v>
      </c>
      <c r="E708" s="2" t="s">
        <v>62</v>
      </c>
      <c r="F708" s="2" t="s">
        <v>14</v>
      </c>
      <c r="G708" s="2" t="s">
        <v>63</v>
      </c>
      <c r="H708" s="2">
        <v>4</v>
      </c>
      <c r="I708" s="4">
        <v>26</v>
      </c>
      <c r="J708" s="2" t="s">
        <v>16</v>
      </c>
      <c r="K708">
        <f>H708*I708</f>
        <v>104</v>
      </c>
      <c r="L708" t="str">
        <f t="shared" si="22"/>
        <v>May</v>
      </c>
      <c r="M708">
        <f t="shared" si="23"/>
        <v>5</v>
      </c>
    </row>
    <row r="709" spans="1:13" x14ac:dyDescent="0.25">
      <c r="A709" s="2" t="s">
        <v>782</v>
      </c>
      <c r="B709" s="3">
        <v>45797</v>
      </c>
      <c r="C709" s="2" t="s">
        <v>67</v>
      </c>
      <c r="D709" s="2" t="s">
        <v>68</v>
      </c>
      <c r="E709" s="2" t="s">
        <v>49</v>
      </c>
      <c r="F709" s="2" t="s">
        <v>14</v>
      </c>
      <c r="G709" s="2" t="s">
        <v>69</v>
      </c>
      <c r="H709" s="2">
        <v>2</v>
      </c>
      <c r="I709" s="4">
        <v>205</v>
      </c>
      <c r="J709" s="2" t="s">
        <v>16</v>
      </c>
      <c r="K709">
        <f>H709*I709</f>
        <v>410</v>
      </c>
      <c r="L709" t="str">
        <f t="shared" si="22"/>
        <v>May</v>
      </c>
      <c r="M709">
        <f t="shared" si="23"/>
        <v>5</v>
      </c>
    </row>
    <row r="710" spans="1:13" x14ac:dyDescent="0.25">
      <c r="A710" s="2" t="s">
        <v>783</v>
      </c>
      <c r="B710" s="3">
        <v>45797</v>
      </c>
      <c r="C710" s="2" t="s">
        <v>40</v>
      </c>
      <c r="D710" s="2" t="s">
        <v>40</v>
      </c>
      <c r="E710" s="2" t="s">
        <v>19</v>
      </c>
      <c r="F710" s="2" t="s">
        <v>20</v>
      </c>
      <c r="G710" s="2" t="s">
        <v>21</v>
      </c>
      <c r="H710" s="2">
        <v>3</v>
      </c>
      <c r="I710" s="4">
        <v>46</v>
      </c>
      <c r="J710" s="2" t="s">
        <v>31</v>
      </c>
      <c r="K710">
        <f>H710*I710</f>
        <v>138</v>
      </c>
      <c r="L710" t="str">
        <f t="shared" si="22"/>
        <v>May</v>
      </c>
      <c r="M710">
        <f t="shared" si="23"/>
        <v>5</v>
      </c>
    </row>
    <row r="711" spans="1:13" x14ac:dyDescent="0.25">
      <c r="A711" s="2" t="s">
        <v>784</v>
      </c>
      <c r="B711" s="3">
        <v>45797</v>
      </c>
      <c r="C711" s="2" t="s">
        <v>79</v>
      </c>
      <c r="D711" s="2" t="s">
        <v>80</v>
      </c>
      <c r="E711" s="2" t="s">
        <v>26</v>
      </c>
      <c r="F711" s="2" t="s">
        <v>14</v>
      </c>
      <c r="G711" s="2" t="s">
        <v>81</v>
      </c>
      <c r="H711" s="2">
        <v>2</v>
      </c>
      <c r="I711" s="4">
        <v>152</v>
      </c>
      <c r="J711" s="2" t="s">
        <v>16</v>
      </c>
      <c r="K711">
        <f>H711*I711</f>
        <v>304</v>
      </c>
      <c r="L711" t="str">
        <f t="shared" si="22"/>
        <v>May</v>
      </c>
      <c r="M711">
        <f t="shared" si="23"/>
        <v>5</v>
      </c>
    </row>
    <row r="712" spans="1:13" x14ac:dyDescent="0.25">
      <c r="A712" s="2" t="s">
        <v>785</v>
      </c>
      <c r="B712" s="3">
        <v>45797</v>
      </c>
      <c r="C712" s="2" t="s">
        <v>24</v>
      </c>
      <c r="D712" s="2" t="s">
        <v>25</v>
      </c>
      <c r="E712" s="2" t="s">
        <v>26</v>
      </c>
      <c r="F712" s="2" t="s">
        <v>14</v>
      </c>
      <c r="G712" s="2" t="s">
        <v>27</v>
      </c>
      <c r="H712" s="2">
        <v>5</v>
      </c>
      <c r="I712" s="4">
        <v>58</v>
      </c>
      <c r="J712" s="2" t="s">
        <v>16</v>
      </c>
      <c r="K712">
        <f>H712*I712</f>
        <v>290</v>
      </c>
      <c r="L712" t="str">
        <f t="shared" si="22"/>
        <v>May</v>
      </c>
      <c r="M712">
        <f t="shared" si="23"/>
        <v>5</v>
      </c>
    </row>
    <row r="713" spans="1:13" x14ac:dyDescent="0.25">
      <c r="A713" s="2" t="s">
        <v>786</v>
      </c>
      <c r="B713" s="3">
        <v>45797</v>
      </c>
      <c r="C713" s="2" t="s">
        <v>25</v>
      </c>
      <c r="D713" s="2" t="s">
        <v>25</v>
      </c>
      <c r="E713" s="2" t="s">
        <v>26</v>
      </c>
      <c r="F713" s="2" t="s">
        <v>20</v>
      </c>
      <c r="G713" s="2" t="s">
        <v>21</v>
      </c>
      <c r="H713" s="2">
        <v>1</v>
      </c>
      <c r="I713" s="4">
        <v>20</v>
      </c>
      <c r="J713" s="2" t="s">
        <v>16</v>
      </c>
      <c r="K713">
        <f>H713*I713</f>
        <v>20</v>
      </c>
      <c r="L713" t="str">
        <f t="shared" si="22"/>
        <v>May</v>
      </c>
      <c r="M713">
        <f t="shared" si="23"/>
        <v>5</v>
      </c>
    </row>
    <row r="714" spans="1:13" x14ac:dyDescent="0.25">
      <c r="A714" s="2" t="s">
        <v>787</v>
      </c>
      <c r="B714" s="3">
        <v>45797</v>
      </c>
      <c r="C714" s="2" t="s">
        <v>52</v>
      </c>
      <c r="D714" s="2" t="s">
        <v>30</v>
      </c>
      <c r="E714" s="2" t="s">
        <v>13</v>
      </c>
      <c r="F714" s="2" t="s">
        <v>14</v>
      </c>
      <c r="G714" s="2" t="s">
        <v>53</v>
      </c>
      <c r="H714" s="2">
        <v>2</v>
      </c>
      <c r="I714" s="4">
        <v>42</v>
      </c>
      <c r="J714" s="2" t="s">
        <v>38</v>
      </c>
      <c r="K714">
        <f>H714*I714</f>
        <v>84</v>
      </c>
      <c r="L714" t="str">
        <f t="shared" si="22"/>
        <v>May</v>
      </c>
      <c r="M714">
        <f t="shared" si="23"/>
        <v>5</v>
      </c>
    </row>
    <row r="715" spans="1:13" x14ac:dyDescent="0.25">
      <c r="A715" s="2" t="s">
        <v>788</v>
      </c>
      <c r="B715" s="3">
        <v>45797</v>
      </c>
      <c r="C715" s="2" t="s">
        <v>108</v>
      </c>
      <c r="D715" s="2" t="s">
        <v>109</v>
      </c>
      <c r="E715" s="2" t="s">
        <v>13</v>
      </c>
      <c r="F715" s="2" t="s">
        <v>14</v>
      </c>
      <c r="G715" s="2" t="s">
        <v>110</v>
      </c>
      <c r="H715" s="2">
        <v>4</v>
      </c>
      <c r="I715" s="4">
        <v>62</v>
      </c>
      <c r="J715" s="2" t="s">
        <v>31</v>
      </c>
      <c r="K715">
        <f>H715*I715</f>
        <v>248</v>
      </c>
      <c r="L715" t="str">
        <f t="shared" si="22"/>
        <v>May</v>
      </c>
      <c r="M715">
        <f t="shared" si="23"/>
        <v>5</v>
      </c>
    </row>
    <row r="716" spans="1:13" x14ac:dyDescent="0.25">
      <c r="A716" s="2" t="s">
        <v>789</v>
      </c>
      <c r="B716" s="3">
        <v>45798</v>
      </c>
      <c r="C716" s="2" t="s">
        <v>101</v>
      </c>
      <c r="D716" s="2" t="s">
        <v>102</v>
      </c>
      <c r="E716" s="2" t="s">
        <v>36</v>
      </c>
      <c r="F716" s="2" t="s">
        <v>14</v>
      </c>
      <c r="G716" s="2" t="s">
        <v>103</v>
      </c>
      <c r="H716" s="2">
        <v>6</v>
      </c>
      <c r="I716" s="4">
        <v>92</v>
      </c>
      <c r="J716" s="2" t="s">
        <v>16</v>
      </c>
      <c r="K716">
        <f>H716*I716</f>
        <v>552</v>
      </c>
      <c r="L716" t="str">
        <f t="shared" si="22"/>
        <v>May</v>
      </c>
      <c r="M716">
        <f t="shared" si="23"/>
        <v>5</v>
      </c>
    </row>
    <row r="717" spans="1:13" x14ac:dyDescent="0.25">
      <c r="A717" s="2" t="s">
        <v>790</v>
      </c>
      <c r="B717" s="3">
        <v>45798</v>
      </c>
      <c r="C717" s="2" t="s">
        <v>101</v>
      </c>
      <c r="D717" s="2" t="s">
        <v>102</v>
      </c>
      <c r="E717" s="2" t="s">
        <v>36</v>
      </c>
      <c r="F717" s="2" t="s">
        <v>14</v>
      </c>
      <c r="G717" s="2" t="s">
        <v>103</v>
      </c>
      <c r="H717" s="2">
        <v>2</v>
      </c>
      <c r="I717" s="4">
        <v>92</v>
      </c>
      <c r="J717" s="2" t="s">
        <v>31</v>
      </c>
      <c r="K717">
        <f>H717*I717</f>
        <v>184</v>
      </c>
      <c r="L717" t="str">
        <f t="shared" si="22"/>
        <v>May</v>
      </c>
      <c r="M717">
        <f t="shared" si="23"/>
        <v>5</v>
      </c>
    </row>
    <row r="718" spans="1:13" x14ac:dyDescent="0.25">
      <c r="A718" s="2" t="s">
        <v>791</v>
      </c>
      <c r="B718" s="3">
        <v>45798</v>
      </c>
      <c r="C718" s="2" t="s">
        <v>124</v>
      </c>
      <c r="D718" s="2" t="s">
        <v>18</v>
      </c>
      <c r="E718" s="2" t="s">
        <v>19</v>
      </c>
      <c r="F718" s="2" t="s">
        <v>14</v>
      </c>
      <c r="G718" s="2" t="s">
        <v>125</v>
      </c>
      <c r="H718" s="2">
        <v>3</v>
      </c>
      <c r="I718" s="4">
        <v>45</v>
      </c>
      <c r="J718" s="2" t="s">
        <v>16</v>
      </c>
      <c r="K718">
        <f>H718*I718</f>
        <v>135</v>
      </c>
      <c r="L718" t="str">
        <f t="shared" si="22"/>
        <v>May</v>
      </c>
      <c r="M718">
        <f t="shared" si="23"/>
        <v>5</v>
      </c>
    </row>
    <row r="719" spans="1:13" x14ac:dyDescent="0.25">
      <c r="A719" s="2" t="s">
        <v>792</v>
      </c>
      <c r="B719" s="3">
        <v>45798</v>
      </c>
      <c r="C719" s="2" t="s">
        <v>24</v>
      </c>
      <c r="D719" s="2" t="s">
        <v>25</v>
      </c>
      <c r="E719" s="2" t="s">
        <v>26</v>
      </c>
      <c r="F719" s="2" t="s">
        <v>14</v>
      </c>
      <c r="G719" s="2" t="s">
        <v>27</v>
      </c>
      <c r="H719" s="2">
        <v>2</v>
      </c>
      <c r="I719" s="4">
        <v>58</v>
      </c>
      <c r="J719" s="2" t="s">
        <v>16</v>
      </c>
      <c r="K719">
        <f>H719*I719</f>
        <v>116</v>
      </c>
      <c r="L719" t="str">
        <f t="shared" si="22"/>
        <v>May</v>
      </c>
      <c r="M719">
        <f t="shared" si="23"/>
        <v>5</v>
      </c>
    </row>
    <row r="720" spans="1:13" x14ac:dyDescent="0.25">
      <c r="A720" s="2" t="s">
        <v>793</v>
      </c>
      <c r="B720" s="3">
        <v>45798</v>
      </c>
      <c r="C720" s="2" t="s">
        <v>108</v>
      </c>
      <c r="D720" s="2" t="s">
        <v>109</v>
      </c>
      <c r="E720" s="2" t="s">
        <v>13</v>
      </c>
      <c r="F720" s="2" t="s">
        <v>14</v>
      </c>
      <c r="G720" s="2" t="s">
        <v>110</v>
      </c>
      <c r="H720" s="2">
        <v>3</v>
      </c>
      <c r="I720" s="4">
        <v>62</v>
      </c>
      <c r="J720" s="2" t="s">
        <v>16</v>
      </c>
      <c r="K720">
        <f>H720*I720</f>
        <v>186</v>
      </c>
      <c r="L720" t="str">
        <f t="shared" si="22"/>
        <v>May</v>
      </c>
      <c r="M720">
        <f t="shared" si="23"/>
        <v>5</v>
      </c>
    </row>
    <row r="721" spans="1:13" x14ac:dyDescent="0.25">
      <c r="A721" s="2" t="s">
        <v>794</v>
      </c>
      <c r="B721" s="3">
        <v>45799</v>
      </c>
      <c r="C721" s="2" t="s">
        <v>86</v>
      </c>
      <c r="D721" s="2" t="s">
        <v>48</v>
      </c>
      <c r="E721" s="2" t="s">
        <v>49</v>
      </c>
      <c r="F721" s="2" t="s">
        <v>14</v>
      </c>
      <c r="G721" s="2" t="s">
        <v>87</v>
      </c>
      <c r="H721" s="2">
        <v>4</v>
      </c>
      <c r="I721" s="4">
        <v>125</v>
      </c>
      <c r="J721" s="2" t="s">
        <v>16</v>
      </c>
      <c r="K721">
        <f>H721*I721</f>
        <v>500</v>
      </c>
      <c r="L721" t="str">
        <f t="shared" si="22"/>
        <v>May</v>
      </c>
      <c r="M721">
        <f t="shared" si="23"/>
        <v>5</v>
      </c>
    </row>
    <row r="722" spans="1:13" x14ac:dyDescent="0.25">
      <c r="A722" s="2" t="s">
        <v>795</v>
      </c>
      <c r="B722" s="3">
        <v>45799</v>
      </c>
      <c r="C722" s="2" t="s">
        <v>124</v>
      </c>
      <c r="D722" s="2" t="s">
        <v>18</v>
      </c>
      <c r="E722" s="2" t="s">
        <v>19</v>
      </c>
      <c r="F722" s="2" t="s">
        <v>14</v>
      </c>
      <c r="G722" s="2" t="s">
        <v>125</v>
      </c>
      <c r="H722" s="2">
        <v>6</v>
      </c>
      <c r="I722" s="4">
        <v>45</v>
      </c>
      <c r="J722" s="2" t="s">
        <v>31</v>
      </c>
      <c r="K722">
        <f>H722*I722</f>
        <v>270</v>
      </c>
      <c r="L722" t="str">
        <f t="shared" si="22"/>
        <v>May</v>
      </c>
      <c r="M722">
        <f t="shared" si="23"/>
        <v>5</v>
      </c>
    </row>
    <row r="723" spans="1:13" x14ac:dyDescent="0.25">
      <c r="A723" s="2" t="s">
        <v>796</v>
      </c>
      <c r="B723" s="3">
        <v>45799</v>
      </c>
      <c r="C723" s="2" t="s">
        <v>24</v>
      </c>
      <c r="D723" s="2" t="s">
        <v>25</v>
      </c>
      <c r="E723" s="2" t="s">
        <v>26</v>
      </c>
      <c r="F723" s="2" t="s">
        <v>14</v>
      </c>
      <c r="G723" s="2" t="s">
        <v>27</v>
      </c>
      <c r="H723" s="2">
        <v>1</v>
      </c>
      <c r="I723" s="4">
        <v>58</v>
      </c>
      <c r="J723" s="2" t="s">
        <v>16</v>
      </c>
      <c r="K723">
        <f>H723*I723</f>
        <v>58</v>
      </c>
      <c r="L723" t="str">
        <f t="shared" si="22"/>
        <v>May</v>
      </c>
      <c r="M723">
        <f t="shared" si="23"/>
        <v>5</v>
      </c>
    </row>
    <row r="724" spans="1:13" x14ac:dyDescent="0.25">
      <c r="A724" s="2" t="s">
        <v>797</v>
      </c>
      <c r="B724" s="3">
        <v>45799</v>
      </c>
      <c r="C724" s="2" t="s">
        <v>25</v>
      </c>
      <c r="D724" s="2" t="s">
        <v>25</v>
      </c>
      <c r="E724" s="2" t="s">
        <v>26</v>
      </c>
      <c r="F724" s="2" t="s">
        <v>20</v>
      </c>
      <c r="G724" s="2" t="s">
        <v>21</v>
      </c>
      <c r="H724" s="2">
        <v>3</v>
      </c>
      <c r="I724" s="4">
        <v>20</v>
      </c>
      <c r="J724" s="2" t="s">
        <v>22</v>
      </c>
      <c r="K724">
        <f>H724*I724</f>
        <v>60</v>
      </c>
      <c r="L724" t="str">
        <f t="shared" si="22"/>
        <v>May</v>
      </c>
      <c r="M724">
        <f t="shared" si="23"/>
        <v>5</v>
      </c>
    </row>
    <row r="725" spans="1:13" x14ac:dyDescent="0.25">
      <c r="A725" s="2" t="s">
        <v>798</v>
      </c>
      <c r="B725" s="3">
        <v>45799</v>
      </c>
      <c r="C725" s="2" t="s">
        <v>109</v>
      </c>
      <c r="D725" s="2" t="s">
        <v>109</v>
      </c>
      <c r="E725" s="2" t="s">
        <v>13</v>
      </c>
      <c r="F725" s="2" t="s">
        <v>20</v>
      </c>
      <c r="G725" s="2" t="s">
        <v>21</v>
      </c>
      <c r="H725" s="2">
        <v>2</v>
      </c>
      <c r="I725" s="4">
        <v>20</v>
      </c>
      <c r="J725" s="2" t="s">
        <v>38</v>
      </c>
      <c r="K725">
        <f>H725*I725</f>
        <v>40</v>
      </c>
      <c r="L725" t="str">
        <f t="shared" si="22"/>
        <v>May</v>
      </c>
      <c r="M725">
        <f t="shared" si="23"/>
        <v>5</v>
      </c>
    </row>
    <row r="726" spans="1:13" x14ac:dyDescent="0.25">
      <c r="A726" s="2" t="s">
        <v>799</v>
      </c>
      <c r="B726" s="3">
        <v>45800</v>
      </c>
      <c r="C726" s="2" t="s">
        <v>86</v>
      </c>
      <c r="D726" s="2" t="s">
        <v>48</v>
      </c>
      <c r="E726" s="2" t="s">
        <v>49</v>
      </c>
      <c r="F726" s="2" t="s">
        <v>14</v>
      </c>
      <c r="G726" s="2" t="s">
        <v>87</v>
      </c>
      <c r="H726" s="2">
        <v>4</v>
      </c>
      <c r="I726" s="4">
        <v>125</v>
      </c>
      <c r="J726" s="2" t="s">
        <v>16</v>
      </c>
      <c r="K726">
        <f>H726*I726</f>
        <v>500</v>
      </c>
      <c r="L726" t="str">
        <f t="shared" si="22"/>
        <v>May</v>
      </c>
      <c r="M726">
        <f t="shared" si="23"/>
        <v>5</v>
      </c>
    </row>
    <row r="727" spans="1:13" x14ac:dyDescent="0.25">
      <c r="A727" s="2" t="s">
        <v>800</v>
      </c>
      <c r="B727" s="3">
        <v>45800</v>
      </c>
      <c r="C727" s="2" t="s">
        <v>101</v>
      </c>
      <c r="D727" s="2" t="s">
        <v>102</v>
      </c>
      <c r="E727" s="2" t="s">
        <v>36</v>
      </c>
      <c r="F727" s="2" t="s">
        <v>14</v>
      </c>
      <c r="G727" s="2" t="s">
        <v>103</v>
      </c>
      <c r="H727" s="2">
        <v>1</v>
      </c>
      <c r="I727" s="4">
        <v>92</v>
      </c>
      <c r="J727" s="2" t="s">
        <v>31</v>
      </c>
      <c r="K727">
        <f>H727*I727</f>
        <v>92</v>
      </c>
      <c r="L727" t="str">
        <f t="shared" si="22"/>
        <v>May</v>
      </c>
      <c r="M727">
        <f t="shared" si="23"/>
        <v>5</v>
      </c>
    </row>
    <row r="728" spans="1:13" x14ac:dyDescent="0.25">
      <c r="A728" s="2" t="s">
        <v>801</v>
      </c>
      <c r="B728" s="3">
        <v>45800</v>
      </c>
      <c r="C728" s="2" t="s">
        <v>60</v>
      </c>
      <c r="D728" s="2" t="s">
        <v>61</v>
      </c>
      <c r="E728" s="2" t="s">
        <v>62</v>
      </c>
      <c r="F728" s="2" t="s">
        <v>14</v>
      </c>
      <c r="G728" s="2" t="s">
        <v>63</v>
      </c>
      <c r="H728" s="2">
        <v>1</v>
      </c>
      <c r="I728" s="4">
        <v>26</v>
      </c>
      <c r="J728" s="2" t="s">
        <v>31</v>
      </c>
      <c r="K728">
        <f>H728*I728</f>
        <v>26</v>
      </c>
      <c r="L728" t="str">
        <f t="shared" si="22"/>
        <v>May</v>
      </c>
      <c r="M728">
        <f t="shared" si="23"/>
        <v>5</v>
      </c>
    </row>
    <row r="729" spans="1:13" x14ac:dyDescent="0.25">
      <c r="A729" s="2" t="s">
        <v>802</v>
      </c>
      <c r="B729" s="3">
        <v>45800</v>
      </c>
      <c r="C729" s="2" t="s">
        <v>97</v>
      </c>
      <c r="D729" s="2" t="s">
        <v>98</v>
      </c>
      <c r="E729" s="2" t="s">
        <v>99</v>
      </c>
      <c r="F729" s="2" t="s">
        <v>14</v>
      </c>
      <c r="G729" s="2" t="s">
        <v>37</v>
      </c>
      <c r="H729" s="2">
        <v>5</v>
      </c>
      <c r="I729" s="4">
        <v>182</v>
      </c>
      <c r="J729" s="2" t="s">
        <v>31</v>
      </c>
      <c r="K729">
        <f>H729*I729</f>
        <v>910</v>
      </c>
      <c r="L729" t="str">
        <f t="shared" si="22"/>
        <v>May</v>
      </c>
      <c r="M729">
        <f t="shared" si="23"/>
        <v>5</v>
      </c>
    </row>
    <row r="730" spans="1:13" x14ac:dyDescent="0.25">
      <c r="A730" s="2" t="s">
        <v>803</v>
      </c>
      <c r="B730" s="3">
        <v>45801</v>
      </c>
      <c r="C730" s="2" t="s">
        <v>11</v>
      </c>
      <c r="D730" s="2" t="s">
        <v>12</v>
      </c>
      <c r="E730" s="2" t="s">
        <v>13</v>
      </c>
      <c r="F730" s="2" t="s">
        <v>14</v>
      </c>
      <c r="G730" s="2" t="s">
        <v>15</v>
      </c>
      <c r="H730" s="2">
        <v>2</v>
      </c>
      <c r="I730" s="4">
        <v>32</v>
      </c>
      <c r="J730" s="2" t="s">
        <v>31</v>
      </c>
      <c r="K730">
        <f>H730*I730</f>
        <v>64</v>
      </c>
      <c r="L730" t="str">
        <f t="shared" si="22"/>
        <v>May</v>
      </c>
      <c r="M730">
        <f t="shared" si="23"/>
        <v>5</v>
      </c>
    </row>
    <row r="731" spans="1:13" x14ac:dyDescent="0.25">
      <c r="A731" s="2" t="s">
        <v>804</v>
      </c>
      <c r="B731" s="3">
        <v>45801</v>
      </c>
      <c r="C731" s="2" t="s">
        <v>67</v>
      </c>
      <c r="D731" s="2" t="s">
        <v>68</v>
      </c>
      <c r="E731" s="2" t="s">
        <v>49</v>
      </c>
      <c r="F731" s="2" t="s">
        <v>14</v>
      </c>
      <c r="G731" s="2" t="s">
        <v>69</v>
      </c>
      <c r="H731" s="2">
        <v>5</v>
      </c>
      <c r="I731" s="4">
        <v>205</v>
      </c>
      <c r="J731" s="2" t="s">
        <v>22</v>
      </c>
      <c r="K731">
        <f>H731*I731</f>
        <v>1025</v>
      </c>
      <c r="L731" t="str">
        <f t="shared" si="22"/>
        <v>May</v>
      </c>
      <c r="M731">
        <f t="shared" si="23"/>
        <v>5</v>
      </c>
    </row>
    <row r="732" spans="1:13" x14ac:dyDescent="0.25">
      <c r="A732" s="2" t="s">
        <v>805</v>
      </c>
      <c r="B732" s="3">
        <v>45801</v>
      </c>
      <c r="C732" s="2" t="s">
        <v>75</v>
      </c>
      <c r="D732" s="2" t="s">
        <v>75</v>
      </c>
      <c r="E732" s="2" t="s">
        <v>76</v>
      </c>
      <c r="F732" s="2" t="s">
        <v>20</v>
      </c>
      <c r="G732" s="2" t="s">
        <v>21</v>
      </c>
      <c r="H732" s="2">
        <v>3</v>
      </c>
      <c r="I732" s="4">
        <v>12</v>
      </c>
      <c r="J732" s="2" t="s">
        <v>22</v>
      </c>
      <c r="K732">
        <f>H732*I732</f>
        <v>36</v>
      </c>
      <c r="L732" t="str">
        <f t="shared" si="22"/>
        <v>May</v>
      </c>
      <c r="M732">
        <f t="shared" si="23"/>
        <v>5</v>
      </c>
    </row>
    <row r="733" spans="1:13" x14ac:dyDescent="0.25">
      <c r="A733" s="2" t="s">
        <v>806</v>
      </c>
      <c r="B733" s="3">
        <v>45801</v>
      </c>
      <c r="C733" s="2" t="s">
        <v>79</v>
      </c>
      <c r="D733" s="2" t="s">
        <v>80</v>
      </c>
      <c r="E733" s="2" t="s">
        <v>26</v>
      </c>
      <c r="F733" s="2" t="s">
        <v>14</v>
      </c>
      <c r="G733" s="2" t="s">
        <v>81</v>
      </c>
      <c r="H733" s="2">
        <v>5</v>
      </c>
      <c r="I733" s="4">
        <v>152</v>
      </c>
      <c r="J733" s="2" t="s">
        <v>16</v>
      </c>
      <c r="K733">
        <f>H733*I733</f>
        <v>760</v>
      </c>
      <c r="L733" t="str">
        <f t="shared" si="22"/>
        <v>May</v>
      </c>
      <c r="M733">
        <f t="shared" si="23"/>
        <v>5</v>
      </c>
    </row>
    <row r="734" spans="1:13" x14ac:dyDescent="0.25">
      <c r="A734" s="2" t="s">
        <v>807</v>
      </c>
      <c r="B734" s="3">
        <v>45802</v>
      </c>
      <c r="C734" s="2" t="s">
        <v>35</v>
      </c>
      <c r="D734" s="2" t="s">
        <v>35</v>
      </c>
      <c r="E734" s="2" t="s">
        <v>36</v>
      </c>
      <c r="F734" s="2" t="s">
        <v>20</v>
      </c>
      <c r="G734" s="2" t="s">
        <v>21</v>
      </c>
      <c r="H734" s="2">
        <v>6</v>
      </c>
      <c r="I734" s="4">
        <v>58</v>
      </c>
      <c r="J734" s="2" t="s">
        <v>22</v>
      </c>
      <c r="K734">
        <f>H734*I734</f>
        <v>348</v>
      </c>
      <c r="L734" t="str">
        <f t="shared" si="22"/>
        <v>May</v>
      </c>
      <c r="M734">
        <f t="shared" si="23"/>
        <v>5</v>
      </c>
    </row>
    <row r="735" spans="1:13" x14ac:dyDescent="0.25">
      <c r="A735" s="2" t="s">
        <v>808</v>
      </c>
      <c r="B735" s="3">
        <v>45803</v>
      </c>
      <c r="C735" s="2" t="s">
        <v>48</v>
      </c>
      <c r="D735" s="2" t="s">
        <v>48</v>
      </c>
      <c r="E735" s="2" t="s">
        <v>49</v>
      </c>
      <c r="F735" s="2" t="s">
        <v>20</v>
      </c>
      <c r="G735" s="2" t="s">
        <v>21</v>
      </c>
      <c r="H735" s="2">
        <v>2</v>
      </c>
      <c r="I735" s="4">
        <v>55</v>
      </c>
      <c r="J735" s="2" t="s">
        <v>16</v>
      </c>
      <c r="K735">
        <f>H735*I735</f>
        <v>110</v>
      </c>
      <c r="L735" t="str">
        <f t="shared" si="22"/>
        <v>May</v>
      </c>
      <c r="M735">
        <f t="shared" si="23"/>
        <v>5</v>
      </c>
    </row>
    <row r="736" spans="1:13" x14ac:dyDescent="0.25">
      <c r="A736" s="2" t="s">
        <v>809</v>
      </c>
      <c r="B736" s="3">
        <v>45803</v>
      </c>
      <c r="C736" s="2" t="s">
        <v>72</v>
      </c>
      <c r="D736" s="2" t="s">
        <v>68</v>
      </c>
      <c r="E736" s="2" t="s">
        <v>49</v>
      </c>
      <c r="F736" s="2" t="s">
        <v>20</v>
      </c>
      <c r="G736" s="2" t="s">
        <v>21</v>
      </c>
      <c r="H736" s="2">
        <v>5</v>
      </c>
      <c r="I736" s="4">
        <v>95</v>
      </c>
      <c r="J736" s="2" t="s">
        <v>16</v>
      </c>
      <c r="K736">
        <f>H736*I736</f>
        <v>475</v>
      </c>
      <c r="L736" t="str">
        <f t="shared" si="22"/>
        <v>May</v>
      </c>
      <c r="M736">
        <f t="shared" si="23"/>
        <v>5</v>
      </c>
    </row>
    <row r="737" spans="1:13" x14ac:dyDescent="0.25">
      <c r="A737" s="2" t="s">
        <v>810</v>
      </c>
      <c r="B737" s="3">
        <v>45803</v>
      </c>
      <c r="C737" s="2" t="s">
        <v>24</v>
      </c>
      <c r="D737" s="2" t="s">
        <v>25</v>
      </c>
      <c r="E737" s="2" t="s">
        <v>26</v>
      </c>
      <c r="F737" s="2" t="s">
        <v>14</v>
      </c>
      <c r="G737" s="2" t="s">
        <v>27</v>
      </c>
      <c r="H737" s="2">
        <v>4</v>
      </c>
      <c r="I737" s="4">
        <v>58</v>
      </c>
      <c r="J737" s="2" t="s">
        <v>16</v>
      </c>
      <c r="K737">
        <f>H737*I737</f>
        <v>232</v>
      </c>
      <c r="L737" t="str">
        <f t="shared" si="22"/>
        <v>May</v>
      </c>
      <c r="M737">
        <f t="shared" si="23"/>
        <v>5</v>
      </c>
    </row>
    <row r="738" spans="1:13" x14ac:dyDescent="0.25">
      <c r="A738" s="2" t="s">
        <v>811</v>
      </c>
      <c r="B738" s="3">
        <v>45803</v>
      </c>
      <c r="C738" s="2" t="s">
        <v>25</v>
      </c>
      <c r="D738" s="2" t="s">
        <v>25</v>
      </c>
      <c r="E738" s="2" t="s">
        <v>26</v>
      </c>
      <c r="F738" s="2" t="s">
        <v>20</v>
      </c>
      <c r="G738" s="2" t="s">
        <v>21</v>
      </c>
      <c r="H738" s="2">
        <v>3</v>
      </c>
      <c r="I738" s="4">
        <v>20</v>
      </c>
      <c r="J738" s="2" t="s">
        <v>38</v>
      </c>
      <c r="K738">
        <f>H738*I738</f>
        <v>60</v>
      </c>
      <c r="L738" t="str">
        <f t="shared" si="22"/>
        <v>May</v>
      </c>
      <c r="M738">
        <f t="shared" si="23"/>
        <v>5</v>
      </c>
    </row>
    <row r="739" spans="1:13" x14ac:dyDescent="0.25">
      <c r="A739" s="2" t="s">
        <v>812</v>
      </c>
      <c r="B739" s="3">
        <v>45804</v>
      </c>
      <c r="C739" s="2" t="s">
        <v>11</v>
      </c>
      <c r="D739" s="2" t="s">
        <v>12</v>
      </c>
      <c r="E739" s="2" t="s">
        <v>13</v>
      </c>
      <c r="F739" s="2" t="s">
        <v>14</v>
      </c>
      <c r="G739" s="2" t="s">
        <v>15</v>
      </c>
      <c r="H739" s="2">
        <v>2</v>
      </c>
      <c r="I739" s="4">
        <v>32</v>
      </c>
      <c r="J739" s="2" t="s">
        <v>16</v>
      </c>
      <c r="K739">
        <f>H739*I739</f>
        <v>64</v>
      </c>
      <c r="L739" t="str">
        <f t="shared" si="22"/>
        <v>May</v>
      </c>
      <c r="M739">
        <f t="shared" si="23"/>
        <v>5</v>
      </c>
    </row>
    <row r="740" spans="1:13" x14ac:dyDescent="0.25">
      <c r="A740" s="2" t="s">
        <v>813</v>
      </c>
      <c r="B740" s="3">
        <v>45804</v>
      </c>
      <c r="C740" s="2" t="s">
        <v>74</v>
      </c>
      <c r="D740" s="2" t="s">
        <v>75</v>
      </c>
      <c r="E740" s="2" t="s">
        <v>76</v>
      </c>
      <c r="F740" s="2" t="s">
        <v>14</v>
      </c>
      <c r="G740" s="2" t="s">
        <v>77</v>
      </c>
      <c r="H740" s="2">
        <v>1</v>
      </c>
      <c r="I740" s="4">
        <v>32</v>
      </c>
      <c r="J740" s="2" t="s">
        <v>22</v>
      </c>
      <c r="K740">
        <f>H740*I740</f>
        <v>32</v>
      </c>
      <c r="L740" t="str">
        <f t="shared" si="22"/>
        <v>May</v>
      </c>
      <c r="M740">
        <f t="shared" si="23"/>
        <v>5</v>
      </c>
    </row>
    <row r="741" spans="1:13" x14ac:dyDescent="0.25">
      <c r="A741" s="2" t="s">
        <v>814</v>
      </c>
      <c r="B741" s="3">
        <v>45804</v>
      </c>
      <c r="C741" s="2" t="s">
        <v>80</v>
      </c>
      <c r="D741" s="2" t="s">
        <v>80</v>
      </c>
      <c r="E741" s="2" t="s">
        <v>26</v>
      </c>
      <c r="F741" s="2" t="s">
        <v>20</v>
      </c>
      <c r="G741" s="2" t="s">
        <v>21</v>
      </c>
      <c r="H741" s="2">
        <v>1</v>
      </c>
      <c r="I741" s="4">
        <v>50</v>
      </c>
      <c r="J741" s="2" t="s">
        <v>22</v>
      </c>
      <c r="K741">
        <f>H741*I741</f>
        <v>50</v>
      </c>
      <c r="L741" t="str">
        <f t="shared" si="22"/>
        <v>May</v>
      </c>
      <c r="M741">
        <f t="shared" si="23"/>
        <v>5</v>
      </c>
    </row>
    <row r="742" spans="1:13" x14ac:dyDescent="0.25">
      <c r="A742" s="2" t="s">
        <v>815</v>
      </c>
      <c r="B742" s="3">
        <v>45804</v>
      </c>
      <c r="C742" s="2" t="s">
        <v>61</v>
      </c>
      <c r="D742" s="2" t="s">
        <v>61</v>
      </c>
      <c r="E742" s="2" t="s">
        <v>62</v>
      </c>
      <c r="F742" s="2" t="s">
        <v>20</v>
      </c>
      <c r="G742" s="2" t="s">
        <v>21</v>
      </c>
      <c r="H742" s="2">
        <v>1</v>
      </c>
      <c r="I742" s="4">
        <v>8</v>
      </c>
      <c r="J742" s="2" t="s">
        <v>16</v>
      </c>
      <c r="K742">
        <f>H742*I742</f>
        <v>8</v>
      </c>
      <c r="L742" t="str">
        <f t="shared" si="22"/>
        <v>May</v>
      </c>
      <c r="M742">
        <f t="shared" si="23"/>
        <v>5</v>
      </c>
    </row>
    <row r="743" spans="1:13" x14ac:dyDescent="0.25">
      <c r="A743" s="2" t="s">
        <v>816</v>
      </c>
      <c r="B743" s="3">
        <v>45805</v>
      </c>
      <c r="C743" s="2" t="s">
        <v>86</v>
      </c>
      <c r="D743" s="2" t="s">
        <v>48</v>
      </c>
      <c r="E743" s="2" t="s">
        <v>49</v>
      </c>
      <c r="F743" s="2" t="s">
        <v>14</v>
      </c>
      <c r="G743" s="2" t="s">
        <v>87</v>
      </c>
      <c r="H743" s="2">
        <v>1</v>
      </c>
      <c r="I743" s="4">
        <v>125</v>
      </c>
      <c r="J743" s="2" t="s">
        <v>31</v>
      </c>
      <c r="K743">
        <f>H743*I743</f>
        <v>125</v>
      </c>
      <c r="L743" t="str">
        <f t="shared" si="22"/>
        <v>May</v>
      </c>
      <c r="M743">
        <f t="shared" si="23"/>
        <v>5</v>
      </c>
    </row>
    <row r="744" spans="1:13" x14ac:dyDescent="0.25">
      <c r="A744" s="2" t="s">
        <v>817</v>
      </c>
      <c r="B744" s="3">
        <v>45805</v>
      </c>
      <c r="C744" s="2" t="s">
        <v>190</v>
      </c>
      <c r="D744" s="2" t="s">
        <v>40</v>
      </c>
      <c r="E744" s="2" t="s">
        <v>19</v>
      </c>
      <c r="F744" s="2" t="s">
        <v>14</v>
      </c>
      <c r="G744" s="2" t="s">
        <v>191</v>
      </c>
      <c r="H744" s="2">
        <v>3</v>
      </c>
      <c r="I744" s="4">
        <v>142</v>
      </c>
      <c r="J744" s="2" t="s">
        <v>16</v>
      </c>
      <c r="K744">
        <f>H744*I744</f>
        <v>426</v>
      </c>
      <c r="L744" t="str">
        <f t="shared" si="22"/>
        <v>May</v>
      </c>
      <c r="M744">
        <f t="shared" si="23"/>
        <v>5</v>
      </c>
    </row>
    <row r="745" spans="1:13" x14ac:dyDescent="0.25">
      <c r="A745" s="2" t="s">
        <v>818</v>
      </c>
      <c r="B745" s="3">
        <v>45806</v>
      </c>
      <c r="C745" s="2" t="s">
        <v>12</v>
      </c>
      <c r="D745" s="2" t="s">
        <v>12</v>
      </c>
      <c r="E745" s="2" t="s">
        <v>13</v>
      </c>
      <c r="F745" s="2" t="s">
        <v>20</v>
      </c>
      <c r="G745" s="2" t="s">
        <v>21</v>
      </c>
      <c r="H745" s="2">
        <v>1</v>
      </c>
      <c r="I745" s="4">
        <v>14</v>
      </c>
      <c r="J745" s="2" t="s">
        <v>38</v>
      </c>
      <c r="K745">
        <f>H745*I745</f>
        <v>14</v>
      </c>
      <c r="L745" t="str">
        <f t="shared" si="22"/>
        <v>May</v>
      </c>
      <c r="M745">
        <f t="shared" si="23"/>
        <v>5</v>
      </c>
    </row>
    <row r="746" spans="1:13" x14ac:dyDescent="0.25">
      <c r="A746" s="2" t="s">
        <v>819</v>
      </c>
      <c r="B746" s="3">
        <v>45806</v>
      </c>
      <c r="C746" s="2" t="s">
        <v>72</v>
      </c>
      <c r="D746" s="2" t="s">
        <v>68</v>
      </c>
      <c r="E746" s="2" t="s">
        <v>49</v>
      </c>
      <c r="F746" s="2" t="s">
        <v>20</v>
      </c>
      <c r="G746" s="2" t="s">
        <v>21</v>
      </c>
      <c r="H746" s="2">
        <v>5</v>
      </c>
      <c r="I746" s="4">
        <v>95</v>
      </c>
      <c r="J746" s="2" t="s">
        <v>31</v>
      </c>
      <c r="K746">
        <f>H746*I746</f>
        <v>475</v>
      </c>
      <c r="L746" t="str">
        <f t="shared" si="22"/>
        <v>May</v>
      </c>
      <c r="M746">
        <f t="shared" si="23"/>
        <v>5</v>
      </c>
    </row>
    <row r="747" spans="1:13" x14ac:dyDescent="0.25">
      <c r="A747" s="2" t="s">
        <v>820</v>
      </c>
      <c r="B747" s="3">
        <v>45806</v>
      </c>
      <c r="C747" s="2" t="s">
        <v>102</v>
      </c>
      <c r="D747" s="2" t="s">
        <v>102</v>
      </c>
      <c r="E747" s="2" t="s">
        <v>36</v>
      </c>
      <c r="F747" s="2" t="s">
        <v>20</v>
      </c>
      <c r="G747" s="2" t="s">
        <v>21</v>
      </c>
      <c r="H747" s="2">
        <v>3</v>
      </c>
      <c r="I747" s="4">
        <v>35</v>
      </c>
      <c r="J747" s="2" t="s">
        <v>16</v>
      </c>
      <c r="K747">
        <f>H747*I747</f>
        <v>105</v>
      </c>
      <c r="L747" t="str">
        <f t="shared" si="22"/>
        <v>May</v>
      </c>
      <c r="M747">
        <f t="shared" si="23"/>
        <v>5</v>
      </c>
    </row>
    <row r="748" spans="1:13" x14ac:dyDescent="0.25">
      <c r="A748" s="2" t="s">
        <v>821</v>
      </c>
      <c r="B748" s="3">
        <v>45806</v>
      </c>
      <c r="C748" s="2" t="s">
        <v>102</v>
      </c>
      <c r="D748" s="2" t="s">
        <v>102</v>
      </c>
      <c r="E748" s="2" t="s">
        <v>36</v>
      </c>
      <c r="F748" s="2" t="s">
        <v>20</v>
      </c>
      <c r="G748" s="2" t="s">
        <v>21</v>
      </c>
      <c r="H748" s="2">
        <v>12</v>
      </c>
      <c r="I748" s="4">
        <v>35</v>
      </c>
      <c r="J748" s="2" t="s">
        <v>16</v>
      </c>
      <c r="K748">
        <f>H748*I748</f>
        <v>420</v>
      </c>
      <c r="L748" t="str">
        <f t="shared" si="22"/>
        <v>May</v>
      </c>
      <c r="M748">
        <f t="shared" si="23"/>
        <v>5</v>
      </c>
    </row>
    <row r="749" spans="1:13" x14ac:dyDescent="0.25">
      <c r="A749" s="2" t="s">
        <v>822</v>
      </c>
      <c r="B749" s="3">
        <v>45807</v>
      </c>
      <c r="C749" s="2" t="s">
        <v>11</v>
      </c>
      <c r="D749" s="2" t="s">
        <v>12</v>
      </c>
      <c r="E749" s="2" t="s">
        <v>13</v>
      </c>
      <c r="F749" s="2" t="s">
        <v>14</v>
      </c>
      <c r="G749" s="2" t="s">
        <v>15</v>
      </c>
      <c r="H749" s="2">
        <v>1</v>
      </c>
      <c r="I749" s="4">
        <v>32</v>
      </c>
      <c r="J749" s="2" t="s">
        <v>22</v>
      </c>
      <c r="K749">
        <f>H749*I749</f>
        <v>32</v>
      </c>
      <c r="L749" t="str">
        <f t="shared" si="22"/>
        <v>May</v>
      </c>
      <c r="M749">
        <f t="shared" si="23"/>
        <v>5</v>
      </c>
    </row>
    <row r="750" spans="1:13" x14ac:dyDescent="0.25">
      <c r="A750" s="2" t="s">
        <v>823</v>
      </c>
      <c r="B750" s="3">
        <v>45807</v>
      </c>
      <c r="C750" s="2" t="s">
        <v>67</v>
      </c>
      <c r="D750" s="2" t="s">
        <v>68</v>
      </c>
      <c r="E750" s="2" t="s">
        <v>49</v>
      </c>
      <c r="F750" s="2" t="s">
        <v>14</v>
      </c>
      <c r="G750" s="2" t="s">
        <v>69</v>
      </c>
      <c r="H750" s="2">
        <v>2</v>
      </c>
      <c r="I750" s="4">
        <v>205</v>
      </c>
      <c r="J750" s="2" t="s">
        <v>31</v>
      </c>
      <c r="K750">
        <f>H750*I750</f>
        <v>410</v>
      </c>
      <c r="L750" t="str">
        <f t="shared" si="22"/>
        <v>May</v>
      </c>
      <c r="M750">
        <f t="shared" si="23"/>
        <v>5</v>
      </c>
    </row>
    <row r="751" spans="1:13" x14ac:dyDescent="0.25">
      <c r="A751" s="2" t="s">
        <v>824</v>
      </c>
      <c r="B751" s="3">
        <v>45807</v>
      </c>
      <c r="C751" s="2" t="s">
        <v>75</v>
      </c>
      <c r="D751" s="2" t="s">
        <v>75</v>
      </c>
      <c r="E751" s="2" t="s">
        <v>76</v>
      </c>
      <c r="F751" s="2" t="s">
        <v>20</v>
      </c>
      <c r="G751" s="2" t="s">
        <v>21</v>
      </c>
      <c r="H751" s="2">
        <v>3</v>
      </c>
      <c r="I751" s="4">
        <v>12</v>
      </c>
      <c r="J751" s="2" t="s">
        <v>16</v>
      </c>
      <c r="K751">
        <f>H751*I751</f>
        <v>36</v>
      </c>
      <c r="L751" t="str">
        <f t="shared" si="22"/>
        <v>May</v>
      </c>
      <c r="M751">
        <f t="shared" si="23"/>
        <v>5</v>
      </c>
    </row>
    <row r="752" spans="1:13" x14ac:dyDescent="0.25">
      <c r="A752" s="2" t="s">
        <v>825</v>
      </c>
      <c r="B752" s="3">
        <v>45807</v>
      </c>
      <c r="C752" s="2" t="s">
        <v>120</v>
      </c>
      <c r="D752" s="2" t="s">
        <v>120</v>
      </c>
      <c r="E752" s="2" t="s">
        <v>76</v>
      </c>
      <c r="F752" s="2" t="s">
        <v>20</v>
      </c>
      <c r="G752" s="2" t="s">
        <v>21</v>
      </c>
      <c r="H752" s="2">
        <v>1</v>
      </c>
      <c r="I752" s="4">
        <v>42</v>
      </c>
      <c r="J752" s="2" t="s">
        <v>38</v>
      </c>
      <c r="K752">
        <f>H752*I752</f>
        <v>42</v>
      </c>
      <c r="L752" t="str">
        <f t="shared" si="22"/>
        <v>May</v>
      </c>
      <c r="M752">
        <f t="shared" si="23"/>
        <v>5</v>
      </c>
    </row>
    <row r="753" spans="1:13" x14ac:dyDescent="0.25">
      <c r="A753" s="2" t="s">
        <v>826</v>
      </c>
      <c r="B753" s="3">
        <v>45807</v>
      </c>
      <c r="C753" s="2" t="s">
        <v>34</v>
      </c>
      <c r="D753" s="2" t="s">
        <v>35</v>
      </c>
      <c r="E753" s="2" t="s">
        <v>36</v>
      </c>
      <c r="F753" s="2" t="s">
        <v>14</v>
      </c>
      <c r="G753" s="2" t="s">
        <v>37</v>
      </c>
      <c r="H753" s="2">
        <v>1</v>
      </c>
      <c r="I753" s="4">
        <v>165</v>
      </c>
      <c r="J753" s="2" t="s">
        <v>38</v>
      </c>
      <c r="K753">
        <f>H753*I753</f>
        <v>165</v>
      </c>
      <c r="L753" t="str">
        <f t="shared" si="22"/>
        <v>May</v>
      </c>
      <c r="M753">
        <f t="shared" si="23"/>
        <v>5</v>
      </c>
    </row>
    <row r="754" spans="1:13" x14ac:dyDescent="0.25">
      <c r="A754" s="2" t="s">
        <v>827</v>
      </c>
      <c r="B754" s="3">
        <v>45807</v>
      </c>
      <c r="C754" s="2" t="s">
        <v>80</v>
      </c>
      <c r="D754" s="2" t="s">
        <v>80</v>
      </c>
      <c r="E754" s="2" t="s">
        <v>26</v>
      </c>
      <c r="F754" s="2" t="s">
        <v>20</v>
      </c>
      <c r="G754" s="2" t="s">
        <v>21</v>
      </c>
      <c r="H754" s="2">
        <v>2</v>
      </c>
      <c r="I754" s="4">
        <v>50</v>
      </c>
      <c r="J754" s="2" t="s">
        <v>38</v>
      </c>
      <c r="K754">
        <f>H754*I754</f>
        <v>100</v>
      </c>
      <c r="L754" t="str">
        <f t="shared" si="22"/>
        <v>May</v>
      </c>
      <c r="M754">
        <f t="shared" si="23"/>
        <v>5</v>
      </c>
    </row>
    <row r="755" spans="1:13" x14ac:dyDescent="0.25">
      <c r="A755" s="2" t="s">
        <v>828</v>
      </c>
      <c r="B755" s="3">
        <v>45807</v>
      </c>
      <c r="C755" s="2" t="s">
        <v>25</v>
      </c>
      <c r="D755" s="2" t="s">
        <v>25</v>
      </c>
      <c r="E755" s="2" t="s">
        <v>26</v>
      </c>
      <c r="F755" s="2" t="s">
        <v>20</v>
      </c>
      <c r="G755" s="2" t="s">
        <v>21</v>
      </c>
      <c r="H755" s="2">
        <v>4</v>
      </c>
      <c r="I755" s="4">
        <v>20</v>
      </c>
      <c r="J755" s="2" t="s">
        <v>31</v>
      </c>
      <c r="K755">
        <f>H755*I755</f>
        <v>80</v>
      </c>
      <c r="L755" t="str">
        <f t="shared" si="22"/>
        <v>May</v>
      </c>
      <c r="M755">
        <f t="shared" si="23"/>
        <v>5</v>
      </c>
    </row>
    <row r="756" spans="1:13" x14ac:dyDescent="0.25">
      <c r="A756" s="2" t="s">
        <v>829</v>
      </c>
      <c r="B756" s="3">
        <v>45808</v>
      </c>
      <c r="C756" s="2" t="s">
        <v>74</v>
      </c>
      <c r="D756" s="2" t="s">
        <v>75</v>
      </c>
      <c r="E756" s="2" t="s">
        <v>76</v>
      </c>
      <c r="F756" s="2" t="s">
        <v>14</v>
      </c>
      <c r="G756" s="2" t="s">
        <v>77</v>
      </c>
      <c r="H756" s="2">
        <v>6</v>
      </c>
      <c r="I756" s="4">
        <v>32</v>
      </c>
      <c r="J756" s="2" t="s">
        <v>16</v>
      </c>
      <c r="K756">
        <f>H756*I756</f>
        <v>192</v>
      </c>
      <c r="L756" t="str">
        <f t="shared" si="22"/>
        <v>May</v>
      </c>
      <c r="M756">
        <f t="shared" si="23"/>
        <v>5</v>
      </c>
    </row>
    <row r="757" spans="1:13" x14ac:dyDescent="0.25">
      <c r="A757" s="2" t="s">
        <v>830</v>
      </c>
      <c r="B757" s="3">
        <v>45808</v>
      </c>
      <c r="C757" s="2" t="s">
        <v>74</v>
      </c>
      <c r="D757" s="2" t="s">
        <v>75</v>
      </c>
      <c r="E757" s="2" t="s">
        <v>76</v>
      </c>
      <c r="F757" s="2" t="s">
        <v>14</v>
      </c>
      <c r="G757" s="2" t="s">
        <v>77</v>
      </c>
      <c r="H757" s="2">
        <v>12</v>
      </c>
      <c r="I757" s="4">
        <v>32</v>
      </c>
      <c r="J757" s="2" t="s">
        <v>16</v>
      </c>
      <c r="K757">
        <f>H757*I757</f>
        <v>384</v>
      </c>
      <c r="L757" t="str">
        <f t="shared" si="22"/>
        <v>May</v>
      </c>
      <c r="M757">
        <f t="shared" si="23"/>
        <v>5</v>
      </c>
    </row>
    <row r="758" spans="1:13" x14ac:dyDescent="0.25">
      <c r="A758" s="2" t="s">
        <v>831</v>
      </c>
      <c r="B758" s="3">
        <v>45808</v>
      </c>
      <c r="C758" s="2" t="s">
        <v>75</v>
      </c>
      <c r="D758" s="2" t="s">
        <v>75</v>
      </c>
      <c r="E758" s="2" t="s">
        <v>76</v>
      </c>
      <c r="F758" s="2" t="s">
        <v>20</v>
      </c>
      <c r="G758" s="2" t="s">
        <v>21</v>
      </c>
      <c r="H758" s="2">
        <v>2</v>
      </c>
      <c r="I758" s="4">
        <v>12</v>
      </c>
      <c r="J758" s="2" t="s">
        <v>31</v>
      </c>
      <c r="K758">
        <f>H758*I758</f>
        <v>24</v>
      </c>
      <c r="L758" t="str">
        <f t="shared" si="22"/>
        <v>May</v>
      </c>
      <c r="M758">
        <f t="shared" si="23"/>
        <v>5</v>
      </c>
    </row>
    <row r="759" spans="1:13" x14ac:dyDescent="0.25">
      <c r="A759" s="2" t="s">
        <v>832</v>
      </c>
      <c r="B759" s="3">
        <v>45808</v>
      </c>
      <c r="C759" s="2" t="s">
        <v>75</v>
      </c>
      <c r="D759" s="2" t="s">
        <v>75</v>
      </c>
      <c r="E759" s="2" t="s">
        <v>76</v>
      </c>
      <c r="F759" s="2" t="s">
        <v>20</v>
      </c>
      <c r="G759" s="2" t="s">
        <v>21</v>
      </c>
      <c r="H759" s="2">
        <v>6</v>
      </c>
      <c r="I759" s="4">
        <v>12</v>
      </c>
      <c r="J759" s="2" t="s">
        <v>16</v>
      </c>
      <c r="K759">
        <f>H759*I759</f>
        <v>72</v>
      </c>
      <c r="L759" t="str">
        <f t="shared" si="22"/>
        <v>May</v>
      </c>
      <c r="M759">
        <f t="shared" si="23"/>
        <v>5</v>
      </c>
    </row>
    <row r="760" spans="1:13" x14ac:dyDescent="0.25">
      <c r="A760" s="2" t="s">
        <v>833</v>
      </c>
      <c r="B760" s="3">
        <v>45808</v>
      </c>
      <c r="C760" s="2" t="s">
        <v>101</v>
      </c>
      <c r="D760" s="2" t="s">
        <v>102</v>
      </c>
      <c r="E760" s="2" t="s">
        <v>36</v>
      </c>
      <c r="F760" s="2" t="s">
        <v>14</v>
      </c>
      <c r="G760" s="2" t="s">
        <v>103</v>
      </c>
      <c r="H760" s="2">
        <v>3</v>
      </c>
      <c r="I760" s="4">
        <v>92</v>
      </c>
      <c r="J760" s="2" t="s">
        <v>16</v>
      </c>
      <c r="K760">
        <f>H760*I760</f>
        <v>276</v>
      </c>
      <c r="L760" t="str">
        <f t="shared" si="22"/>
        <v>May</v>
      </c>
      <c r="M760">
        <f t="shared" si="23"/>
        <v>5</v>
      </c>
    </row>
    <row r="761" spans="1:13" x14ac:dyDescent="0.25">
      <c r="A761" s="2" t="s">
        <v>834</v>
      </c>
      <c r="B761" s="3">
        <v>45808</v>
      </c>
      <c r="C761" s="2" t="s">
        <v>124</v>
      </c>
      <c r="D761" s="2" t="s">
        <v>18</v>
      </c>
      <c r="E761" s="2" t="s">
        <v>19</v>
      </c>
      <c r="F761" s="2" t="s">
        <v>14</v>
      </c>
      <c r="G761" s="2" t="s">
        <v>125</v>
      </c>
      <c r="H761" s="2">
        <v>3</v>
      </c>
      <c r="I761" s="4">
        <v>45</v>
      </c>
      <c r="J761" s="2" t="s">
        <v>31</v>
      </c>
      <c r="K761">
        <f>H761*I761</f>
        <v>135</v>
      </c>
      <c r="L761" t="str">
        <f t="shared" si="22"/>
        <v>May</v>
      </c>
      <c r="M761">
        <f t="shared" si="23"/>
        <v>5</v>
      </c>
    </row>
    <row r="762" spans="1:13" x14ac:dyDescent="0.25">
      <c r="A762" s="2" t="s">
        <v>835</v>
      </c>
      <c r="B762" s="3">
        <v>45808</v>
      </c>
      <c r="C762" s="2" t="s">
        <v>40</v>
      </c>
      <c r="D762" s="2" t="s">
        <v>40</v>
      </c>
      <c r="E762" s="2" t="s">
        <v>19</v>
      </c>
      <c r="F762" s="2" t="s">
        <v>20</v>
      </c>
      <c r="G762" s="2" t="s">
        <v>21</v>
      </c>
      <c r="H762" s="2">
        <v>2</v>
      </c>
      <c r="I762" s="4">
        <v>46</v>
      </c>
      <c r="J762" s="2" t="s">
        <v>16</v>
      </c>
      <c r="K762">
        <f>H762*I762</f>
        <v>92</v>
      </c>
      <c r="L762" t="str">
        <f t="shared" si="22"/>
        <v>May</v>
      </c>
      <c r="M762">
        <f t="shared" si="23"/>
        <v>5</v>
      </c>
    </row>
    <row r="763" spans="1:13" x14ac:dyDescent="0.25">
      <c r="A763" s="2" t="s">
        <v>836</v>
      </c>
      <c r="B763" s="3">
        <v>45808</v>
      </c>
      <c r="C763" s="2" t="s">
        <v>80</v>
      </c>
      <c r="D763" s="2" t="s">
        <v>80</v>
      </c>
      <c r="E763" s="2" t="s">
        <v>26</v>
      </c>
      <c r="F763" s="2" t="s">
        <v>20</v>
      </c>
      <c r="G763" s="2" t="s">
        <v>21</v>
      </c>
      <c r="H763" s="2">
        <v>2</v>
      </c>
      <c r="I763" s="4">
        <v>50</v>
      </c>
      <c r="J763" s="2" t="s">
        <v>16</v>
      </c>
      <c r="K763">
        <f>H763*I763</f>
        <v>100</v>
      </c>
      <c r="L763" t="str">
        <f t="shared" si="22"/>
        <v>May</v>
      </c>
      <c r="M763">
        <f t="shared" si="23"/>
        <v>5</v>
      </c>
    </row>
    <row r="764" spans="1:13" x14ac:dyDescent="0.25">
      <c r="A764" s="2" t="s">
        <v>837</v>
      </c>
      <c r="B764" s="3">
        <v>45809</v>
      </c>
      <c r="C764" s="2" t="s">
        <v>11</v>
      </c>
      <c r="D764" s="2" t="s">
        <v>12</v>
      </c>
      <c r="E764" s="2" t="s">
        <v>13</v>
      </c>
      <c r="F764" s="2" t="s">
        <v>14</v>
      </c>
      <c r="G764" s="2" t="s">
        <v>15</v>
      </c>
      <c r="H764" s="2">
        <v>2</v>
      </c>
      <c r="I764" s="4">
        <v>32</v>
      </c>
      <c r="J764" s="2" t="s">
        <v>31</v>
      </c>
      <c r="K764">
        <f>H764*I764</f>
        <v>64</v>
      </c>
      <c r="L764" t="str">
        <f t="shared" si="22"/>
        <v>Jun</v>
      </c>
      <c r="M764">
        <f t="shared" si="23"/>
        <v>6</v>
      </c>
    </row>
    <row r="765" spans="1:13" x14ac:dyDescent="0.25">
      <c r="A765" s="2" t="s">
        <v>838</v>
      </c>
      <c r="B765" s="3">
        <v>45809</v>
      </c>
      <c r="C765" s="2" t="s">
        <v>86</v>
      </c>
      <c r="D765" s="2" t="s">
        <v>48</v>
      </c>
      <c r="E765" s="2" t="s">
        <v>49</v>
      </c>
      <c r="F765" s="2" t="s">
        <v>14</v>
      </c>
      <c r="G765" s="2" t="s">
        <v>87</v>
      </c>
      <c r="H765" s="2">
        <v>1</v>
      </c>
      <c r="I765" s="4">
        <v>125</v>
      </c>
      <c r="J765" s="2" t="s">
        <v>16</v>
      </c>
      <c r="K765">
        <f>H765*I765</f>
        <v>125</v>
      </c>
      <c r="L765" t="str">
        <f t="shared" si="22"/>
        <v>Jun</v>
      </c>
      <c r="M765">
        <f t="shared" si="23"/>
        <v>6</v>
      </c>
    </row>
    <row r="766" spans="1:13" x14ac:dyDescent="0.25">
      <c r="A766" s="2" t="s">
        <v>839</v>
      </c>
      <c r="B766" s="3">
        <v>45809</v>
      </c>
      <c r="C766" s="2" t="s">
        <v>48</v>
      </c>
      <c r="D766" s="2" t="s">
        <v>48</v>
      </c>
      <c r="E766" s="2" t="s">
        <v>49</v>
      </c>
      <c r="F766" s="2" t="s">
        <v>20</v>
      </c>
      <c r="G766" s="2" t="s">
        <v>21</v>
      </c>
      <c r="H766" s="2">
        <v>1</v>
      </c>
      <c r="I766" s="4">
        <v>55</v>
      </c>
      <c r="J766" s="2" t="s">
        <v>16</v>
      </c>
      <c r="K766">
        <f>H766*I766</f>
        <v>55</v>
      </c>
      <c r="L766" t="str">
        <f t="shared" si="22"/>
        <v>Jun</v>
      </c>
      <c r="M766">
        <f t="shared" si="23"/>
        <v>6</v>
      </c>
    </row>
    <row r="767" spans="1:13" x14ac:dyDescent="0.25">
      <c r="A767" s="2" t="s">
        <v>840</v>
      </c>
      <c r="B767" s="3">
        <v>45809</v>
      </c>
      <c r="C767" s="2" t="s">
        <v>120</v>
      </c>
      <c r="D767" s="2" t="s">
        <v>120</v>
      </c>
      <c r="E767" s="2" t="s">
        <v>76</v>
      </c>
      <c r="F767" s="2" t="s">
        <v>20</v>
      </c>
      <c r="G767" s="2" t="s">
        <v>21</v>
      </c>
      <c r="H767" s="2">
        <v>3</v>
      </c>
      <c r="I767" s="4">
        <v>42</v>
      </c>
      <c r="J767" s="2" t="s">
        <v>31</v>
      </c>
      <c r="K767">
        <f>H767*I767</f>
        <v>126</v>
      </c>
      <c r="L767" t="str">
        <f t="shared" si="22"/>
        <v>Jun</v>
      </c>
      <c r="M767">
        <f t="shared" si="23"/>
        <v>6</v>
      </c>
    </row>
    <row r="768" spans="1:13" x14ac:dyDescent="0.25">
      <c r="A768" s="2" t="s">
        <v>841</v>
      </c>
      <c r="B768" s="3">
        <v>45809</v>
      </c>
      <c r="C768" s="2" t="s">
        <v>190</v>
      </c>
      <c r="D768" s="2" t="s">
        <v>40</v>
      </c>
      <c r="E768" s="2" t="s">
        <v>19</v>
      </c>
      <c r="F768" s="2" t="s">
        <v>14</v>
      </c>
      <c r="G768" s="2" t="s">
        <v>191</v>
      </c>
      <c r="H768" s="2">
        <v>2</v>
      </c>
      <c r="I768" s="4">
        <v>142</v>
      </c>
      <c r="J768" s="2" t="s">
        <v>22</v>
      </c>
      <c r="K768">
        <f>H768*I768</f>
        <v>284</v>
      </c>
      <c r="L768" t="str">
        <f t="shared" si="22"/>
        <v>Jun</v>
      </c>
      <c r="M768">
        <f t="shared" si="23"/>
        <v>6</v>
      </c>
    </row>
    <row r="769" spans="1:13" x14ac:dyDescent="0.25">
      <c r="A769" s="2" t="s">
        <v>842</v>
      </c>
      <c r="B769" s="3">
        <v>45809</v>
      </c>
      <c r="C769" s="2" t="s">
        <v>108</v>
      </c>
      <c r="D769" s="2" t="s">
        <v>109</v>
      </c>
      <c r="E769" s="2" t="s">
        <v>13</v>
      </c>
      <c r="F769" s="2" t="s">
        <v>14</v>
      </c>
      <c r="G769" s="2" t="s">
        <v>110</v>
      </c>
      <c r="H769" s="2">
        <v>5</v>
      </c>
      <c r="I769" s="4">
        <v>62</v>
      </c>
      <c r="J769" s="2" t="s">
        <v>16</v>
      </c>
      <c r="K769">
        <f>H769*I769</f>
        <v>310</v>
      </c>
      <c r="L769" t="str">
        <f t="shared" si="22"/>
        <v>Jun</v>
      </c>
      <c r="M769">
        <f t="shared" si="23"/>
        <v>6</v>
      </c>
    </row>
    <row r="770" spans="1:13" x14ac:dyDescent="0.25">
      <c r="A770" s="2" t="s">
        <v>843</v>
      </c>
      <c r="B770" s="3">
        <v>45809</v>
      </c>
      <c r="C770" s="2" t="s">
        <v>43</v>
      </c>
      <c r="D770" s="2" t="s">
        <v>43</v>
      </c>
      <c r="E770" s="2" t="s">
        <v>44</v>
      </c>
      <c r="F770" s="2" t="s">
        <v>20</v>
      </c>
      <c r="G770" s="2" t="s">
        <v>21</v>
      </c>
      <c r="H770" s="2">
        <v>4</v>
      </c>
      <c r="I770" s="4">
        <v>18</v>
      </c>
      <c r="J770" s="2" t="s">
        <v>31</v>
      </c>
      <c r="K770">
        <f>H770*I770</f>
        <v>72</v>
      </c>
      <c r="L770" t="str">
        <f t="shared" si="22"/>
        <v>Jun</v>
      </c>
      <c r="M770">
        <f t="shared" si="23"/>
        <v>6</v>
      </c>
    </row>
    <row r="771" spans="1:13" x14ac:dyDescent="0.25">
      <c r="A771" s="2" t="s">
        <v>844</v>
      </c>
      <c r="B771" s="3">
        <v>45810</v>
      </c>
      <c r="C771" s="2" t="s">
        <v>48</v>
      </c>
      <c r="D771" s="2" t="s">
        <v>48</v>
      </c>
      <c r="E771" s="2" t="s">
        <v>49</v>
      </c>
      <c r="F771" s="2" t="s">
        <v>20</v>
      </c>
      <c r="G771" s="2" t="s">
        <v>21</v>
      </c>
      <c r="H771" s="2">
        <v>1</v>
      </c>
      <c r="I771" s="4">
        <v>55</v>
      </c>
      <c r="J771" s="2" t="s">
        <v>16</v>
      </c>
      <c r="K771">
        <f>H771*I771</f>
        <v>55</v>
      </c>
      <c r="L771" t="str">
        <f t="shared" ref="L771:L834" si="24">TEXT(B771,"mmm")</f>
        <v>Jun</v>
      </c>
      <c r="M771">
        <f t="shared" ref="M771:M834" si="25">MONTH(B771)</f>
        <v>6</v>
      </c>
    </row>
    <row r="772" spans="1:13" x14ac:dyDescent="0.25">
      <c r="A772" s="2" t="s">
        <v>845</v>
      </c>
      <c r="B772" s="3">
        <v>45810</v>
      </c>
      <c r="C772" s="2" t="s">
        <v>18</v>
      </c>
      <c r="D772" s="2" t="s">
        <v>18</v>
      </c>
      <c r="E772" s="2" t="s">
        <v>19</v>
      </c>
      <c r="F772" s="2" t="s">
        <v>20</v>
      </c>
      <c r="G772" s="2" t="s">
        <v>21</v>
      </c>
      <c r="H772" s="2">
        <v>3</v>
      </c>
      <c r="I772" s="4">
        <v>15</v>
      </c>
      <c r="J772" s="2" t="s">
        <v>16</v>
      </c>
      <c r="K772">
        <f>H772*I772</f>
        <v>45</v>
      </c>
      <c r="L772" t="str">
        <f t="shared" si="24"/>
        <v>Jun</v>
      </c>
      <c r="M772">
        <f t="shared" si="25"/>
        <v>6</v>
      </c>
    </row>
    <row r="773" spans="1:13" x14ac:dyDescent="0.25">
      <c r="A773" s="2" t="s">
        <v>846</v>
      </c>
      <c r="B773" s="3">
        <v>45810</v>
      </c>
      <c r="C773" s="2" t="s">
        <v>40</v>
      </c>
      <c r="D773" s="2" t="s">
        <v>40</v>
      </c>
      <c r="E773" s="2" t="s">
        <v>19</v>
      </c>
      <c r="F773" s="2" t="s">
        <v>20</v>
      </c>
      <c r="G773" s="2" t="s">
        <v>21</v>
      </c>
      <c r="H773" s="2">
        <v>2</v>
      </c>
      <c r="I773" s="4">
        <v>46</v>
      </c>
      <c r="J773" s="2" t="s">
        <v>22</v>
      </c>
      <c r="K773">
        <f>H773*I773</f>
        <v>92</v>
      </c>
      <c r="L773" t="str">
        <f t="shared" si="24"/>
        <v>Jun</v>
      </c>
      <c r="M773">
        <f t="shared" si="25"/>
        <v>6</v>
      </c>
    </row>
    <row r="774" spans="1:13" x14ac:dyDescent="0.25">
      <c r="A774" s="2" t="s">
        <v>847</v>
      </c>
      <c r="B774" s="3">
        <v>45810</v>
      </c>
      <c r="C774" s="2" t="s">
        <v>52</v>
      </c>
      <c r="D774" s="2" t="s">
        <v>30</v>
      </c>
      <c r="E774" s="2" t="s">
        <v>13</v>
      </c>
      <c r="F774" s="2" t="s">
        <v>14</v>
      </c>
      <c r="G774" s="2" t="s">
        <v>53</v>
      </c>
      <c r="H774" s="2">
        <v>5</v>
      </c>
      <c r="I774" s="4">
        <v>42</v>
      </c>
      <c r="J774" s="2" t="s">
        <v>16</v>
      </c>
      <c r="K774">
        <f>H774*I774</f>
        <v>210</v>
      </c>
      <c r="L774" t="str">
        <f t="shared" si="24"/>
        <v>Jun</v>
      </c>
      <c r="M774">
        <f t="shared" si="25"/>
        <v>6</v>
      </c>
    </row>
    <row r="775" spans="1:13" x14ac:dyDescent="0.25">
      <c r="A775" s="2" t="s">
        <v>848</v>
      </c>
      <c r="B775" s="3">
        <v>45810</v>
      </c>
      <c r="C775" s="2" t="s">
        <v>108</v>
      </c>
      <c r="D775" s="2" t="s">
        <v>109</v>
      </c>
      <c r="E775" s="2" t="s">
        <v>13</v>
      </c>
      <c r="F775" s="2" t="s">
        <v>14</v>
      </c>
      <c r="G775" s="2" t="s">
        <v>110</v>
      </c>
      <c r="H775" s="2">
        <v>2</v>
      </c>
      <c r="I775" s="4">
        <v>62</v>
      </c>
      <c r="J775" s="2" t="s">
        <v>16</v>
      </c>
      <c r="K775">
        <f>H775*I775</f>
        <v>124</v>
      </c>
      <c r="L775" t="str">
        <f t="shared" si="24"/>
        <v>Jun</v>
      </c>
      <c r="M775">
        <f t="shared" si="25"/>
        <v>6</v>
      </c>
    </row>
    <row r="776" spans="1:13" x14ac:dyDescent="0.25">
      <c r="A776" s="2" t="s">
        <v>849</v>
      </c>
      <c r="B776" s="3">
        <v>45811</v>
      </c>
      <c r="C776" s="2" t="s">
        <v>86</v>
      </c>
      <c r="D776" s="2" t="s">
        <v>48</v>
      </c>
      <c r="E776" s="2" t="s">
        <v>49</v>
      </c>
      <c r="F776" s="2" t="s">
        <v>14</v>
      </c>
      <c r="G776" s="2" t="s">
        <v>87</v>
      </c>
      <c r="H776" s="2">
        <v>1</v>
      </c>
      <c r="I776" s="4">
        <v>125</v>
      </c>
      <c r="J776" s="2" t="s">
        <v>38</v>
      </c>
      <c r="K776">
        <f>H776*I776</f>
        <v>125</v>
      </c>
      <c r="L776" t="str">
        <f t="shared" si="24"/>
        <v>Jun</v>
      </c>
      <c r="M776">
        <f t="shared" si="25"/>
        <v>6</v>
      </c>
    </row>
    <row r="777" spans="1:13" x14ac:dyDescent="0.25">
      <c r="A777" s="2" t="s">
        <v>850</v>
      </c>
      <c r="B777" s="3">
        <v>45811</v>
      </c>
      <c r="C777" s="2" t="s">
        <v>67</v>
      </c>
      <c r="D777" s="2" t="s">
        <v>68</v>
      </c>
      <c r="E777" s="2" t="s">
        <v>49</v>
      </c>
      <c r="F777" s="2" t="s">
        <v>14</v>
      </c>
      <c r="G777" s="2" t="s">
        <v>69</v>
      </c>
      <c r="H777" s="2">
        <v>3</v>
      </c>
      <c r="I777" s="4">
        <v>205</v>
      </c>
      <c r="J777" s="2" t="s">
        <v>31</v>
      </c>
      <c r="K777">
        <f>H777*I777</f>
        <v>615</v>
      </c>
      <c r="L777" t="str">
        <f t="shared" si="24"/>
        <v>Jun</v>
      </c>
      <c r="M777">
        <f t="shared" si="25"/>
        <v>6</v>
      </c>
    </row>
    <row r="778" spans="1:13" x14ac:dyDescent="0.25">
      <c r="A778" s="2" t="s">
        <v>851</v>
      </c>
      <c r="B778" s="3">
        <v>45811</v>
      </c>
      <c r="C778" s="2" t="s">
        <v>72</v>
      </c>
      <c r="D778" s="2" t="s">
        <v>68</v>
      </c>
      <c r="E778" s="2" t="s">
        <v>49</v>
      </c>
      <c r="F778" s="2" t="s">
        <v>20</v>
      </c>
      <c r="G778" s="2" t="s">
        <v>21</v>
      </c>
      <c r="H778" s="2">
        <v>1</v>
      </c>
      <c r="I778" s="4">
        <v>95</v>
      </c>
      <c r="J778" s="2" t="s">
        <v>16</v>
      </c>
      <c r="K778">
        <f>H778*I778</f>
        <v>95</v>
      </c>
      <c r="L778" t="str">
        <f t="shared" si="24"/>
        <v>Jun</v>
      </c>
      <c r="M778">
        <f t="shared" si="25"/>
        <v>6</v>
      </c>
    </row>
    <row r="779" spans="1:13" x14ac:dyDescent="0.25">
      <c r="A779" s="2" t="s">
        <v>852</v>
      </c>
      <c r="B779" s="3">
        <v>45811</v>
      </c>
      <c r="C779" s="2" t="s">
        <v>75</v>
      </c>
      <c r="D779" s="2" t="s">
        <v>75</v>
      </c>
      <c r="E779" s="2" t="s">
        <v>76</v>
      </c>
      <c r="F779" s="2" t="s">
        <v>20</v>
      </c>
      <c r="G779" s="2" t="s">
        <v>21</v>
      </c>
      <c r="H779" s="2">
        <v>2</v>
      </c>
      <c r="I779" s="4">
        <v>12</v>
      </c>
      <c r="J779" s="2" t="s">
        <v>38</v>
      </c>
      <c r="K779">
        <f>H779*I779</f>
        <v>24</v>
      </c>
      <c r="L779" t="str">
        <f t="shared" si="24"/>
        <v>Jun</v>
      </c>
      <c r="M779">
        <f t="shared" si="25"/>
        <v>6</v>
      </c>
    </row>
    <row r="780" spans="1:13" x14ac:dyDescent="0.25">
      <c r="A780" s="2" t="s">
        <v>853</v>
      </c>
      <c r="B780" s="3">
        <v>45811</v>
      </c>
      <c r="C780" s="2" t="s">
        <v>101</v>
      </c>
      <c r="D780" s="2" t="s">
        <v>102</v>
      </c>
      <c r="E780" s="2" t="s">
        <v>36</v>
      </c>
      <c r="F780" s="2" t="s">
        <v>14</v>
      </c>
      <c r="G780" s="2" t="s">
        <v>103</v>
      </c>
      <c r="H780" s="2">
        <v>12</v>
      </c>
      <c r="I780" s="4">
        <v>92</v>
      </c>
      <c r="J780" s="2" t="s">
        <v>38</v>
      </c>
      <c r="K780">
        <f>H780*I780</f>
        <v>1104</v>
      </c>
      <c r="L780" t="str">
        <f t="shared" si="24"/>
        <v>Jun</v>
      </c>
      <c r="M780">
        <f t="shared" si="25"/>
        <v>6</v>
      </c>
    </row>
    <row r="781" spans="1:13" x14ac:dyDescent="0.25">
      <c r="A781" s="2" t="s">
        <v>854</v>
      </c>
      <c r="B781" s="3">
        <v>45811</v>
      </c>
      <c r="C781" s="2" t="s">
        <v>79</v>
      </c>
      <c r="D781" s="2" t="s">
        <v>80</v>
      </c>
      <c r="E781" s="2" t="s">
        <v>26</v>
      </c>
      <c r="F781" s="2" t="s">
        <v>14</v>
      </c>
      <c r="G781" s="2" t="s">
        <v>81</v>
      </c>
      <c r="H781" s="2">
        <v>1</v>
      </c>
      <c r="I781" s="4">
        <v>152</v>
      </c>
      <c r="J781" s="2" t="s">
        <v>22</v>
      </c>
      <c r="K781">
        <f>H781*I781</f>
        <v>152</v>
      </c>
      <c r="L781" t="str">
        <f t="shared" si="24"/>
        <v>Jun</v>
      </c>
      <c r="M781">
        <f t="shared" si="25"/>
        <v>6</v>
      </c>
    </row>
    <row r="782" spans="1:13" x14ac:dyDescent="0.25">
      <c r="A782" s="2" t="s">
        <v>855</v>
      </c>
      <c r="B782" s="3">
        <v>45811</v>
      </c>
      <c r="C782" s="2" t="s">
        <v>42</v>
      </c>
      <c r="D782" s="2" t="s">
        <v>43</v>
      </c>
      <c r="E782" s="2" t="s">
        <v>44</v>
      </c>
      <c r="F782" s="2" t="s">
        <v>14</v>
      </c>
      <c r="G782" s="2" t="s">
        <v>45</v>
      </c>
      <c r="H782" s="2">
        <v>3</v>
      </c>
      <c r="I782" s="4">
        <v>46</v>
      </c>
      <c r="J782" s="2" t="s">
        <v>22</v>
      </c>
      <c r="K782">
        <f>H782*I782</f>
        <v>138</v>
      </c>
      <c r="L782" t="str">
        <f t="shared" si="24"/>
        <v>Jun</v>
      </c>
      <c r="M782">
        <f t="shared" si="25"/>
        <v>6</v>
      </c>
    </row>
    <row r="783" spans="1:13" x14ac:dyDescent="0.25">
      <c r="A783" s="2" t="s">
        <v>856</v>
      </c>
      <c r="B783" s="3">
        <v>45812</v>
      </c>
      <c r="C783" s="2" t="s">
        <v>11</v>
      </c>
      <c r="D783" s="2" t="s">
        <v>12</v>
      </c>
      <c r="E783" s="2" t="s">
        <v>13</v>
      </c>
      <c r="F783" s="2" t="s">
        <v>14</v>
      </c>
      <c r="G783" s="2" t="s">
        <v>15</v>
      </c>
      <c r="H783" s="2">
        <v>1</v>
      </c>
      <c r="I783" s="4">
        <v>32</v>
      </c>
      <c r="J783" s="2" t="s">
        <v>38</v>
      </c>
      <c r="K783">
        <f>H783*I783</f>
        <v>32</v>
      </c>
      <c r="L783" t="str">
        <f t="shared" si="24"/>
        <v>Jun</v>
      </c>
      <c r="M783">
        <f t="shared" si="25"/>
        <v>6</v>
      </c>
    </row>
    <row r="784" spans="1:13" x14ac:dyDescent="0.25">
      <c r="A784" s="2" t="s">
        <v>857</v>
      </c>
      <c r="B784" s="3">
        <v>45812</v>
      </c>
      <c r="C784" s="2" t="s">
        <v>72</v>
      </c>
      <c r="D784" s="2" t="s">
        <v>68</v>
      </c>
      <c r="E784" s="2" t="s">
        <v>49</v>
      </c>
      <c r="F784" s="2" t="s">
        <v>20</v>
      </c>
      <c r="G784" s="2" t="s">
        <v>21</v>
      </c>
      <c r="H784" s="2">
        <v>1</v>
      </c>
      <c r="I784" s="4">
        <v>95</v>
      </c>
      <c r="J784" s="2" t="s">
        <v>16</v>
      </c>
      <c r="K784">
        <f>H784*I784</f>
        <v>95</v>
      </c>
      <c r="L784" t="str">
        <f t="shared" si="24"/>
        <v>Jun</v>
      </c>
      <c r="M784">
        <f t="shared" si="25"/>
        <v>6</v>
      </c>
    </row>
    <row r="785" spans="1:13" x14ac:dyDescent="0.25">
      <c r="A785" s="2" t="s">
        <v>858</v>
      </c>
      <c r="B785" s="3">
        <v>45812</v>
      </c>
      <c r="C785" s="2" t="s">
        <v>102</v>
      </c>
      <c r="D785" s="2" t="s">
        <v>102</v>
      </c>
      <c r="E785" s="2" t="s">
        <v>36</v>
      </c>
      <c r="F785" s="2" t="s">
        <v>20</v>
      </c>
      <c r="G785" s="2" t="s">
        <v>21</v>
      </c>
      <c r="H785" s="2">
        <v>6</v>
      </c>
      <c r="I785" s="4">
        <v>35</v>
      </c>
      <c r="J785" s="2" t="s">
        <v>31</v>
      </c>
      <c r="K785">
        <f>H785*I785</f>
        <v>210</v>
      </c>
      <c r="L785" t="str">
        <f t="shared" si="24"/>
        <v>Jun</v>
      </c>
      <c r="M785">
        <f t="shared" si="25"/>
        <v>6</v>
      </c>
    </row>
    <row r="786" spans="1:13" x14ac:dyDescent="0.25">
      <c r="A786" s="2" t="s">
        <v>859</v>
      </c>
      <c r="B786" s="3">
        <v>45812</v>
      </c>
      <c r="C786" s="2" t="s">
        <v>35</v>
      </c>
      <c r="D786" s="2" t="s">
        <v>35</v>
      </c>
      <c r="E786" s="2" t="s">
        <v>36</v>
      </c>
      <c r="F786" s="2" t="s">
        <v>20</v>
      </c>
      <c r="G786" s="2" t="s">
        <v>21</v>
      </c>
      <c r="H786" s="2">
        <v>2</v>
      </c>
      <c r="I786" s="4">
        <v>58</v>
      </c>
      <c r="J786" s="2" t="s">
        <v>31</v>
      </c>
      <c r="K786">
        <f>H786*I786</f>
        <v>116</v>
      </c>
      <c r="L786" t="str">
        <f t="shared" si="24"/>
        <v>Jun</v>
      </c>
      <c r="M786">
        <f t="shared" si="25"/>
        <v>6</v>
      </c>
    </row>
    <row r="787" spans="1:13" x14ac:dyDescent="0.25">
      <c r="A787" s="2" t="s">
        <v>860</v>
      </c>
      <c r="B787" s="3">
        <v>45812</v>
      </c>
      <c r="C787" s="2" t="s">
        <v>24</v>
      </c>
      <c r="D787" s="2" t="s">
        <v>25</v>
      </c>
      <c r="E787" s="2" t="s">
        <v>26</v>
      </c>
      <c r="F787" s="2" t="s">
        <v>14</v>
      </c>
      <c r="G787" s="2" t="s">
        <v>27</v>
      </c>
      <c r="H787" s="2">
        <v>1</v>
      </c>
      <c r="I787" s="4">
        <v>58</v>
      </c>
      <c r="J787" s="2" t="s">
        <v>31</v>
      </c>
      <c r="K787">
        <f>H787*I787</f>
        <v>58</v>
      </c>
      <c r="L787" t="str">
        <f t="shared" si="24"/>
        <v>Jun</v>
      </c>
      <c r="M787">
        <f t="shared" si="25"/>
        <v>6</v>
      </c>
    </row>
    <row r="788" spans="1:13" x14ac:dyDescent="0.25">
      <c r="A788" s="2" t="s">
        <v>861</v>
      </c>
      <c r="B788" s="3">
        <v>45813</v>
      </c>
      <c r="C788" s="2" t="s">
        <v>11</v>
      </c>
      <c r="D788" s="2" t="s">
        <v>12</v>
      </c>
      <c r="E788" s="2" t="s">
        <v>13</v>
      </c>
      <c r="F788" s="2" t="s">
        <v>14</v>
      </c>
      <c r="G788" s="2" t="s">
        <v>15</v>
      </c>
      <c r="H788" s="2">
        <v>2</v>
      </c>
      <c r="I788" s="4">
        <v>32</v>
      </c>
      <c r="J788" s="2" t="s">
        <v>31</v>
      </c>
      <c r="K788">
        <f>H788*I788</f>
        <v>64</v>
      </c>
      <c r="L788" t="str">
        <f t="shared" si="24"/>
        <v>Jun</v>
      </c>
      <c r="M788">
        <f t="shared" si="25"/>
        <v>6</v>
      </c>
    </row>
    <row r="789" spans="1:13" x14ac:dyDescent="0.25">
      <c r="A789" s="2" t="s">
        <v>862</v>
      </c>
      <c r="B789" s="3">
        <v>45813</v>
      </c>
      <c r="C789" s="2" t="s">
        <v>12</v>
      </c>
      <c r="D789" s="2" t="s">
        <v>12</v>
      </c>
      <c r="E789" s="2" t="s">
        <v>13</v>
      </c>
      <c r="F789" s="2" t="s">
        <v>20</v>
      </c>
      <c r="G789" s="2" t="s">
        <v>21</v>
      </c>
      <c r="H789" s="2">
        <v>1</v>
      </c>
      <c r="I789" s="4">
        <v>14</v>
      </c>
      <c r="J789" s="2" t="s">
        <v>16</v>
      </c>
      <c r="K789">
        <f>H789*I789</f>
        <v>14</v>
      </c>
      <c r="L789" t="str">
        <f t="shared" si="24"/>
        <v>Jun</v>
      </c>
      <c r="M789">
        <f t="shared" si="25"/>
        <v>6</v>
      </c>
    </row>
    <row r="790" spans="1:13" x14ac:dyDescent="0.25">
      <c r="A790" s="2" t="s">
        <v>863</v>
      </c>
      <c r="B790" s="3">
        <v>45813</v>
      </c>
      <c r="C790" s="2" t="s">
        <v>101</v>
      </c>
      <c r="D790" s="2" t="s">
        <v>102</v>
      </c>
      <c r="E790" s="2" t="s">
        <v>36</v>
      </c>
      <c r="F790" s="2" t="s">
        <v>14</v>
      </c>
      <c r="G790" s="2" t="s">
        <v>103</v>
      </c>
      <c r="H790" s="2">
        <v>3</v>
      </c>
      <c r="I790" s="4">
        <v>92</v>
      </c>
      <c r="J790" s="2" t="s">
        <v>31</v>
      </c>
      <c r="K790">
        <f>H790*I790</f>
        <v>276</v>
      </c>
      <c r="L790" t="str">
        <f t="shared" si="24"/>
        <v>Jun</v>
      </c>
      <c r="M790">
        <f t="shared" si="25"/>
        <v>6</v>
      </c>
    </row>
    <row r="791" spans="1:13" x14ac:dyDescent="0.25">
      <c r="A791" s="2" t="s">
        <v>864</v>
      </c>
      <c r="B791" s="3">
        <v>45813</v>
      </c>
      <c r="C791" s="2" t="s">
        <v>79</v>
      </c>
      <c r="D791" s="2" t="s">
        <v>80</v>
      </c>
      <c r="E791" s="2" t="s">
        <v>26</v>
      </c>
      <c r="F791" s="2" t="s">
        <v>14</v>
      </c>
      <c r="G791" s="2" t="s">
        <v>81</v>
      </c>
      <c r="H791" s="2">
        <v>2</v>
      </c>
      <c r="I791" s="4">
        <v>152</v>
      </c>
      <c r="J791" s="2" t="s">
        <v>16</v>
      </c>
      <c r="K791">
        <f>H791*I791</f>
        <v>304</v>
      </c>
      <c r="L791" t="str">
        <f t="shared" si="24"/>
        <v>Jun</v>
      </c>
      <c r="M791">
        <f t="shared" si="25"/>
        <v>6</v>
      </c>
    </row>
    <row r="792" spans="1:13" x14ac:dyDescent="0.25">
      <c r="A792" s="2" t="s">
        <v>865</v>
      </c>
      <c r="B792" s="3">
        <v>45813</v>
      </c>
      <c r="C792" s="2" t="s">
        <v>79</v>
      </c>
      <c r="D792" s="2" t="s">
        <v>80</v>
      </c>
      <c r="E792" s="2" t="s">
        <v>26</v>
      </c>
      <c r="F792" s="2" t="s">
        <v>14</v>
      </c>
      <c r="G792" s="2" t="s">
        <v>81</v>
      </c>
      <c r="H792" s="2">
        <v>1</v>
      </c>
      <c r="I792" s="4">
        <v>152</v>
      </c>
      <c r="J792" s="2" t="s">
        <v>31</v>
      </c>
      <c r="K792">
        <f>H792*I792</f>
        <v>152</v>
      </c>
      <c r="L792" t="str">
        <f t="shared" si="24"/>
        <v>Jun</v>
      </c>
      <c r="M792">
        <f t="shared" si="25"/>
        <v>6</v>
      </c>
    </row>
    <row r="793" spans="1:13" x14ac:dyDescent="0.25">
      <c r="A793" s="2" t="s">
        <v>866</v>
      </c>
      <c r="B793" s="3">
        <v>45813</v>
      </c>
      <c r="C793" s="2" t="s">
        <v>80</v>
      </c>
      <c r="D793" s="2" t="s">
        <v>80</v>
      </c>
      <c r="E793" s="2" t="s">
        <v>26</v>
      </c>
      <c r="F793" s="2" t="s">
        <v>20</v>
      </c>
      <c r="G793" s="2" t="s">
        <v>21</v>
      </c>
      <c r="H793" s="2">
        <v>1</v>
      </c>
      <c r="I793" s="4">
        <v>50</v>
      </c>
      <c r="J793" s="2" t="s">
        <v>16</v>
      </c>
      <c r="K793">
        <f>H793*I793</f>
        <v>50</v>
      </c>
      <c r="L793" t="str">
        <f t="shared" si="24"/>
        <v>Jun</v>
      </c>
      <c r="M793">
        <f t="shared" si="25"/>
        <v>6</v>
      </c>
    </row>
    <row r="794" spans="1:13" x14ac:dyDescent="0.25">
      <c r="A794" s="2" t="s">
        <v>867</v>
      </c>
      <c r="B794" s="3">
        <v>45813</v>
      </c>
      <c r="C794" s="2" t="s">
        <v>109</v>
      </c>
      <c r="D794" s="2" t="s">
        <v>109</v>
      </c>
      <c r="E794" s="2" t="s">
        <v>13</v>
      </c>
      <c r="F794" s="2" t="s">
        <v>20</v>
      </c>
      <c r="G794" s="2" t="s">
        <v>21</v>
      </c>
      <c r="H794" s="2">
        <v>1</v>
      </c>
      <c r="I794" s="4">
        <v>20</v>
      </c>
      <c r="J794" s="2" t="s">
        <v>38</v>
      </c>
      <c r="K794">
        <f>H794*I794</f>
        <v>20</v>
      </c>
      <c r="L794" t="str">
        <f t="shared" si="24"/>
        <v>Jun</v>
      </c>
      <c r="M794">
        <f t="shared" si="25"/>
        <v>6</v>
      </c>
    </row>
    <row r="795" spans="1:13" x14ac:dyDescent="0.25">
      <c r="A795" s="2" t="s">
        <v>868</v>
      </c>
      <c r="B795" s="3">
        <v>45814</v>
      </c>
      <c r="C795" s="2" t="s">
        <v>11</v>
      </c>
      <c r="D795" s="2" t="s">
        <v>12</v>
      </c>
      <c r="E795" s="2" t="s">
        <v>13</v>
      </c>
      <c r="F795" s="2" t="s">
        <v>14</v>
      </c>
      <c r="G795" s="2" t="s">
        <v>15</v>
      </c>
      <c r="H795" s="2">
        <v>5</v>
      </c>
      <c r="I795" s="4">
        <v>32</v>
      </c>
      <c r="J795" s="2" t="s">
        <v>22</v>
      </c>
      <c r="K795">
        <f>H795*I795</f>
        <v>160</v>
      </c>
      <c r="L795" t="str">
        <f t="shared" si="24"/>
        <v>Jun</v>
      </c>
      <c r="M795">
        <f t="shared" si="25"/>
        <v>6</v>
      </c>
    </row>
    <row r="796" spans="1:13" x14ac:dyDescent="0.25">
      <c r="A796" s="2" t="s">
        <v>869</v>
      </c>
      <c r="B796" s="3">
        <v>45814</v>
      </c>
      <c r="C796" s="2" t="s">
        <v>102</v>
      </c>
      <c r="D796" s="2" t="s">
        <v>102</v>
      </c>
      <c r="E796" s="2" t="s">
        <v>36</v>
      </c>
      <c r="F796" s="2" t="s">
        <v>20</v>
      </c>
      <c r="G796" s="2" t="s">
        <v>21</v>
      </c>
      <c r="H796" s="2">
        <v>1</v>
      </c>
      <c r="I796" s="4">
        <v>35</v>
      </c>
      <c r="J796" s="2" t="s">
        <v>16</v>
      </c>
      <c r="K796">
        <f>H796*I796</f>
        <v>35</v>
      </c>
      <c r="L796" t="str">
        <f t="shared" si="24"/>
        <v>Jun</v>
      </c>
      <c r="M796">
        <f t="shared" si="25"/>
        <v>6</v>
      </c>
    </row>
    <row r="797" spans="1:13" x14ac:dyDescent="0.25">
      <c r="A797" s="2" t="s">
        <v>870</v>
      </c>
      <c r="B797" s="3">
        <v>45814</v>
      </c>
      <c r="C797" s="2" t="s">
        <v>79</v>
      </c>
      <c r="D797" s="2" t="s">
        <v>80</v>
      </c>
      <c r="E797" s="2" t="s">
        <v>26</v>
      </c>
      <c r="F797" s="2" t="s">
        <v>14</v>
      </c>
      <c r="G797" s="2" t="s">
        <v>81</v>
      </c>
      <c r="H797" s="2">
        <v>5</v>
      </c>
      <c r="I797" s="4">
        <v>152</v>
      </c>
      <c r="J797" s="2" t="s">
        <v>16</v>
      </c>
      <c r="K797">
        <f>H797*I797</f>
        <v>760</v>
      </c>
      <c r="L797" t="str">
        <f t="shared" si="24"/>
        <v>Jun</v>
      </c>
      <c r="M797">
        <f t="shared" si="25"/>
        <v>6</v>
      </c>
    </row>
    <row r="798" spans="1:13" x14ac:dyDescent="0.25">
      <c r="A798" s="2" t="s">
        <v>871</v>
      </c>
      <c r="B798" s="3">
        <v>45814</v>
      </c>
      <c r="C798" s="2" t="s">
        <v>61</v>
      </c>
      <c r="D798" s="2" t="s">
        <v>61</v>
      </c>
      <c r="E798" s="2" t="s">
        <v>62</v>
      </c>
      <c r="F798" s="2" t="s">
        <v>20</v>
      </c>
      <c r="G798" s="2" t="s">
        <v>21</v>
      </c>
      <c r="H798" s="2">
        <v>2</v>
      </c>
      <c r="I798" s="4">
        <v>8</v>
      </c>
      <c r="J798" s="2" t="s">
        <v>16</v>
      </c>
      <c r="K798">
        <f>H798*I798</f>
        <v>16</v>
      </c>
      <c r="L798" t="str">
        <f t="shared" si="24"/>
        <v>Jun</v>
      </c>
      <c r="M798">
        <f t="shared" si="25"/>
        <v>6</v>
      </c>
    </row>
    <row r="799" spans="1:13" x14ac:dyDescent="0.25">
      <c r="A799" s="2" t="s">
        <v>872</v>
      </c>
      <c r="B799" s="3">
        <v>45814</v>
      </c>
      <c r="C799" s="2" t="s">
        <v>108</v>
      </c>
      <c r="D799" s="2" t="s">
        <v>109</v>
      </c>
      <c r="E799" s="2" t="s">
        <v>13</v>
      </c>
      <c r="F799" s="2" t="s">
        <v>14</v>
      </c>
      <c r="G799" s="2" t="s">
        <v>110</v>
      </c>
      <c r="H799" s="2">
        <v>5</v>
      </c>
      <c r="I799" s="4">
        <v>62</v>
      </c>
      <c r="J799" s="2" t="s">
        <v>31</v>
      </c>
      <c r="K799">
        <f>H799*I799</f>
        <v>310</v>
      </c>
      <c r="L799" t="str">
        <f t="shared" si="24"/>
        <v>Jun</v>
      </c>
      <c r="M799">
        <f t="shared" si="25"/>
        <v>6</v>
      </c>
    </row>
    <row r="800" spans="1:13" x14ac:dyDescent="0.25">
      <c r="A800" s="2" t="s">
        <v>873</v>
      </c>
      <c r="B800" s="3">
        <v>45814</v>
      </c>
      <c r="C800" s="2" t="s">
        <v>109</v>
      </c>
      <c r="D800" s="2" t="s">
        <v>109</v>
      </c>
      <c r="E800" s="2" t="s">
        <v>13</v>
      </c>
      <c r="F800" s="2" t="s">
        <v>20</v>
      </c>
      <c r="G800" s="2" t="s">
        <v>21</v>
      </c>
      <c r="H800" s="2">
        <v>3</v>
      </c>
      <c r="I800" s="4">
        <v>20</v>
      </c>
      <c r="J800" s="2" t="s">
        <v>31</v>
      </c>
      <c r="K800">
        <f>H800*I800</f>
        <v>60</v>
      </c>
      <c r="L800" t="str">
        <f t="shared" si="24"/>
        <v>Jun</v>
      </c>
      <c r="M800">
        <f t="shared" si="25"/>
        <v>6</v>
      </c>
    </row>
    <row r="801" spans="1:13" x14ac:dyDescent="0.25">
      <c r="A801" s="2" t="s">
        <v>874</v>
      </c>
      <c r="B801" s="3">
        <v>45814</v>
      </c>
      <c r="C801" s="2" t="s">
        <v>42</v>
      </c>
      <c r="D801" s="2" t="s">
        <v>43</v>
      </c>
      <c r="E801" s="2" t="s">
        <v>44</v>
      </c>
      <c r="F801" s="2" t="s">
        <v>14</v>
      </c>
      <c r="G801" s="2" t="s">
        <v>45</v>
      </c>
      <c r="H801" s="2">
        <v>3</v>
      </c>
      <c r="I801" s="4">
        <v>46</v>
      </c>
      <c r="J801" s="2" t="s">
        <v>22</v>
      </c>
      <c r="K801">
        <f>H801*I801</f>
        <v>138</v>
      </c>
      <c r="L801" t="str">
        <f t="shared" si="24"/>
        <v>Jun</v>
      </c>
      <c r="M801">
        <f t="shared" si="25"/>
        <v>6</v>
      </c>
    </row>
    <row r="802" spans="1:13" x14ac:dyDescent="0.25">
      <c r="A802" s="2" t="s">
        <v>875</v>
      </c>
      <c r="B802" s="3">
        <v>45814</v>
      </c>
      <c r="C802" s="2" t="s">
        <v>43</v>
      </c>
      <c r="D802" s="2" t="s">
        <v>43</v>
      </c>
      <c r="E802" s="2" t="s">
        <v>44</v>
      </c>
      <c r="F802" s="2" t="s">
        <v>20</v>
      </c>
      <c r="G802" s="2" t="s">
        <v>21</v>
      </c>
      <c r="H802" s="2">
        <v>3</v>
      </c>
      <c r="I802" s="4">
        <v>18</v>
      </c>
      <c r="J802" s="2" t="s">
        <v>16</v>
      </c>
      <c r="K802">
        <f>H802*I802</f>
        <v>54</v>
      </c>
      <c r="L802" t="str">
        <f t="shared" si="24"/>
        <v>Jun</v>
      </c>
      <c r="M802">
        <f t="shared" si="25"/>
        <v>6</v>
      </c>
    </row>
    <row r="803" spans="1:13" x14ac:dyDescent="0.25">
      <c r="A803" s="2" t="s">
        <v>876</v>
      </c>
      <c r="B803" s="3">
        <v>45815</v>
      </c>
      <c r="C803" s="2" t="s">
        <v>75</v>
      </c>
      <c r="D803" s="2" t="s">
        <v>75</v>
      </c>
      <c r="E803" s="2" t="s">
        <v>76</v>
      </c>
      <c r="F803" s="2" t="s">
        <v>20</v>
      </c>
      <c r="G803" s="2" t="s">
        <v>21</v>
      </c>
      <c r="H803" s="2">
        <v>1</v>
      </c>
      <c r="I803" s="4">
        <v>12</v>
      </c>
      <c r="J803" s="2" t="s">
        <v>31</v>
      </c>
      <c r="K803">
        <f>H803*I803</f>
        <v>12</v>
      </c>
      <c r="L803" t="str">
        <f t="shared" si="24"/>
        <v>Jun</v>
      </c>
      <c r="M803">
        <f t="shared" si="25"/>
        <v>6</v>
      </c>
    </row>
    <row r="804" spans="1:13" x14ac:dyDescent="0.25">
      <c r="A804" s="2" t="s">
        <v>877</v>
      </c>
      <c r="B804" s="3">
        <v>45815</v>
      </c>
      <c r="C804" s="2" t="s">
        <v>80</v>
      </c>
      <c r="D804" s="2" t="s">
        <v>80</v>
      </c>
      <c r="E804" s="2" t="s">
        <v>26</v>
      </c>
      <c r="F804" s="2" t="s">
        <v>20</v>
      </c>
      <c r="G804" s="2" t="s">
        <v>21</v>
      </c>
      <c r="H804" s="2">
        <v>5</v>
      </c>
      <c r="I804" s="4">
        <v>50</v>
      </c>
      <c r="J804" s="2" t="s">
        <v>16</v>
      </c>
      <c r="K804">
        <f>H804*I804</f>
        <v>250</v>
      </c>
      <c r="L804" t="str">
        <f t="shared" si="24"/>
        <v>Jun</v>
      </c>
      <c r="M804">
        <f t="shared" si="25"/>
        <v>6</v>
      </c>
    </row>
    <row r="805" spans="1:13" x14ac:dyDescent="0.25">
      <c r="A805" s="2" t="s">
        <v>878</v>
      </c>
      <c r="B805" s="3">
        <v>45815</v>
      </c>
      <c r="C805" s="2" t="s">
        <v>97</v>
      </c>
      <c r="D805" s="2" t="s">
        <v>98</v>
      </c>
      <c r="E805" s="2" t="s">
        <v>99</v>
      </c>
      <c r="F805" s="2" t="s">
        <v>14</v>
      </c>
      <c r="G805" s="2" t="s">
        <v>37</v>
      </c>
      <c r="H805" s="2">
        <v>2</v>
      </c>
      <c r="I805" s="4">
        <v>182</v>
      </c>
      <c r="J805" s="2" t="s">
        <v>38</v>
      </c>
      <c r="K805">
        <f>H805*I805</f>
        <v>364</v>
      </c>
      <c r="L805" t="str">
        <f t="shared" si="24"/>
        <v>Jun</v>
      </c>
      <c r="M805">
        <f t="shared" si="25"/>
        <v>6</v>
      </c>
    </row>
    <row r="806" spans="1:13" x14ac:dyDescent="0.25">
      <c r="A806" s="2" t="s">
        <v>879</v>
      </c>
      <c r="B806" s="3">
        <v>45815</v>
      </c>
      <c r="C806" s="2" t="s">
        <v>109</v>
      </c>
      <c r="D806" s="2" t="s">
        <v>109</v>
      </c>
      <c r="E806" s="2" t="s">
        <v>13</v>
      </c>
      <c r="F806" s="2" t="s">
        <v>20</v>
      </c>
      <c r="G806" s="2" t="s">
        <v>21</v>
      </c>
      <c r="H806" s="2">
        <v>1</v>
      </c>
      <c r="I806" s="4">
        <v>20</v>
      </c>
      <c r="J806" s="2" t="s">
        <v>22</v>
      </c>
      <c r="K806">
        <f>H806*I806</f>
        <v>20</v>
      </c>
      <c r="L806" t="str">
        <f t="shared" si="24"/>
        <v>Jun</v>
      </c>
      <c r="M806">
        <f t="shared" si="25"/>
        <v>6</v>
      </c>
    </row>
    <row r="807" spans="1:13" x14ac:dyDescent="0.25">
      <c r="A807" s="2" t="s">
        <v>880</v>
      </c>
      <c r="B807" s="3">
        <v>45816</v>
      </c>
      <c r="C807" s="2" t="s">
        <v>119</v>
      </c>
      <c r="D807" s="2" t="s">
        <v>120</v>
      </c>
      <c r="E807" s="2" t="s">
        <v>76</v>
      </c>
      <c r="F807" s="2" t="s">
        <v>14</v>
      </c>
      <c r="G807" s="2" t="s">
        <v>121</v>
      </c>
      <c r="H807" s="2">
        <v>6</v>
      </c>
      <c r="I807" s="4">
        <v>190</v>
      </c>
      <c r="J807" s="2" t="s">
        <v>31</v>
      </c>
      <c r="K807">
        <f>H807*I807</f>
        <v>1140</v>
      </c>
      <c r="L807" t="str">
        <f t="shared" si="24"/>
        <v>Jun</v>
      </c>
      <c r="M807">
        <f t="shared" si="25"/>
        <v>6</v>
      </c>
    </row>
    <row r="808" spans="1:13" x14ac:dyDescent="0.25">
      <c r="A808" s="2" t="s">
        <v>881</v>
      </c>
      <c r="B808" s="3">
        <v>45816</v>
      </c>
      <c r="C808" s="2" t="s">
        <v>124</v>
      </c>
      <c r="D808" s="2" t="s">
        <v>18</v>
      </c>
      <c r="E808" s="2" t="s">
        <v>19</v>
      </c>
      <c r="F808" s="2" t="s">
        <v>14</v>
      </c>
      <c r="G808" s="2" t="s">
        <v>125</v>
      </c>
      <c r="H808" s="2">
        <v>3</v>
      </c>
      <c r="I808" s="4">
        <v>45</v>
      </c>
      <c r="J808" s="2" t="s">
        <v>22</v>
      </c>
      <c r="K808">
        <f>H808*I808</f>
        <v>135</v>
      </c>
      <c r="L808" t="str">
        <f t="shared" si="24"/>
        <v>Jun</v>
      </c>
      <c r="M808">
        <f t="shared" si="25"/>
        <v>6</v>
      </c>
    </row>
    <row r="809" spans="1:13" x14ac:dyDescent="0.25">
      <c r="A809" s="2" t="s">
        <v>882</v>
      </c>
      <c r="B809" s="3">
        <v>45816</v>
      </c>
      <c r="C809" s="2" t="s">
        <v>52</v>
      </c>
      <c r="D809" s="2" t="s">
        <v>30</v>
      </c>
      <c r="E809" s="2" t="s">
        <v>13</v>
      </c>
      <c r="F809" s="2" t="s">
        <v>14</v>
      </c>
      <c r="G809" s="2" t="s">
        <v>53</v>
      </c>
      <c r="H809" s="2">
        <v>2</v>
      </c>
      <c r="I809" s="4">
        <v>42</v>
      </c>
      <c r="J809" s="2" t="s">
        <v>38</v>
      </c>
      <c r="K809">
        <f>H809*I809</f>
        <v>84</v>
      </c>
      <c r="L809" t="str">
        <f t="shared" si="24"/>
        <v>Jun</v>
      </c>
      <c r="M809">
        <f t="shared" si="25"/>
        <v>6</v>
      </c>
    </row>
    <row r="810" spans="1:13" x14ac:dyDescent="0.25">
      <c r="A810" s="2" t="s">
        <v>883</v>
      </c>
      <c r="B810" s="3">
        <v>45817</v>
      </c>
      <c r="C810" s="2" t="s">
        <v>11</v>
      </c>
      <c r="D810" s="2" t="s">
        <v>12</v>
      </c>
      <c r="E810" s="2" t="s">
        <v>13</v>
      </c>
      <c r="F810" s="2" t="s">
        <v>14</v>
      </c>
      <c r="G810" s="2" t="s">
        <v>15</v>
      </c>
      <c r="H810" s="2">
        <v>2</v>
      </c>
      <c r="I810" s="4">
        <v>32</v>
      </c>
      <c r="J810" s="2" t="s">
        <v>16</v>
      </c>
      <c r="K810">
        <f>H810*I810</f>
        <v>64</v>
      </c>
      <c r="L810" t="str">
        <f t="shared" si="24"/>
        <v>Jun</v>
      </c>
      <c r="M810">
        <f t="shared" si="25"/>
        <v>6</v>
      </c>
    </row>
    <row r="811" spans="1:13" x14ac:dyDescent="0.25">
      <c r="A811" s="2" t="s">
        <v>884</v>
      </c>
      <c r="B811" s="3">
        <v>45817</v>
      </c>
      <c r="C811" s="2" t="s">
        <v>35</v>
      </c>
      <c r="D811" s="2" t="s">
        <v>35</v>
      </c>
      <c r="E811" s="2" t="s">
        <v>36</v>
      </c>
      <c r="F811" s="2" t="s">
        <v>20</v>
      </c>
      <c r="G811" s="2" t="s">
        <v>21</v>
      </c>
      <c r="H811" s="2">
        <v>2</v>
      </c>
      <c r="I811" s="4">
        <v>58</v>
      </c>
      <c r="J811" s="2" t="s">
        <v>22</v>
      </c>
      <c r="K811">
        <f>H811*I811</f>
        <v>116</v>
      </c>
      <c r="L811" t="str">
        <f t="shared" si="24"/>
        <v>Jun</v>
      </c>
      <c r="M811">
        <f t="shared" si="25"/>
        <v>6</v>
      </c>
    </row>
    <row r="812" spans="1:13" x14ac:dyDescent="0.25">
      <c r="A812" s="2" t="s">
        <v>885</v>
      </c>
      <c r="B812" s="3">
        <v>45817</v>
      </c>
      <c r="C812" s="2" t="s">
        <v>79</v>
      </c>
      <c r="D812" s="2" t="s">
        <v>80</v>
      </c>
      <c r="E812" s="2" t="s">
        <v>26</v>
      </c>
      <c r="F812" s="2" t="s">
        <v>14</v>
      </c>
      <c r="G812" s="2" t="s">
        <v>81</v>
      </c>
      <c r="H812" s="2">
        <v>2</v>
      </c>
      <c r="I812" s="4">
        <v>152</v>
      </c>
      <c r="J812" s="2" t="s">
        <v>16</v>
      </c>
      <c r="K812">
        <f>H812*I812</f>
        <v>304</v>
      </c>
      <c r="L812" t="str">
        <f t="shared" si="24"/>
        <v>Jun</v>
      </c>
      <c r="M812">
        <f t="shared" si="25"/>
        <v>6</v>
      </c>
    </row>
    <row r="813" spans="1:13" x14ac:dyDescent="0.25">
      <c r="A813" s="2" t="s">
        <v>886</v>
      </c>
      <c r="B813" s="3">
        <v>45817</v>
      </c>
      <c r="C813" s="2" t="s">
        <v>80</v>
      </c>
      <c r="D813" s="2" t="s">
        <v>80</v>
      </c>
      <c r="E813" s="2" t="s">
        <v>26</v>
      </c>
      <c r="F813" s="2" t="s">
        <v>20</v>
      </c>
      <c r="G813" s="2" t="s">
        <v>21</v>
      </c>
      <c r="H813" s="2">
        <v>1</v>
      </c>
      <c r="I813" s="4">
        <v>50</v>
      </c>
      <c r="J813" s="2" t="s">
        <v>16</v>
      </c>
      <c r="K813">
        <f>H813*I813</f>
        <v>50</v>
      </c>
      <c r="L813" t="str">
        <f t="shared" si="24"/>
        <v>Jun</v>
      </c>
      <c r="M813">
        <f t="shared" si="25"/>
        <v>6</v>
      </c>
    </row>
    <row r="814" spans="1:13" x14ac:dyDescent="0.25">
      <c r="A814" s="2" t="s">
        <v>887</v>
      </c>
      <c r="B814" s="3">
        <v>45817</v>
      </c>
      <c r="C814" s="2" t="s">
        <v>24</v>
      </c>
      <c r="D814" s="2" t="s">
        <v>25</v>
      </c>
      <c r="E814" s="2" t="s">
        <v>26</v>
      </c>
      <c r="F814" s="2" t="s">
        <v>14</v>
      </c>
      <c r="G814" s="2" t="s">
        <v>27</v>
      </c>
      <c r="H814" s="2">
        <v>1</v>
      </c>
      <c r="I814" s="4">
        <v>58</v>
      </c>
      <c r="J814" s="2" t="s">
        <v>16</v>
      </c>
      <c r="K814">
        <f>H814*I814</f>
        <v>58</v>
      </c>
      <c r="L814" t="str">
        <f t="shared" si="24"/>
        <v>Jun</v>
      </c>
      <c r="M814">
        <f t="shared" si="25"/>
        <v>6</v>
      </c>
    </row>
    <row r="815" spans="1:13" x14ac:dyDescent="0.25">
      <c r="A815" s="2" t="s">
        <v>888</v>
      </c>
      <c r="B815" s="3">
        <v>45817</v>
      </c>
      <c r="C815" s="2" t="s">
        <v>25</v>
      </c>
      <c r="D815" s="2" t="s">
        <v>25</v>
      </c>
      <c r="E815" s="2" t="s">
        <v>26</v>
      </c>
      <c r="F815" s="2" t="s">
        <v>20</v>
      </c>
      <c r="G815" s="2" t="s">
        <v>21</v>
      </c>
      <c r="H815" s="2">
        <v>1</v>
      </c>
      <c r="I815" s="4">
        <v>20</v>
      </c>
      <c r="J815" s="2" t="s">
        <v>31</v>
      </c>
      <c r="K815">
        <f>H815*I815</f>
        <v>20</v>
      </c>
      <c r="L815" t="str">
        <f t="shared" si="24"/>
        <v>Jun</v>
      </c>
      <c r="M815">
        <f t="shared" si="25"/>
        <v>6</v>
      </c>
    </row>
    <row r="816" spans="1:13" x14ac:dyDescent="0.25">
      <c r="A816" s="2" t="s">
        <v>889</v>
      </c>
      <c r="B816" s="3">
        <v>45817</v>
      </c>
      <c r="C816" s="2" t="s">
        <v>97</v>
      </c>
      <c r="D816" s="2" t="s">
        <v>98</v>
      </c>
      <c r="E816" s="2" t="s">
        <v>99</v>
      </c>
      <c r="F816" s="2" t="s">
        <v>14</v>
      </c>
      <c r="G816" s="2" t="s">
        <v>37</v>
      </c>
      <c r="H816" s="2">
        <v>4</v>
      </c>
      <c r="I816" s="4">
        <v>182</v>
      </c>
      <c r="J816" s="2" t="s">
        <v>16</v>
      </c>
      <c r="K816">
        <f>H816*I816</f>
        <v>728</v>
      </c>
      <c r="L816" t="str">
        <f t="shared" si="24"/>
        <v>Jun</v>
      </c>
      <c r="M816">
        <f t="shared" si="25"/>
        <v>6</v>
      </c>
    </row>
    <row r="817" spans="1:13" x14ac:dyDescent="0.25">
      <c r="A817" s="2" t="s">
        <v>890</v>
      </c>
      <c r="B817" s="3">
        <v>45818</v>
      </c>
      <c r="C817" s="2" t="s">
        <v>75</v>
      </c>
      <c r="D817" s="2" t="s">
        <v>75</v>
      </c>
      <c r="E817" s="2" t="s">
        <v>76</v>
      </c>
      <c r="F817" s="2" t="s">
        <v>20</v>
      </c>
      <c r="G817" s="2" t="s">
        <v>21</v>
      </c>
      <c r="H817" s="2">
        <v>6</v>
      </c>
      <c r="I817" s="4">
        <v>12</v>
      </c>
      <c r="J817" s="2" t="s">
        <v>16</v>
      </c>
      <c r="K817">
        <f>H817*I817</f>
        <v>72</v>
      </c>
      <c r="L817" t="str">
        <f t="shared" si="24"/>
        <v>Jun</v>
      </c>
      <c r="M817">
        <f t="shared" si="25"/>
        <v>6</v>
      </c>
    </row>
    <row r="818" spans="1:13" x14ac:dyDescent="0.25">
      <c r="A818" s="2" t="s">
        <v>891</v>
      </c>
      <c r="B818" s="3">
        <v>45818</v>
      </c>
      <c r="C818" s="2" t="s">
        <v>102</v>
      </c>
      <c r="D818" s="2" t="s">
        <v>102</v>
      </c>
      <c r="E818" s="2" t="s">
        <v>36</v>
      </c>
      <c r="F818" s="2" t="s">
        <v>20</v>
      </c>
      <c r="G818" s="2" t="s">
        <v>21</v>
      </c>
      <c r="H818" s="2">
        <v>12</v>
      </c>
      <c r="I818" s="4">
        <v>35</v>
      </c>
      <c r="J818" s="2" t="s">
        <v>22</v>
      </c>
      <c r="K818">
        <f>H818*I818</f>
        <v>420</v>
      </c>
      <c r="L818" t="str">
        <f t="shared" si="24"/>
        <v>Jun</v>
      </c>
      <c r="M818">
        <f t="shared" si="25"/>
        <v>6</v>
      </c>
    </row>
    <row r="819" spans="1:13" x14ac:dyDescent="0.25">
      <c r="A819" s="2" t="s">
        <v>892</v>
      </c>
      <c r="B819" s="3">
        <v>45818</v>
      </c>
      <c r="C819" s="2" t="s">
        <v>190</v>
      </c>
      <c r="D819" s="2" t="s">
        <v>40</v>
      </c>
      <c r="E819" s="2" t="s">
        <v>19</v>
      </c>
      <c r="F819" s="2" t="s">
        <v>14</v>
      </c>
      <c r="G819" s="2" t="s">
        <v>191</v>
      </c>
      <c r="H819" s="2">
        <v>1</v>
      </c>
      <c r="I819" s="4">
        <v>142</v>
      </c>
      <c r="J819" s="2" t="s">
        <v>16</v>
      </c>
      <c r="K819">
        <f>H819*I819</f>
        <v>142</v>
      </c>
      <c r="L819" t="str">
        <f t="shared" si="24"/>
        <v>Jun</v>
      </c>
      <c r="M819">
        <f t="shared" si="25"/>
        <v>6</v>
      </c>
    </row>
    <row r="820" spans="1:13" x14ac:dyDescent="0.25">
      <c r="A820" s="2" t="s">
        <v>893</v>
      </c>
      <c r="B820" s="3">
        <v>45818</v>
      </c>
      <c r="C820" s="2" t="s">
        <v>43</v>
      </c>
      <c r="D820" s="2" t="s">
        <v>43</v>
      </c>
      <c r="E820" s="2" t="s">
        <v>44</v>
      </c>
      <c r="F820" s="2" t="s">
        <v>20</v>
      </c>
      <c r="G820" s="2" t="s">
        <v>21</v>
      </c>
      <c r="H820" s="2">
        <v>1</v>
      </c>
      <c r="I820" s="4">
        <v>18</v>
      </c>
      <c r="J820" s="2" t="s">
        <v>22</v>
      </c>
      <c r="K820">
        <f>H820*I820</f>
        <v>18</v>
      </c>
      <c r="L820" t="str">
        <f t="shared" si="24"/>
        <v>Jun</v>
      </c>
      <c r="M820">
        <f t="shared" si="25"/>
        <v>6</v>
      </c>
    </row>
    <row r="821" spans="1:13" x14ac:dyDescent="0.25">
      <c r="A821" s="2" t="s">
        <v>894</v>
      </c>
      <c r="B821" s="3">
        <v>45819</v>
      </c>
      <c r="C821" s="2" t="s">
        <v>48</v>
      </c>
      <c r="D821" s="2" t="s">
        <v>48</v>
      </c>
      <c r="E821" s="2" t="s">
        <v>49</v>
      </c>
      <c r="F821" s="2" t="s">
        <v>20</v>
      </c>
      <c r="G821" s="2" t="s">
        <v>21</v>
      </c>
      <c r="H821" s="2">
        <v>2</v>
      </c>
      <c r="I821" s="4">
        <v>55</v>
      </c>
      <c r="J821" s="2" t="s">
        <v>38</v>
      </c>
      <c r="K821">
        <f>H821*I821</f>
        <v>110</v>
      </c>
      <c r="L821" t="str">
        <f t="shared" si="24"/>
        <v>Jun</v>
      </c>
      <c r="M821">
        <f t="shared" si="25"/>
        <v>6</v>
      </c>
    </row>
    <row r="822" spans="1:13" x14ac:dyDescent="0.25">
      <c r="A822" s="2" t="s">
        <v>895</v>
      </c>
      <c r="B822" s="3">
        <v>45819</v>
      </c>
      <c r="C822" s="2" t="s">
        <v>75</v>
      </c>
      <c r="D822" s="2" t="s">
        <v>75</v>
      </c>
      <c r="E822" s="2" t="s">
        <v>76</v>
      </c>
      <c r="F822" s="2" t="s">
        <v>20</v>
      </c>
      <c r="G822" s="2" t="s">
        <v>21</v>
      </c>
      <c r="H822" s="2">
        <v>1</v>
      </c>
      <c r="I822" s="4">
        <v>12</v>
      </c>
      <c r="J822" s="2" t="s">
        <v>22</v>
      </c>
      <c r="K822">
        <f>H822*I822</f>
        <v>12</v>
      </c>
      <c r="L822" t="str">
        <f t="shared" si="24"/>
        <v>Jun</v>
      </c>
      <c r="M822">
        <f t="shared" si="25"/>
        <v>6</v>
      </c>
    </row>
    <row r="823" spans="1:13" x14ac:dyDescent="0.25">
      <c r="A823" s="2" t="s">
        <v>896</v>
      </c>
      <c r="B823" s="3">
        <v>45819</v>
      </c>
      <c r="C823" s="2" t="s">
        <v>124</v>
      </c>
      <c r="D823" s="2" t="s">
        <v>18</v>
      </c>
      <c r="E823" s="2" t="s">
        <v>19</v>
      </c>
      <c r="F823" s="2" t="s">
        <v>14</v>
      </c>
      <c r="G823" s="2" t="s">
        <v>125</v>
      </c>
      <c r="H823" s="2">
        <v>3</v>
      </c>
      <c r="I823" s="4">
        <v>45</v>
      </c>
      <c r="J823" s="2" t="s">
        <v>16</v>
      </c>
      <c r="K823">
        <f>H823*I823</f>
        <v>135</v>
      </c>
      <c r="L823" t="str">
        <f t="shared" si="24"/>
        <v>Jun</v>
      </c>
      <c r="M823">
        <f t="shared" si="25"/>
        <v>6</v>
      </c>
    </row>
    <row r="824" spans="1:13" x14ac:dyDescent="0.25">
      <c r="A824" s="2" t="s">
        <v>897</v>
      </c>
      <c r="B824" s="3">
        <v>45819</v>
      </c>
      <c r="C824" s="2" t="s">
        <v>52</v>
      </c>
      <c r="D824" s="2" t="s">
        <v>30</v>
      </c>
      <c r="E824" s="2" t="s">
        <v>13</v>
      </c>
      <c r="F824" s="2" t="s">
        <v>14</v>
      </c>
      <c r="G824" s="2" t="s">
        <v>53</v>
      </c>
      <c r="H824" s="2">
        <v>2</v>
      </c>
      <c r="I824" s="4">
        <v>42</v>
      </c>
      <c r="J824" s="2" t="s">
        <v>16</v>
      </c>
      <c r="K824">
        <f>H824*I824</f>
        <v>84</v>
      </c>
      <c r="L824" t="str">
        <f t="shared" si="24"/>
        <v>Jun</v>
      </c>
      <c r="M824">
        <f t="shared" si="25"/>
        <v>6</v>
      </c>
    </row>
    <row r="825" spans="1:13" x14ac:dyDescent="0.25">
      <c r="A825" s="2" t="s">
        <v>898</v>
      </c>
      <c r="B825" s="3">
        <v>45819</v>
      </c>
      <c r="C825" s="2" t="s">
        <v>42</v>
      </c>
      <c r="D825" s="2" t="s">
        <v>43</v>
      </c>
      <c r="E825" s="2" t="s">
        <v>44</v>
      </c>
      <c r="F825" s="2" t="s">
        <v>14</v>
      </c>
      <c r="G825" s="2" t="s">
        <v>45</v>
      </c>
      <c r="H825" s="2">
        <v>1</v>
      </c>
      <c r="I825" s="4">
        <v>46</v>
      </c>
      <c r="J825" s="2" t="s">
        <v>22</v>
      </c>
      <c r="K825">
        <f>H825*I825</f>
        <v>46</v>
      </c>
      <c r="L825" t="str">
        <f t="shared" si="24"/>
        <v>Jun</v>
      </c>
      <c r="M825">
        <f t="shared" si="25"/>
        <v>6</v>
      </c>
    </row>
    <row r="826" spans="1:13" x14ac:dyDescent="0.25">
      <c r="A826" s="2" t="s">
        <v>899</v>
      </c>
      <c r="B826" s="3">
        <v>45820</v>
      </c>
      <c r="C826" s="2" t="s">
        <v>67</v>
      </c>
      <c r="D826" s="2" t="s">
        <v>68</v>
      </c>
      <c r="E826" s="2" t="s">
        <v>49</v>
      </c>
      <c r="F826" s="2" t="s">
        <v>14</v>
      </c>
      <c r="G826" s="2" t="s">
        <v>69</v>
      </c>
      <c r="H826" s="2">
        <v>1</v>
      </c>
      <c r="I826" s="4">
        <v>205</v>
      </c>
      <c r="J826" s="2" t="s">
        <v>16</v>
      </c>
      <c r="K826">
        <f>H826*I826</f>
        <v>205</v>
      </c>
      <c r="L826" t="str">
        <f t="shared" si="24"/>
        <v>Jun</v>
      </c>
      <c r="M826">
        <f t="shared" si="25"/>
        <v>6</v>
      </c>
    </row>
    <row r="827" spans="1:13" x14ac:dyDescent="0.25">
      <c r="A827" s="2" t="s">
        <v>900</v>
      </c>
      <c r="B827" s="3">
        <v>45820</v>
      </c>
      <c r="C827" s="2" t="s">
        <v>102</v>
      </c>
      <c r="D827" s="2" t="s">
        <v>102</v>
      </c>
      <c r="E827" s="2" t="s">
        <v>36</v>
      </c>
      <c r="F827" s="2" t="s">
        <v>20</v>
      </c>
      <c r="G827" s="2" t="s">
        <v>21</v>
      </c>
      <c r="H827" s="2">
        <v>2</v>
      </c>
      <c r="I827" s="4">
        <v>35</v>
      </c>
      <c r="J827" s="2" t="s">
        <v>22</v>
      </c>
      <c r="K827">
        <f>H827*I827</f>
        <v>70</v>
      </c>
      <c r="L827" t="str">
        <f t="shared" si="24"/>
        <v>Jun</v>
      </c>
      <c r="M827">
        <f t="shared" si="25"/>
        <v>6</v>
      </c>
    </row>
    <row r="828" spans="1:13" x14ac:dyDescent="0.25">
      <c r="A828" s="2" t="s">
        <v>901</v>
      </c>
      <c r="B828" s="3">
        <v>45820</v>
      </c>
      <c r="C828" s="2" t="s">
        <v>34</v>
      </c>
      <c r="D828" s="2" t="s">
        <v>35</v>
      </c>
      <c r="E828" s="2" t="s">
        <v>36</v>
      </c>
      <c r="F828" s="2" t="s">
        <v>14</v>
      </c>
      <c r="G828" s="2" t="s">
        <v>37</v>
      </c>
      <c r="H828" s="2">
        <v>1</v>
      </c>
      <c r="I828" s="4">
        <v>165</v>
      </c>
      <c r="J828" s="2" t="s">
        <v>16</v>
      </c>
      <c r="K828">
        <f>H828*I828</f>
        <v>165</v>
      </c>
      <c r="L828" t="str">
        <f t="shared" si="24"/>
        <v>Jun</v>
      </c>
      <c r="M828">
        <f t="shared" si="25"/>
        <v>6</v>
      </c>
    </row>
    <row r="829" spans="1:13" x14ac:dyDescent="0.25">
      <c r="A829" s="2" t="s">
        <v>902</v>
      </c>
      <c r="B829" s="3">
        <v>45820</v>
      </c>
      <c r="C829" s="2" t="s">
        <v>124</v>
      </c>
      <c r="D829" s="2" t="s">
        <v>18</v>
      </c>
      <c r="E829" s="2" t="s">
        <v>19</v>
      </c>
      <c r="F829" s="2" t="s">
        <v>14</v>
      </c>
      <c r="G829" s="2" t="s">
        <v>125</v>
      </c>
      <c r="H829" s="2">
        <v>3</v>
      </c>
      <c r="I829" s="4">
        <v>45</v>
      </c>
      <c r="J829" s="2" t="s">
        <v>31</v>
      </c>
      <c r="K829">
        <f>H829*I829</f>
        <v>135</v>
      </c>
      <c r="L829" t="str">
        <f t="shared" si="24"/>
        <v>Jun</v>
      </c>
      <c r="M829">
        <f t="shared" si="25"/>
        <v>6</v>
      </c>
    </row>
    <row r="830" spans="1:13" x14ac:dyDescent="0.25">
      <c r="A830" s="2" t="s">
        <v>903</v>
      </c>
      <c r="B830" s="3">
        <v>45820</v>
      </c>
      <c r="C830" s="2" t="s">
        <v>80</v>
      </c>
      <c r="D830" s="2" t="s">
        <v>80</v>
      </c>
      <c r="E830" s="2" t="s">
        <v>26</v>
      </c>
      <c r="F830" s="2" t="s">
        <v>20</v>
      </c>
      <c r="G830" s="2" t="s">
        <v>21</v>
      </c>
      <c r="H830" s="2">
        <v>4</v>
      </c>
      <c r="I830" s="4">
        <v>50</v>
      </c>
      <c r="J830" s="2" t="s">
        <v>31</v>
      </c>
      <c r="K830">
        <f>H830*I830</f>
        <v>200</v>
      </c>
      <c r="L830" t="str">
        <f t="shared" si="24"/>
        <v>Jun</v>
      </c>
      <c r="M830">
        <f t="shared" si="25"/>
        <v>6</v>
      </c>
    </row>
    <row r="831" spans="1:13" x14ac:dyDescent="0.25">
      <c r="A831" s="2" t="s">
        <v>904</v>
      </c>
      <c r="B831" s="3">
        <v>45820</v>
      </c>
      <c r="C831" s="2" t="s">
        <v>30</v>
      </c>
      <c r="D831" s="2" t="s">
        <v>30</v>
      </c>
      <c r="E831" s="2" t="s">
        <v>13</v>
      </c>
      <c r="F831" s="2" t="s">
        <v>20</v>
      </c>
      <c r="G831" s="2" t="s">
        <v>21</v>
      </c>
      <c r="H831" s="2">
        <v>1</v>
      </c>
      <c r="I831" s="4">
        <v>15</v>
      </c>
      <c r="J831" s="2" t="s">
        <v>22</v>
      </c>
      <c r="K831">
        <f>H831*I831</f>
        <v>15</v>
      </c>
      <c r="L831" t="str">
        <f t="shared" si="24"/>
        <v>Jun</v>
      </c>
      <c r="M831">
        <f t="shared" si="25"/>
        <v>6</v>
      </c>
    </row>
    <row r="832" spans="1:13" x14ac:dyDescent="0.25">
      <c r="A832" s="2" t="s">
        <v>905</v>
      </c>
      <c r="B832" s="3">
        <v>45820</v>
      </c>
      <c r="C832" s="2" t="s">
        <v>30</v>
      </c>
      <c r="D832" s="2" t="s">
        <v>30</v>
      </c>
      <c r="E832" s="2" t="s">
        <v>13</v>
      </c>
      <c r="F832" s="2" t="s">
        <v>20</v>
      </c>
      <c r="G832" s="2" t="s">
        <v>21</v>
      </c>
      <c r="H832" s="2">
        <v>1</v>
      </c>
      <c r="I832" s="4">
        <v>15</v>
      </c>
      <c r="J832" s="2" t="s">
        <v>16</v>
      </c>
      <c r="K832">
        <f>H832*I832</f>
        <v>15</v>
      </c>
      <c r="L832" t="str">
        <f t="shared" si="24"/>
        <v>Jun</v>
      </c>
      <c r="M832">
        <f t="shared" si="25"/>
        <v>6</v>
      </c>
    </row>
    <row r="833" spans="1:13" x14ac:dyDescent="0.25">
      <c r="A833" s="2" t="s">
        <v>906</v>
      </c>
      <c r="B833" s="3">
        <v>45821</v>
      </c>
      <c r="C833" s="2" t="s">
        <v>12</v>
      </c>
      <c r="D833" s="2" t="s">
        <v>12</v>
      </c>
      <c r="E833" s="2" t="s">
        <v>13</v>
      </c>
      <c r="F833" s="2" t="s">
        <v>20</v>
      </c>
      <c r="G833" s="2" t="s">
        <v>21</v>
      </c>
      <c r="H833" s="2">
        <v>5</v>
      </c>
      <c r="I833" s="4">
        <v>14</v>
      </c>
      <c r="J833" s="2" t="s">
        <v>38</v>
      </c>
      <c r="K833">
        <f>H833*I833</f>
        <v>70</v>
      </c>
      <c r="L833" t="str">
        <f t="shared" si="24"/>
        <v>Jun</v>
      </c>
      <c r="M833">
        <f t="shared" si="25"/>
        <v>6</v>
      </c>
    </row>
    <row r="834" spans="1:13" x14ac:dyDescent="0.25">
      <c r="A834" s="2" t="s">
        <v>907</v>
      </c>
      <c r="B834" s="3">
        <v>45821</v>
      </c>
      <c r="C834" s="2" t="s">
        <v>86</v>
      </c>
      <c r="D834" s="2" t="s">
        <v>48</v>
      </c>
      <c r="E834" s="2" t="s">
        <v>49</v>
      </c>
      <c r="F834" s="2" t="s">
        <v>14</v>
      </c>
      <c r="G834" s="2" t="s">
        <v>87</v>
      </c>
      <c r="H834" s="2">
        <v>2</v>
      </c>
      <c r="I834" s="4">
        <v>125</v>
      </c>
      <c r="J834" s="2" t="s">
        <v>16</v>
      </c>
      <c r="K834">
        <f>H834*I834</f>
        <v>250</v>
      </c>
      <c r="L834" t="str">
        <f t="shared" si="24"/>
        <v>Jun</v>
      </c>
      <c r="M834">
        <f t="shared" si="25"/>
        <v>6</v>
      </c>
    </row>
    <row r="835" spans="1:13" x14ac:dyDescent="0.25">
      <c r="A835" s="2" t="s">
        <v>908</v>
      </c>
      <c r="B835" s="3">
        <v>45821</v>
      </c>
      <c r="C835" s="2" t="s">
        <v>119</v>
      </c>
      <c r="D835" s="2" t="s">
        <v>120</v>
      </c>
      <c r="E835" s="2" t="s">
        <v>76</v>
      </c>
      <c r="F835" s="2" t="s">
        <v>14</v>
      </c>
      <c r="G835" s="2" t="s">
        <v>121</v>
      </c>
      <c r="H835" s="2">
        <v>3</v>
      </c>
      <c r="I835" s="4">
        <v>190</v>
      </c>
      <c r="J835" s="2" t="s">
        <v>38</v>
      </c>
      <c r="K835">
        <f>H835*I835</f>
        <v>570</v>
      </c>
      <c r="L835" t="str">
        <f t="shared" ref="L835:L898" si="26">TEXT(B835,"mmm")</f>
        <v>Jun</v>
      </c>
      <c r="M835">
        <f t="shared" ref="M835:M898" si="27">MONTH(B835)</f>
        <v>6</v>
      </c>
    </row>
    <row r="836" spans="1:13" x14ac:dyDescent="0.25">
      <c r="A836" s="2" t="s">
        <v>909</v>
      </c>
      <c r="B836" s="3">
        <v>45821</v>
      </c>
      <c r="C836" s="2" t="s">
        <v>101</v>
      </c>
      <c r="D836" s="2" t="s">
        <v>102</v>
      </c>
      <c r="E836" s="2" t="s">
        <v>36</v>
      </c>
      <c r="F836" s="2" t="s">
        <v>14</v>
      </c>
      <c r="G836" s="2" t="s">
        <v>103</v>
      </c>
      <c r="H836" s="2">
        <v>6</v>
      </c>
      <c r="I836" s="4">
        <v>92</v>
      </c>
      <c r="J836" s="2" t="s">
        <v>22</v>
      </c>
      <c r="K836">
        <f>H836*I836</f>
        <v>552</v>
      </c>
      <c r="L836" t="str">
        <f t="shared" si="26"/>
        <v>Jun</v>
      </c>
      <c r="M836">
        <f t="shared" si="27"/>
        <v>6</v>
      </c>
    </row>
    <row r="837" spans="1:13" x14ac:dyDescent="0.25">
      <c r="A837" s="2" t="s">
        <v>910</v>
      </c>
      <c r="B837" s="3">
        <v>45821</v>
      </c>
      <c r="C837" s="2" t="s">
        <v>60</v>
      </c>
      <c r="D837" s="2" t="s">
        <v>61</v>
      </c>
      <c r="E837" s="2" t="s">
        <v>62</v>
      </c>
      <c r="F837" s="2" t="s">
        <v>14</v>
      </c>
      <c r="G837" s="2" t="s">
        <v>63</v>
      </c>
      <c r="H837" s="2">
        <v>4</v>
      </c>
      <c r="I837" s="4">
        <v>26</v>
      </c>
      <c r="J837" s="2" t="s">
        <v>16</v>
      </c>
      <c r="K837">
        <f>H837*I837</f>
        <v>104</v>
      </c>
      <c r="L837" t="str">
        <f t="shared" si="26"/>
        <v>Jun</v>
      </c>
      <c r="M837">
        <f t="shared" si="27"/>
        <v>6</v>
      </c>
    </row>
    <row r="838" spans="1:13" x14ac:dyDescent="0.25">
      <c r="A838" s="2" t="s">
        <v>911</v>
      </c>
      <c r="B838" s="3">
        <v>45821</v>
      </c>
      <c r="C838" s="2" t="s">
        <v>42</v>
      </c>
      <c r="D838" s="2" t="s">
        <v>43</v>
      </c>
      <c r="E838" s="2" t="s">
        <v>44</v>
      </c>
      <c r="F838" s="2" t="s">
        <v>14</v>
      </c>
      <c r="G838" s="2" t="s">
        <v>45</v>
      </c>
      <c r="H838" s="2">
        <v>1</v>
      </c>
      <c r="I838" s="4">
        <v>46</v>
      </c>
      <c r="J838" s="2" t="s">
        <v>16</v>
      </c>
      <c r="K838">
        <f>H838*I838</f>
        <v>46</v>
      </c>
      <c r="L838" t="str">
        <f t="shared" si="26"/>
        <v>Jun</v>
      </c>
      <c r="M838">
        <f t="shared" si="27"/>
        <v>6</v>
      </c>
    </row>
    <row r="839" spans="1:13" x14ac:dyDescent="0.25">
      <c r="A839" s="2" t="s">
        <v>912</v>
      </c>
      <c r="B839" s="3">
        <v>45822</v>
      </c>
      <c r="C839" s="2" t="s">
        <v>11</v>
      </c>
      <c r="D839" s="2" t="s">
        <v>12</v>
      </c>
      <c r="E839" s="2" t="s">
        <v>13</v>
      </c>
      <c r="F839" s="2" t="s">
        <v>14</v>
      </c>
      <c r="G839" s="2" t="s">
        <v>15</v>
      </c>
      <c r="H839" s="2">
        <v>1</v>
      </c>
      <c r="I839" s="4">
        <v>32</v>
      </c>
      <c r="J839" s="2" t="s">
        <v>22</v>
      </c>
      <c r="K839">
        <f>H839*I839</f>
        <v>32</v>
      </c>
      <c r="L839" t="str">
        <f t="shared" si="26"/>
        <v>Jun</v>
      </c>
      <c r="M839">
        <f t="shared" si="27"/>
        <v>6</v>
      </c>
    </row>
    <row r="840" spans="1:13" x14ac:dyDescent="0.25">
      <c r="A840" s="2" t="s">
        <v>913</v>
      </c>
      <c r="B840" s="3">
        <v>45822</v>
      </c>
      <c r="C840" s="2" t="s">
        <v>67</v>
      </c>
      <c r="D840" s="2" t="s">
        <v>68</v>
      </c>
      <c r="E840" s="2" t="s">
        <v>49</v>
      </c>
      <c r="F840" s="2" t="s">
        <v>14</v>
      </c>
      <c r="G840" s="2" t="s">
        <v>69</v>
      </c>
      <c r="H840" s="2">
        <v>2</v>
      </c>
      <c r="I840" s="4">
        <v>205</v>
      </c>
      <c r="J840" s="2" t="s">
        <v>16</v>
      </c>
      <c r="K840">
        <f>H840*I840</f>
        <v>410</v>
      </c>
      <c r="L840" t="str">
        <f t="shared" si="26"/>
        <v>Jun</v>
      </c>
      <c r="M840">
        <f t="shared" si="27"/>
        <v>6</v>
      </c>
    </row>
    <row r="841" spans="1:13" x14ac:dyDescent="0.25">
      <c r="A841" s="2" t="s">
        <v>914</v>
      </c>
      <c r="B841" s="3">
        <v>45822</v>
      </c>
      <c r="C841" s="2" t="s">
        <v>190</v>
      </c>
      <c r="D841" s="2" t="s">
        <v>40</v>
      </c>
      <c r="E841" s="2" t="s">
        <v>19</v>
      </c>
      <c r="F841" s="2" t="s">
        <v>14</v>
      </c>
      <c r="G841" s="2" t="s">
        <v>191</v>
      </c>
      <c r="H841" s="2">
        <v>3</v>
      </c>
      <c r="I841" s="4">
        <v>142</v>
      </c>
      <c r="J841" s="2" t="s">
        <v>22</v>
      </c>
      <c r="K841">
        <f>H841*I841</f>
        <v>426</v>
      </c>
      <c r="L841" t="str">
        <f t="shared" si="26"/>
        <v>Jun</v>
      </c>
      <c r="M841">
        <f t="shared" si="27"/>
        <v>6</v>
      </c>
    </row>
    <row r="842" spans="1:13" x14ac:dyDescent="0.25">
      <c r="A842" s="2" t="s">
        <v>915</v>
      </c>
      <c r="B842" s="3">
        <v>45822</v>
      </c>
      <c r="C842" s="2" t="s">
        <v>79</v>
      </c>
      <c r="D842" s="2" t="s">
        <v>80</v>
      </c>
      <c r="E842" s="2" t="s">
        <v>26</v>
      </c>
      <c r="F842" s="2" t="s">
        <v>14</v>
      </c>
      <c r="G842" s="2" t="s">
        <v>81</v>
      </c>
      <c r="H842" s="2">
        <v>1</v>
      </c>
      <c r="I842" s="4">
        <v>152</v>
      </c>
      <c r="J842" s="2" t="s">
        <v>16</v>
      </c>
      <c r="K842">
        <f>H842*I842</f>
        <v>152</v>
      </c>
      <c r="L842" t="str">
        <f t="shared" si="26"/>
        <v>Jun</v>
      </c>
      <c r="M842">
        <f t="shared" si="27"/>
        <v>6</v>
      </c>
    </row>
    <row r="843" spans="1:13" x14ac:dyDescent="0.25">
      <c r="A843" s="2" t="s">
        <v>916</v>
      </c>
      <c r="B843" s="3">
        <v>45822</v>
      </c>
      <c r="C843" s="2" t="s">
        <v>60</v>
      </c>
      <c r="D843" s="2" t="s">
        <v>61</v>
      </c>
      <c r="E843" s="2" t="s">
        <v>62</v>
      </c>
      <c r="F843" s="2" t="s">
        <v>14</v>
      </c>
      <c r="G843" s="2" t="s">
        <v>63</v>
      </c>
      <c r="H843" s="2">
        <v>4</v>
      </c>
      <c r="I843" s="4">
        <v>26</v>
      </c>
      <c r="J843" s="2" t="s">
        <v>31</v>
      </c>
      <c r="K843">
        <f>H843*I843</f>
        <v>104</v>
      </c>
      <c r="L843" t="str">
        <f t="shared" si="26"/>
        <v>Jun</v>
      </c>
      <c r="M843">
        <f t="shared" si="27"/>
        <v>6</v>
      </c>
    </row>
    <row r="844" spans="1:13" x14ac:dyDescent="0.25">
      <c r="A844" s="2" t="s">
        <v>917</v>
      </c>
      <c r="B844" s="3">
        <v>45822</v>
      </c>
      <c r="C844" s="2" t="s">
        <v>42</v>
      </c>
      <c r="D844" s="2" t="s">
        <v>43</v>
      </c>
      <c r="E844" s="2" t="s">
        <v>44</v>
      </c>
      <c r="F844" s="2" t="s">
        <v>14</v>
      </c>
      <c r="G844" s="2" t="s">
        <v>45</v>
      </c>
      <c r="H844" s="2">
        <v>5</v>
      </c>
      <c r="I844" s="4">
        <v>46</v>
      </c>
      <c r="J844" s="2" t="s">
        <v>16</v>
      </c>
      <c r="K844">
        <f>H844*I844</f>
        <v>230</v>
      </c>
      <c r="L844" t="str">
        <f t="shared" si="26"/>
        <v>Jun</v>
      </c>
      <c r="M844">
        <f t="shared" si="27"/>
        <v>6</v>
      </c>
    </row>
    <row r="845" spans="1:13" x14ac:dyDescent="0.25">
      <c r="A845" s="2" t="s">
        <v>918</v>
      </c>
      <c r="B845" s="3">
        <v>45823</v>
      </c>
      <c r="C845" s="2" t="s">
        <v>11</v>
      </c>
      <c r="D845" s="2" t="s">
        <v>12</v>
      </c>
      <c r="E845" s="2" t="s">
        <v>13</v>
      </c>
      <c r="F845" s="2" t="s">
        <v>14</v>
      </c>
      <c r="G845" s="2" t="s">
        <v>15</v>
      </c>
      <c r="H845" s="2">
        <v>2</v>
      </c>
      <c r="I845" s="4">
        <v>32</v>
      </c>
      <c r="J845" s="2" t="s">
        <v>31</v>
      </c>
      <c r="K845">
        <f>H845*I845</f>
        <v>64</v>
      </c>
      <c r="L845" t="str">
        <f t="shared" si="26"/>
        <v>Jun</v>
      </c>
      <c r="M845">
        <f t="shared" si="27"/>
        <v>6</v>
      </c>
    </row>
    <row r="846" spans="1:13" x14ac:dyDescent="0.25">
      <c r="A846" s="2" t="s">
        <v>919</v>
      </c>
      <c r="B846" s="3">
        <v>45823</v>
      </c>
      <c r="C846" s="2" t="s">
        <v>11</v>
      </c>
      <c r="D846" s="2" t="s">
        <v>12</v>
      </c>
      <c r="E846" s="2" t="s">
        <v>13</v>
      </c>
      <c r="F846" s="2" t="s">
        <v>14</v>
      </c>
      <c r="G846" s="2" t="s">
        <v>15</v>
      </c>
      <c r="H846" s="2">
        <v>1</v>
      </c>
      <c r="I846" s="4">
        <v>32</v>
      </c>
      <c r="J846" s="2" t="s">
        <v>16</v>
      </c>
      <c r="K846">
        <f>H846*I846</f>
        <v>32</v>
      </c>
      <c r="L846" t="str">
        <f t="shared" si="26"/>
        <v>Jun</v>
      </c>
      <c r="M846">
        <f t="shared" si="27"/>
        <v>6</v>
      </c>
    </row>
    <row r="847" spans="1:13" x14ac:dyDescent="0.25">
      <c r="A847" s="2" t="s">
        <v>920</v>
      </c>
      <c r="B847" s="3">
        <v>45823</v>
      </c>
      <c r="C847" s="2" t="s">
        <v>86</v>
      </c>
      <c r="D847" s="2" t="s">
        <v>48</v>
      </c>
      <c r="E847" s="2" t="s">
        <v>49</v>
      </c>
      <c r="F847" s="2" t="s">
        <v>14</v>
      </c>
      <c r="G847" s="2" t="s">
        <v>87</v>
      </c>
      <c r="H847" s="2">
        <v>5</v>
      </c>
      <c r="I847" s="4">
        <v>125</v>
      </c>
      <c r="J847" s="2" t="s">
        <v>38</v>
      </c>
      <c r="K847">
        <f>H847*I847</f>
        <v>625</v>
      </c>
      <c r="L847" t="str">
        <f t="shared" si="26"/>
        <v>Jun</v>
      </c>
      <c r="M847">
        <f t="shared" si="27"/>
        <v>6</v>
      </c>
    </row>
    <row r="848" spans="1:13" x14ac:dyDescent="0.25">
      <c r="A848" s="2" t="s">
        <v>921</v>
      </c>
      <c r="B848" s="3">
        <v>45823</v>
      </c>
      <c r="C848" s="2" t="s">
        <v>74</v>
      </c>
      <c r="D848" s="2" t="s">
        <v>75</v>
      </c>
      <c r="E848" s="2" t="s">
        <v>76</v>
      </c>
      <c r="F848" s="2" t="s">
        <v>14</v>
      </c>
      <c r="G848" s="2" t="s">
        <v>77</v>
      </c>
      <c r="H848" s="2">
        <v>6</v>
      </c>
      <c r="I848" s="4">
        <v>32</v>
      </c>
      <c r="J848" s="2" t="s">
        <v>22</v>
      </c>
      <c r="K848">
        <f>H848*I848</f>
        <v>192</v>
      </c>
      <c r="L848" t="str">
        <f t="shared" si="26"/>
        <v>Jun</v>
      </c>
      <c r="M848">
        <f t="shared" si="27"/>
        <v>6</v>
      </c>
    </row>
    <row r="849" spans="1:13" x14ac:dyDescent="0.25">
      <c r="A849" s="2" t="s">
        <v>922</v>
      </c>
      <c r="B849" s="3">
        <v>45823</v>
      </c>
      <c r="C849" s="2" t="s">
        <v>18</v>
      </c>
      <c r="D849" s="2" t="s">
        <v>18</v>
      </c>
      <c r="E849" s="2" t="s">
        <v>19</v>
      </c>
      <c r="F849" s="2" t="s">
        <v>20</v>
      </c>
      <c r="G849" s="2" t="s">
        <v>21</v>
      </c>
      <c r="H849" s="2">
        <v>1</v>
      </c>
      <c r="I849" s="4">
        <v>15</v>
      </c>
      <c r="J849" s="2" t="s">
        <v>16</v>
      </c>
      <c r="K849">
        <f>H849*I849</f>
        <v>15</v>
      </c>
      <c r="L849" t="str">
        <f t="shared" si="26"/>
        <v>Jun</v>
      </c>
      <c r="M849">
        <f t="shared" si="27"/>
        <v>6</v>
      </c>
    </row>
    <row r="850" spans="1:13" x14ac:dyDescent="0.25">
      <c r="A850" s="2" t="s">
        <v>923</v>
      </c>
      <c r="B850" s="3">
        <v>45823</v>
      </c>
      <c r="C850" s="2" t="s">
        <v>18</v>
      </c>
      <c r="D850" s="2" t="s">
        <v>18</v>
      </c>
      <c r="E850" s="2" t="s">
        <v>19</v>
      </c>
      <c r="F850" s="2" t="s">
        <v>20</v>
      </c>
      <c r="G850" s="2" t="s">
        <v>21</v>
      </c>
      <c r="H850" s="2">
        <v>6</v>
      </c>
      <c r="I850" s="4">
        <v>15</v>
      </c>
      <c r="J850" s="2" t="s">
        <v>16</v>
      </c>
      <c r="K850">
        <f>H850*I850</f>
        <v>90</v>
      </c>
      <c r="L850" t="str">
        <f t="shared" si="26"/>
        <v>Jun</v>
      </c>
      <c r="M850">
        <f t="shared" si="27"/>
        <v>6</v>
      </c>
    </row>
    <row r="851" spans="1:13" x14ac:dyDescent="0.25">
      <c r="A851" s="2" t="s">
        <v>924</v>
      </c>
      <c r="B851" s="3">
        <v>45823</v>
      </c>
      <c r="C851" s="2" t="s">
        <v>60</v>
      </c>
      <c r="D851" s="2" t="s">
        <v>61</v>
      </c>
      <c r="E851" s="2" t="s">
        <v>62</v>
      </c>
      <c r="F851" s="2" t="s">
        <v>14</v>
      </c>
      <c r="G851" s="2" t="s">
        <v>63</v>
      </c>
      <c r="H851" s="2">
        <v>1</v>
      </c>
      <c r="I851" s="4">
        <v>26</v>
      </c>
      <c r="J851" s="2" t="s">
        <v>38</v>
      </c>
      <c r="K851">
        <f>H851*I851</f>
        <v>26</v>
      </c>
      <c r="L851" t="str">
        <f t="shared" si="26"/>
        <v>Jun</v>
      </c>
      <c r="M851">
        <f t="shared" si="27"/>
        <v>6</v>
      </c>
    </row>
    <row r="852" spans="1:13" x14ac:dyDescent="0.25">
      <c r="A852" s="2" t="s">
        <v>925</v>
      </c>
      <c r="B852" s="3">
        <v>45824</v>
      </c>
      <c r="C852" s="2" t="s">
        <v>11</v>
      </c>
      <c r="D852" s="2" t="s">
        <v>12</v>
      </c>
      <c r="E852" s="2" t="s">
        <v>13</v>
      </c>
      <c r="F852" s="2" t="s">
        <v>14</v>
      </c>
      <c r="G852" s="2" t="s">
        <v>15</v>
      </c>
      <c r="H852" s="2">
        <v>4</v>
      </c>
      <c r="I852" s="4">
        <v>32</v>
      </c>
      <c r="J852" s="2" t="s">
        <v>16</v>
      </c>
      <c r="K852">
        <f>H852*I852</f>
        <v>128</v>
      </c>
      <c r="L852" t="str">
        <f t="shared" si="26"/>
        <v>Jun</v>
      </c>
      <c r="M852">
        <f t="shared" si="27"/>
        <v>6</v>
      </c>
    </row>
    <row r="853" spans="1:13" x14ac:dyDescent="0.25">
      <c r="A853" s="2" t="s">
        <v>926</v>
      </c>
      <c r="B853" s="3">
        <v>45824</v>
      </c>
      <c r="C853" s="2" t="s">
        <v>11</v>
      </c>
      <c r="D853" s="2" t="s">
        <v>12</v>
      </c>
      <c r="E853" s="2" t="s">
        <v>13</v>
      </c>
      <c r="F853" s="2" t="s">
        <v>14</v>
      </c>
      <c r="G853" s="2" t="s">
        <v>15</v>
      </c>
      <c r="H853" s="2">
        <v>1</v>
      </c>
      <c r="I853" s="4">
        <v>32</v>
      </c>
      <c r="J853" s="2" t="s">
        <v>38</v>
      </c>
      <c r="K853">
        <f>H853*I853</f>
        <v>32</v>
      </c>
      <c r="L853" t="str">
        <f t="shared" si="26"/>
        <v>Jun</v>
      </c>
      <c r="M853">
        <f t="shared" si="27"/>
        <v>6</v>
      </c>
    </row>
    <row r="854" spans="1:13" x14ac:dyDescent="0.25">
      <c r="A854" s="2" t="s">
        <v>927</v>
      </c>
      <c r="B854" s="3">
        <v>45824</v>
      </c>
      <c r="C854" s="2" t="s">
        <v>74</v>
      </c>
      <c r="D854" s="2" t="s">
        <v>75</v>
      </c>
      <c r="E854" s="2" t="s">
        <v>76</v>
      </c>
      <c r="F854" s="2" t="s">
        <v>14</v>
      </c>
      <c r="G854" s="2" t="s">
        <v>77</v>
      </c>
      <c r="H854" s="2">
        <v>1</v>
      </c>
      <c r="I854" s="4">
        <v>32</v>
      </c>
      <c r="J854" s="2" t="s">
        <v>31</v>
      </c>
      <c r="K854">
        <f>H854*I854</f>
        <v>32</v>
      </c>
      <c r="L854" t="str">
        <f t="shared" si="26"/>
        <v>Jun</v>
      </c>
      <c r="M854">
        <f t="shared" si="27"/>
        <v>6</v>
      </c>
    </row>
    <row r="855" spans="1:13" x14ac:dyDescent="0.25">
      <c r="A855" s="2" t="s">
        <v>928</v>
      </c>
      <c r="B855" s="3">
        <v>45824</v>
      </c>
      <c r="C855" s="2" t="s">
        <v>61</v>
      </c>
      <c r="D855" s="2" t="s">
        <v>61</v>
      </c>
      <c r="E855" s="2" t="s">
        <v>62</v>
      </c>
      <c r="F855" s="2" t="s">
        <v>20</v>
      </c>
      <c r="G855" s="2" t="s">
        <v>21</v>
      </c>
      <c r="H855" s="2">
        <v>4</v>
      </c>
      <c r="I855" s="4">
        <v>8</v>
      </c>
      <c r="J855" s="2" t="s">
        <v>16</v>
      </c>
      <c r="K855">
        <f>H855*I855</f>
        <v>32</v>
      </c>
      <c r="L855" t="str">
        <f t="shared" si="26"/>
        <v>Jun</v>
      </c>
      <c r="M855">
        <f t="shared" si="27"/>
        <v>6</v>
      </c>
    </row>
    <row r="856" spans="1:13" x14ac:dyDescent="0.25">
      <c r="A856" s="2" t="s">
        <v>929</v>
      </c>
      <c r="B856" s="3">
        <v>45825</v>
      </c>
      <c r="C856" s="2" t="s">
        <v>11</v>
      </c>
      <c r="D856" s="2" t="s">
        <v>12</v>
      </c>
      <c r="E856" s="2" t="s">
        <v>13</v>
      </c>
      <c r="F856" s="2" t="s">
        <v>14</v>
      </c>
      <c r="G856" s="2" t="s">
        <v>15</v>
      </c>
      <c r="H856" s="2">
        <v>5</v>
      </c>
      <c r="I856" s="4">
        <v>32</v>
      </c>
      <c r="J856" s="2" t="s">
        <v>22</v>
      </c>
      <c r="K856">
        <f>H856*I856</f>
        <v>160</v>
      </c>
      <c r="L856" t="str">
        <f t="shared" si="26"/>
        <v>Jun</v>
      </c>
      <c r="M856">
        <f t="shared" si="27"/>
        <v>6</v>
      </c>
    </row>
    <row r="857" spans="1:13" x14ac:dyDescent="0.25">
      <c r="A857" s="2" t="s">
        <v>930</v>
      </c>
      <c r="B857" s="3">
        <v>45825</v>
      </c>
      <c r="C857" s="2" t="s">
        <v>72</v>
      </c>
      <c r="D857" s="2" t="s">
        <v>68</v>
      </c>
      <c r="E857" s="2" t="s">
        <v>49</v>
      </c>
      <c r="F857" s="2" t="s">
        <v>20</v>
      </c>
      <c r="G857" s="2" t="s">
        <v>21</v>
      </c>
      <c r="H857" s="2">
        <v>5</v>
      </c>
      <c r="I857" s="4">
        <v>95</v>
      </c>
      <c r="J857" s="2" t="s">
        <v>31</v>
      </c>
      <c r="K857">
        <f>H857*I857</f>
        <v>475</v>
      </c>
      <c r="L857" t="str">
        <f t="shared" si="26"/>
        <v>Jun</v>
      </c>
      <c r="M857">
        <f t="shared" si="27"/>
        <v>6</v>
      </c>
    </row>
    <row r="858" spans="1:13" x14ac:dyDescent="0.25">
      <c r="A858" s="2" t="s">
        <v>931</v>
      </c>
      <c r="B858" s="3">
        <v>45825</v>
      </c>
      <c r="C858" s="2" t="s">
        <v>119</v>
      </c>
      <c r="D858" s="2" t="s">
        <v>120</v>
      </c>
      <c r="E858" s="2" t="s">
        <v>76</v>
      </c>
      <c r="F858" s="2" t="s">
        <v>14</v>
      </c>
      <c r="G858" s="2" t="s">
        <v>121</v>
      </c>
      <c r="H858" s="2">
        <v>1</v>
      </c>
      <c r="I858" s="4">
        <v>190</v>
      </c>
      <c r="J858" s="2" t="s">
        <v>16</v>
      </c>
      <c r="K858">
        <f>H858*I858</f>
        <v>190</v>
      </c>
      <c r="L858" t="str">
        <f t="shared" si="26"/>
        <v>Jun</v>
      </c>
      <c r="M858">
        <f t="shared" si="27"/>
        <v>6</v>
      </c>
    </row>
    <row r="859" spans="1:13" x14ac:dyDescent="0.25">
      <c r="A859" s="2" t="s">
        <v>932</v>
      </c>
      <c r="B859" s="3">
        <v>45825</v>
      </c>
      <c r="C859" s="2" t="s">
        <v>101</v>
      </c>
      <c r="D859" s="2" t="s">
        <v>102</v>
      </c>
      <c r="E859" s="2" t="s">
        <v>36</v>
      </c>
      <c r="F859" s="2" t="s">
        <v>14</v>
      </c>
      <c r="G859" s="2" t="s">
        <v>103</v>
      </c>
      <c r="H859" s="2">
        <v>1</v>
      </c>
      <c r="I859" s="4">
        <v>92</v>
      </c>
      <c r="J859" s="2" t="s">
        <v>16</v>
      </c>
      <c r="K859">
        <f>H859*I859</f>
        <v>92</v>
      </c>
      <c r="L859" t="str">
        <f t="shared" si="26"/>
        <v>Jun</v>
      </c>
      <c r="M859">
        <f t="shared" si="27"/>
        <v>6</v>
      </c>
    </row>
    <row r="860" spans="1:13" x14ac:dyDescent="0.25">
      <c r="A860" s="2" t="s">
        <v>933</v>
      </c>
      <c r="B860" s="3">
        <v>45825</v>
      </c>
      <c r="C860" s="2" t="s">
        <v>102</v>
      </c>
      <c r="D860" s="2" t="s">
        <v>102</v>
      </c>
      <c r="E860" s="2" t="s">
        <v>36</v>
      </c>
      <c r="F860" s="2" t="s">
        <v>20</v>
      </c>
      <c r="G860" s="2" t="s">
        <v>21</v>
      </c>
      <c r="H860" s="2">
        <v>6</v>
      </c>
      <c r="I860" s="4">
        <v>35</v>
      </c>
      <c r="J860" s="2" t="s">
        <v>16</v>
      </c>
      <c r="K860">
        <f>H860*I860</f>
        <v>210</v>
      </c>
      <c r="L860" t="str">
        <f t="shared" si="26"/>
        <v>Jun</v>
      </c>
      <c r="M860">
        <f t="shared" si="27"/>
        <v>6</v>
      </c>
    </row>
    <row r="861" spans="1:13" x14ac:dyDescent="0.25">
      <c r="A861" s="2" t="s">
        <v>934</v>
      </c>
      <c r="B861" s="3">
        <v>45825</v>
      </c>
      <c r="C861" s="2" t="s">
        <v>34</v>
      </c>
      <c r="D861" s="2" t="s">
        <v>35</v>
      </c>
      <c r="E861" s="2" t="s">
        <v>36</v>
      </c>
      <c r="F861" s="2" t="s">
        <v>14</v>
      </c>
      <c r="G861" s="2" t="s">
        <v>37</v>
      </c>
      <c r="H861" s="2">
        <v>1</v>
      </c>
      <c r="I861" s="4">
        <v>165</v>
      </c>
      <c r="J861" s="2" t="s">
        <v>38</v>
      </c>
      <c r="K861">
        <f>H861*I861</f>
        <v>165</v>
      </c>
      <c r="L861" t="str">
        <f t="shared" si="26"/>
        <v>Jun</v>
      </c>
      <c r="M861">
        <f t="shared" si="27"/>
        <v>6</v>
      </c>
    </row>
    <row r="862" spans="1:13" x14ac:dyDescent="0.25">
      <c r="A862" s="2" t="s">
        <v>935</v>
      </c>
      <c r="B862" s="3">
        <v>45825</v>
      </c>
      <c r="C862" s="2" t="s">
        <v>194</v>
      </c>
      <c r="D862" s="2" t="s">
        <v>98</v>
      </c>
      <c r="E862" s="2" t="s">
        <v>99</v>
      </c>
      <c r="F862" s="2" t="s">
        <v>20</v>
      </c>
      <c r="G862" s="2" t="s">
        <v>21</v>
      </c>
      <c r="H862" s="2">
        <v>3</v>
      </c>
      <c r="I862" s="4">
        <v>70</v>
      </c>
      <c r="J862" s="2" t="s">
        <v>16</v>
      </c>
      <c r="K862">
        <f>H862*I862</f>
        <v>210</v>
      </c>
      <c r="L862" t="str">
        <f t="shared" si="26"/>
        <v>Jun</v>
      </c>
      <c r="M862">
        <f t="shared" si="27"/>
        <v>6</v>
      </c>
    </row>
    <row r="863" spans="1:13" x14ac:dyDescent="0.25">
      <c r="A863" s="2" t="s">
        <v>936</v>
      </c>
      <c r="B863" s="3">
        <v>45826</v>
      </c>
      <c r="C863" s="2" t="s">
        <v>124</v>
      </c>
      <c r="D863" s="2" t="s">
        <v>18</v>
      </c>
      <c r="E863" s="2" t="s">
        <v>19</v>
      </c>
      <c r="F863" s="2" t="s">
        <v>14</v>
      </c>
      <c r="G863" s="2" t="s">
        <v>125</v>
      </c>
      <c r="H863" s="2">
        <v>12</v>
      </c>
      <c r="I863" s="4">
        <v>45</v>
      </c>
      <c r="J863" s="2" t="s">
        <v>16</v>
      </c>
      <c r="K863">
        <f>H863*I863</f>
        <v>540</v>
      </c>
      <c r="L863" t="str">
        <f t="shared" si="26"/>
        <v>Jun</v>
      </c>
      <c r="M863">
        <f t="shared" si="27"/>
        <v>6</v>
      </c>
    </row>
    <row r="864" spans="1:13" x14ac:dyDescent="0.25">
      <c r="A864" s="2" t="s">
        <v>937</v>
      </c>
      <c r="B864" s="3">
        <v>45826</v>
      </c>
      <c r="C864" s="2" t="s">
        <v>24</v>
      </c>
      <c r="D864" s="2" t="s">
        <v>25</v>
      </c>
      <c r="E864" s="2" t="s">
        <v>26</v>
      </c>
      <c r="F864" s="2" t="s">
        <v>14</v>
      </c>
      <c r="G864" s="2" t="s">
        <v>27</v>
      </c>
      <c r="H864" s="2">
        <v>2</v>
      </c>
      <c r="I864" s="4">
        <v>58</v>
      </c>
      <c r="J864" s="2" t="s">
        <v>16</v>
      </c>
      <c r="K864">
        <f>H864*I864</f>
        <v>116</v>
      </c>
      <c r="L864" t="str">
        <f t="shared" si="26"/>
        <v>Jun</v>
      </c>
      <c r="M864">
        <f t="shared" si="27"/>
        <v>6</v>
      </c>
    </row>
    <row r="865" spans="1:13" x14ac:dyDescent="0.25">
      <c r="A865" s="2" t="s">
        <v>938</v>
      </c>
      <c r="B865" s="3">
        <v>45826</v>
      </c>
      <c r="C865" s="2" t="s">
        <v>194</v>
      </c>
      <c r="D865" s="2" t="s">
        <v>98</v>
      </c>
      <c r="E865" s="2" t="s">
        <v>99</v>
      </c>
      <c r="F865" s="2" t="s">
        <v>20</v>
      </c>
      <c r="G865" s="2" t="s">
        <v>21</v>
      </c>
      <c r="H865" s="2">
        <v>5</v>
      </c>
      <c r="I865" s="4">
        <v>70</v>
      </c>
      <c r="J865" s="2" t="s">
        <v>38</v>
      </c>
      <c r="K865">
        <f>H865*I865</f>
        <v>350</v>
      </c>
      <c r="L865" t="str">
        <f t="shared" si="26"/>
        <v>Jun</v>
      </c>
      <c r="M865">
        <f t="shared" si="27"/>
        <v>6</v>
      </c>
    </row>
    <row r="866" spans="1:13" x14ac:dyDescent="0.25">
      <c r="A866" s="2" t="s">
        <v>939</v>
      </c>
      <c r="B866" s="3">
        <v>45827</v>
      </c>
      <c r="C866" s="2" t="s">
        <v>11</v>
      </c>
      <c r="D866" s="2" t="s">
        <v>12</v>
      </c>
      <c r="E866" s="2" t="s">
        <v>13</v>
      </c>
      <c r="F866" s="2" t="s">
        <v>14</v>
      </c>
      <c r="G866" s="2" t="s">
        <v>15</v>
      </c>
      <c r="H866" s="2">
        <v>3</v>
      </c>
      <c r="I866" s="4">
        <v>32</v>
      </c>
      <c r="J866" s="2" t="s">
        <v>16</v>
      </c>
      <c r="K866">
        <f>H866*I866</f>
        <v>96</v>
      </c>
      <c r="L866" t="str">
        <f t="shared" si="26"/>
        <v>Jun</v>
      </c>
      <c r="M866">
        <f t="shared" si="27"/>
        <v>6</v>
      </c>
    </row>
    <row r="867" spans="1:13" x14ac:dyDescent="0.25">
      <c r="A867" s="2" t="s">
        <v>940</v>
      </c>
      <c r="B867" s="3">
        <v>45827</v>
      </c>
      <c r="C867" s="2" t="s">
        <v>12</v>
      </c>
      <c r="D867" s="2" t="s">
        <v>12</v>
      </c>
      <c r="E867" s="2" t="s">
        <v>13</v>
      </c>
      <c r="F867" s="2" t="s">
        <v>20</v>
      </c>
      <c r="G867" s="2" t="s">
        <v>21</v>
      </c>
      <c r="H867" s="2">
        <v>2</v>
      </c>
      <c r="I867" s="4">
        <v>14</v>
      </c>
      <c r="J867" s="2" t="s">
        <v>22</v>
      </c>
      <c r="K867">
        <f>H867*I867</f>
        <v>28</v>
      </c>
      <c r="L867" t="str">
        <f t="shared" si="26"/>
        <v>Jun</v>
      </c>
      <c r="M867">
        <f t="shared" si="27"/>
        <v>6</v>
      </c>
    </row>
    <row r="868" spans="1:13" x14ac:dyDescent="0.25">
      <c r="A868" s="2" t="s">
        <v>941</v>
      </c>
      <c r="B868" s="3">
        <v>45827</v>
      </c>
      <c r="C868" s="2" t="s">
        <v>48</v>
      </c>
      <c r="D868" s="2" t="s">
        <v>48</v>
      </c>
      <c r="E868" s="2" t="s">
        <v>49</v>
      </c>
      <c r="F868" s="2" t="s">
        <v>20</v>
      </c>
      <c r="G868" s="2" t="s">
        <v>21</v>
      </c>
      <c r="H868" s="2">
        <v>1</v>
      </c>
      <c r="I868" s="4">
        <v>55</v>
      </c>
      <c r="J868" s="2" t="s">
        <v>16</v>
      </c>
      <c r="K868">
        <f>H868*I868</f>
        <v>55</v>
      </c>
      <c r="L868" t="str">
        <f t="shared" si="26"/>
        <v>Jun</v>
      </c>
      <c r="M868">
        <f t="shared" si="27"/>
        <v>6</v>
      </c>
    </row>
    <row r="869" spans="1:13" x14ac:dyDescent="0.25">
      <c r="A869" s="2" t="s">
        <v>942</v>
      </c>
      <c r="B869" s="3">
        <v>45827</v>
      </c>
      <c r="C869" s="2" t="s">
        <v>74</v>
      </c>
      <c r="D869" s="2" t="s">
        <v>75</v>
      </c>
      <c r="E869" s="2" t="s">
        <v>76</v>
      </c>
      <c r="F869" s="2" t="s">
        <v>14</v>
      </c>
      <c r="G869" s="2" t="s">
        <v>77</v>
      </c>
      <c r="H869" s="2">
        <v>2</v>
      </c>
      <c r="I869" s="4">
        <v>32</v>
      </c>
      <c r="J869" s="2" t="s">
        <v>16</v>
      </c>
      <c r="K869">
        <f>H869*I869</f>
        <v>64</v>
      </c>
      <c r="L869" t="str">
        <f t="shared" si="26"/>
        <v>Jun</v>
      </c>
      <c r="M869">
        <f t="shared" si="27"/>
        <v>6</v>
      </c>
    </row>
    <row r="870" spans="1:13" x14ac:dyDescent="0.25">
      <c r="A870" s="2" t="s">
        <v>943</v>
      </c>
      <c r="B870" s="3">
        <v>45827</v>
      </c>
      <c r="C870" s="2" t="s">
        <v>75</v>
      </c>
      <c r="D870" s="2" t="s">
        <v>75</v>
      </c>
      <c r="E870" s="2" t="s">
        <v>76</v>
      </c>
      <c r="F870" s="2" t="s">
        <v>20</v>
      </c>
      <c r="G870" s="2" t="s">
        <v>21</v>
      </c>
      <c r="H870" s="2">
        <v>6</v>
      </c>
      <c r="I870" s="4">
        <v>12</v>
      </c>
      <c r="J870" s="2" t="s">
        <v>16</v>
      </c>
      <c r="K870">
        <f>H870*I870</f>
        <v>72</v>
      </c>
      <c r="L870" t="str">
        <f t="shared" si="26"/>
        <v>Jun</v>
      </c>
      <c r="M870">
        <f t="shared" si="27"/>
        <v>6</v>
      </c>
    </row>
    <row r="871" spans="1:13" x14ac:dyDescent="0.25">
      <c r="A871" s="2" t="s">
        <v>944</v>
      </c>
      <c r="B871" s="3">
        <v>45827</v>
      </c>
      <c r="C871" s="2" t="s">
        <v>18</v>
      </c>
      <c r="D871" s="2" t="s">
        <v>18</v>
      </c>
      <c r="E871" s="2" t="s">
        <v>19</v>
      </c>
      <c r="F871" s="2" t="s">
        <v>20</v>
      </c>
      <c r="G871" s="2" t="s">
        <v>21</v>
      </c>
      <c r="H871" s="2">
        <v>6</v>
      </c>
      <c r="I871" s="4">
        <v>15</v>
      </c>
      <c r="J871" s="2" t="s">
        <v>16</v>
      </c>
      <c r="K871">
        <f>H871*I871</f>
        <v>90</v>
      </c>
      <c r="L871" t="str">
        <f t="shared" si="26"/>
        <v>Jun</v>
      </c>
      <c r="M871">
        <f t="shared" si="27"/>
        <v>6</v>
      </c>
    </row>
    <row r="872" spans="1:13" x14ac:dyDescent="0.25">
      <c r="A872" s="2" t="s">
        <v>945</v>
      </c>
      <c r="B872" s="3">
        <v>45827</v>
      </c>
      <c r="C872" s="2" t="s">
        <v>40</v>
      </c>
      <c r="D872" s="2" t="s">
        <v>40</v>
      </c>
      <c r="E872" s="2" t="s">
        <v>19</v>
      </c>
      <c r="F872" s="2" t="s">
        <v>20</v>
      </c>
      <c r="G872" s="2" t="s">
        <v>21</v>
      </c>
      <c r="H872" s="2">
        <v>2</v>
      </c>
      <c r="I872" s="4">
        <v>46</v>
      </c>
      <c r="J872" s="2" t="s">
        <v>22</v>
      </c>
      <c r="K872">
        <f>H872*I872</f>
        <v>92</v>
      </c>
      <c r="L872" t="str">
        <f t="shared" si="26"/>
        <v>Jun</v>
      </c>
      <c r="M872">
        <f t="shared" si="27"/>
        <v>6</v>
      </c>
    </row>
    <row r="873" spans="1:13" x14ac:dyDescent="0.25">
      <c r="A873" s="2" t="s">
        <v>946</v>
      </c>
      <c r="B873" s="3">
        <v>45827</v>
      </c>
      <c r="C873" s="2" t="s">
        <v>30</v>
      </c>
      <c r="D873" s="2" t="s">
        <v>30</v>
      </c>
      <c r="E873" s="2" t="s">
        <v>13</v>
      </c>
      <c r="F873" s="2" t="s">
        <v>20</v>
      </c>
      <c r="G873" s="2" t="s">
        <v>21</v>
      </c>
      <c r="H873" s="2">
        <v>3</v>
      </c>
      <c r="I873" s="4">
        <v>15</v>
      </c>
      <c r="J873" s="2" t="s">
        <v>22</v>
      </c>
      <c r="K873">
        <f>H873*I873</f>
        <v>45</v>
      </c>
      <c r="L873" t="str">
        <f t="shared" si="26"/>
        <v>Jun</v>
      </c>
      <c r="M873">
        <f t="shared" si="27"/>
        <v>6</v>
      </c>
    </row>
    <row r="874" spans="1:13" x14ac:dyDescent="0.25">
      <c r="A874" s="2" t="s">
        <v>947</v>
      </c>
      <c r="B874" s="3">
        <v>45827</v>
      </c>
      <c r="C874" s="2" t="s">
        <v>42</v>
      </c>
      <c r="D874" s="2" t="s">
        <v>43</v>
      </c>
      <c r="E874" s="2" t="s">
        <v>44</v>
      </c>
      <c r="F874" s="2" t="s">
        <v>14</v>
      </c>
      <c r="G874" s="2" t="s">
        <v>45</v>
      </c>
      <c r="H874" s="2">
        <v>1</v>
      </c>
      <c r="I874" s="4">
        <v>46</v>
      </c>
      <c r="J874" s="2" t="s">
        <v>16</v>
      </c>
      <c r="K874">
        <f>H874*I874</f>
        <v>46</v>
      </c>
      <c r="L874" t="str">
        <f t="shared" si="26"/>
        <v>Jun</v>
      </c>
      <c r="M874">
        <f t="shared" si="27"/>
        <v>6</v>
      </c>
    </row>
    <row r="875" spans="1:13" x14ac:dyDescent="0.25">
      <c r="A875" s="2" t="s">
        <v>948</v>
      </c>
      <c r="B875" s="3">
        <v>45828</v>
      </c>
      <c r="C875" s="2" t="s">
        <v>11</v>
      </c>
      <c r="D875" s="2" t="s">
        <v>12</v>
      </c>
      <c r="E875" s="2" t="s">
        <v>13</v>
      </c>
      <c r="F875" s="2" t="s">
        <v>14</v>
      </c>
      <c r="G875" s="2" t="s">
        <v>15</v>
      </c>
      <c r="H875" s="2">
        <v>1</v>
      </c>
      <c r="I875" s="4">
        <v>32</v>
      </c>
      <c r="J875" s="2" t="s">
        <v>22</v>
      </c>
      <c r="K875">
        <f>H875*I875</f>
        <v>32</v>
      </c>
      <c r="L875" t="str">
        <f t="shared" si="26"/>
        <v>Jun</v>
      </c>
      <c r="M875">
        <f t="shared" si="27"/>
        <v>6</v>
      </c>
    </row>
    <row r="876" spans="1:13" x14ac:dyDescent="0.25">
      <c r="A876" s="2" t="s">
        <v>949</v>
      </c>
      <c r="B876" s="3">
        <v>45828</v>
      </c>
      <c r="C876" s="2" t="s">
        <v>75</v>
      </c>
      <c r="D876" s="2" t="s">
        <v>75</v>
      </c>
      <c r="E876" s="2" t="s">
        <v>76</v>
      </c>
      <c r="F876" s="2" t="s">
        <v>20</v>
      </c>
      <c r="G876" s="2" t="s">
        <v>21</v>
      </c>
      <c r="H876" s="2">
        <v>3</v>
      </c>
      <c r="I876" s="4">
        <v>12</v>
      </c>
      <c r="J876" s="2" t="s">
        <v>16</v>
      </c>
      <c r="K876">
        <f>H876*I876</f>
        <v>36</v>
      </c>
      <c r="L876" t="str">
        <f t="shared" si="26"/>
        <v>Jun</v>
      </c>
      <c r="M876">
        <f t="shared" si="27"/>
        <v>6</v>
      </c>
    </row>
    <row r="877" spans="1:13" x14ac:dyDescent="0.25">
      <c r="A877" s="2" t="s">
        <v>950</v>
      </c>
      <c r="B877" s="3">
        <v>45828</v>
      </c>
      <c r="C877" s="2" t="s">
        <v>80</v>
      </c>
      <c r="D877" s="2" t="s">
        <v>80</v>
      </c>
      <c r="E877" s="2" t="s">
        <v>26</v>
      </c>
      <c r="F877" s="2" t="s">
        <v>20</v>
      </c>
      <c r="G877" s="2" t="s">
        <v>21</v>
      </c>
      <c r="H877" s="2">
        <v>1</v>
      </c>
      <c r="I877" s="4">
        <v>50</v>
      </c>
      <c r="J877" s="2" t="s">
        <v>16</v>
      </c>
      <c r="K877">
        <f>H877*I877</f>
        <v>50</v>
      </c>
      <c r="L877" t="str">
        <f t="shared" si="26"/>
        <v>Jun</v>
      </c>
      <c r="M877">
        <f t="shared" si="27"/>
        <v>6</v>
      </c>
    </row>
    <row r="878" spans="1:13" x14ac:dyDescent="0.25">
      <c r="A878" s="2" t="s">
        <v>951</v>
      </c>
      <c r="B878" s="3">
        <v>45828</v>
      </c>
      <c r="C878" s="2" t="s">
        <v>61</v>
      </c>
      <c r="D878" s="2" t="s">
        <v>61</v>
      </c>
      <c r="E878" s="2" t="s">
        <v>62</v>
      </c>
      <c r="F878" s="2" t="s">
        <v>20</v>
      </c>
      <c r="G878" s="2" t="s">
        <v>21</v>
      </c>
      <c r="H878" s="2">
        <v>2</v>
      </c>
      <c r="I878" s="4">
        <v>8</v>
      </c>
      <c r="J878" s="2" t="s">
        <v>16</v>
      </c>
      <c r="K878">
        <f>H878*I878</f>
        <v>16</v>
      </c>
      <c r="L878" t="str">
        <f t="shared" si="26"/>
        <v>Jun</v>
      </c>
      <c r="M878">
        <f t="shared" si="27"/>
        <v>6</v>
      </c>
    </row>
    <row r="879" spans="1:13" x14ac:dyDescent="0.25">
      <c r="A879" s="2" t="s">
        <v>952</v>
      </c>
      <c r="B879" s="3">
        <v>45829</v>
      </c>
      <c r="C879" s="2" t="s">
        <v>11</v>
      </c>
      <c r="D879" s="2" t="s">
        <v>12</v>
      </c>
      <c r="E879" s="2" t="s">
        <v>13</v>
      </c>
      <c r="F879" s="2" t="s">
        <v>14</v>
      </c>
      <c r="G879" s="2" t="s">
        <v>15</v>
      </c>
      <c r="H879" s="2">
        <v>4</v>
      </c>
      <c r="I879" s="4">
        <v>32</v>
      </c>
      <c r="J879" s="2" t="s">
        <v>38</v>
      </c>
      <c r="K879">
        <f>H879*I879</f>
        <v>128</v>
      </c>
      <c r="L879" t="str">
        <f t="shared" si="26"/>
        <v>Jun</v>
      </c>
      <c r="M879">
        <f t="shared" si="27"/>
        <v>6</v>
      </c>
    </row>
    <row r="880" spans="1:13" x14ac:dyDescent="0.25">
      <c r="A880" s="2" t="s">
        <v>953</v>
      </c>
      <c r="B880" s="3">
        <v>45829</v>
      </c>
      <c r="C880" s="2" t="s">
        <v>86</v>
      </c>
      <c r="D880" s="2" t="s">
        <v>48</v>
      </c>
      <c r="E880" s="2" t="s">
        <v>49</v>
      </c>
      <c r="F880" s="2" t="s">
        <v>14</v>
      </c>
      <c r="G880" s="2" t="s">
        <v>87</v>
      </c>
      <c r="H880" s="2">
        <v>4</v>
      </c>
      <c r="I880" s="4">
        <v>125</v>
      </c>
      <c r="J880" s="2" t="s">
        <v>16</v>
      </c>
      <c r="K880">
        <f>H880*I880</f>
        <v>500</v>
      </c>
      <c r="L880" t="str">
        <f t="shared" si="26"/>
        <v>Jun</v>
      </c>
      <c r="M880">
        <f t="shared" si="27"/>
        <v>6</v>
      </c>
    </row>
    <row r="881" spans="1:13" x14ac:dyDescent="0.25">
      <c r="A881" s="2" t="s">
        <v>954</v>
      </c>
      <c r="B881" s="3">
        <v>45829</v>
      </c>
      <c r="C881" s="2" t="s">
        <v>86</v>
      </c>
      <c r="D881" s="2" t="s">
        <v>48</v>
      </c>
      <c r="E881" s="2" t="s">
        <v>49</v>
      </c>
      <c r="F881" s="2" t="s">
        <v>14</v>
      </c>
      <c r="G881" s="2" t="s">
        <v>87</v>
      </c>
      <c r="H881" s="2">
        <v>3</v>
      </c>
      <c r="I881" s="4">
        <v>125</v>
      </c>
      <c r="J881" s="2" t="s">
        <v>38</v>
      </c>
      <c r="K881">
        <f>H881*I881</f>
        <v>375</v>
      </c>
      <c r="L881" t="str">
        <f t="shared" si="26"/>
        <v>Jun</v>
      </c>
      <c r="M881">
        <f t="shared" si="27"/>
        <v>6</v>
      </c>
    </row>
    <row r="882" spans="1:13" x14ac:dyDescent="0.25">
      <c r="A882" s="2" t="s">
        <v>955</v>
      </c>
      <c r="B882" s="3">
        <v>45829</v>
      </c>
      <c r="C882" s="2" t="s">
        <v>67</v>
      </c>
      <c r="D882" s="2" t="s">
        <v>68</v>
      </c>
      <c r="E882" s="2" t="s">
        <v>49</v>
      </c>
      <c r="F882" s="2" t="s">
        <v>14</v>
      </c>
      <c r="G882" s="2" t="s">
        <v>69</v>
      </c>
      <c r="H882" s="2">
        <v>2</v>
      </c>
      <c r="I882" s="4">
        <v>205</v>
      </c>
      <c r="J882" s="2" t="s">
        <v>22</v>
      </c>
      <c r="K882">
        <f>H882*I882</f>
        <v>410</v>
      </c>
      <c r="L882" t="str">
        <f t="shared" si="26"/>
        <v>Jun</v>
      </c>
      <c r="M882">
        <f t="shared" si="27"/>
        <v>6</v>
      </c>
    </row>
    <row r="883" spans="1:13" x14ac:dyDescent="0.25">
      <c r="A883" s="2" t="s">
        <v>956</v>
      </c>
      <c r="B883" s="3">
        <v>45829</v>
      </c>
      <c r="C883" s="2" t="s">
        <v>74</v>
      </c>
      <c r="D883" s="2" t="s">
        <v>75</v>
      </c>
      <c r="E883" s="2" t="s">
        <v>76</v>
      </c>
      <c r="F883" s="2" t="s">
        <v>14</v>
      </c>
      <c r="G883" s="2" t="s">
        <v>77</v>
      </c>
      <c r="H883" s="2">
        <v>6</v>
      </c>
      <c r="I883" s="4">
        <v>32</v>
      </c>
      <c r="J883" s="2" t="s">
        <v>38</v>
      </c>
      <c r="K883">
        <f>H883*I883</f>
        <v>192</v>
      </c>
      <c r="L883" t="str">
        <f t="shared" si="26"/>
        <v>Jun</v>
      </c>
      <c r="M883">
        <f t="shared" si="27"/>
        <v>6</v>
      </c>
    </row>
    <row r="884" spans="1:13" x14ac:dyDescent="0.25">
      <c r="A884" s="2" t="s">
        <v>957</v>
      </c>
      <c r="B884" s="3">
        <v>45829</v>
      </c>
      <c r="C884" s="2" t="s">
        <v>101</v>
      </c>
      <c r="D884" s="2" t="s">
        <v>102</v>
      </c>
      <c r="E884" s="2" t="s">
        <v>36</v>
      </c>
      <c r="F884" s="2" t="s">
        <v>14</v>
      </c>
      <c r="G884" s="2" t="s">
        <v>103</v>
      </c>
      <c r="H884" s="2">
        <v>1</v>
      </c>
      <c r="I884" s="4">
        <v>92</v>
      </c>
      <c r="J884" s="2" t="s">
        <v>16</v>
      </c>
      <c r="K884">
        <f>H884*I884</f>
        <v>92</v>
      </c>
      <c r="L884" t="str">
        <f t="shared" si="26"/>
        <v>Jun</v>
      </c>
      <c r="M884">
        <f t="shared" si="27"/>
        <v>6</v>
      </c>
    </row>
    <row r="885" spans="1:13" x14ac:dyDescent="0.25">
      <c r="A885" s="2" t="s">
        <v>958</v>
      </c>
      <c r="B885" s="3">
        <v>45829</v>
      </c>
      <c r="C885" s="2" t="s">
        <v>34</v>
      </c>
      <c r="D885" s="2" t="s">
        <v>35</v>
      </c>
      <c r="E885" s="2" t="s">
        <v>36</v>
      </c>
      <c r="F885" s="2" t="s">
        <v>14</v>
      </c>
      <c r="G885" s="2" t="s">
        <v>37</v>
      </c>
      <c r="H885" s="2">
        <v>1</v>
      </c>
      <c r="I885" s="4">
        <v>165</v>
      </c>
      <c r="J885" s="2" t="s">
        <v>38</v>
      </c>
      <c r="K885">
        <f>H885*I885</f>
        <v>165</v>
      </c>
      <c r="L885" t="str">
        <f t="shared" si="26"/>
        <v>Jun</v>
      </c>
      <c r="M885">
        <f t="shared" si="27"/>
        <v>6</v>
      </c>
    </row>
    <row r="886" spans="1:13" x14ac:dyDescent="0.25">
      <c r="A886" s="2" t="s">
        <v>959</v>
      </c>
      <c r="B886" s="3">
        <v>45829</v>
      </c>
      <c r="C886" s="2" t="s">
        <v>25</v>
      </c>
      <c r="D886" s="2" t="s">
        <v>25</v>
      </c>
      <c r="E886" s="2" t="s">
        <v>26</v>
      </c>
      <c r="F886" s="2" t="s">
        <v>20</v>
      </c>
      <c r="G886" s="2" t="s">
        <v>21</v>
      </c>
      <c r="H886" s="2">
        <v>1</v>
      </c>
      <c r="I886" s="4">
        <v>20</v>
      </c>
      <c r="J886" s="2" t="s">
        <v>38</v>
      </c>
      <c r="K886">
        <f>H886*I886</f>
        <v>20</v>
      </c>
      <c r="L886" t="str">
        <f t="shared" si="26"/>
        <v>Jun</v>
      </c>
      <c r="M886">
        <f t="shared" si="27"/>
        <v>6</v>
      </c>
    </row>
    <row r="887" spans="1:13" x14ac:dyDescent="0.25">
      <c r="A887" s="2" t="s">
        <v>960</v>
      </c>
      <c r="B887" s="3">
        <v>45829</v>
      </c>
      <c r="C887" s="2" t="s">
        <v>60</v>
      </c>
      <c r="D887" s="2" t="s">
        <v>61</v>
      </c>
      <c r="E887" s="2" t="s">
        <v>62</v>
      </c>
      <c r="F887" s="2" t="s">
        <v>14</v>
      </c>
      <c r="G887" s="2" t="s">
        <v>63</v>
      </c>
      <c r="H887" s="2">
        <v>5</v>
      </c>
      <c r="I887" s="4">
        <v>26</v>
      </c>
      <c r="J887" s="2" t="s">
        <v>31</v>
      </c>
      <c r="K887">
        <f>H887*I887</f>
        <v>130</v>
      </c>
      <c r="L887" t="str">
        <f t="shared" si="26"/>
        <v>Jun</v>
      </c>
      <c r="M887">
        <f t="shared" si="27"/>
        <v>6</v>
      </c>
    </row>
    <row r="888" spans="1:13" x14ac:dyDescent="0.25">
      <c r="A888" s="2" t="s">
        <v>961</v>
      </c>
      <c r="B888" s="3">
        <v>45830</v>
      </c>
      <c r="C888" s="2" t="s">
        <v>119</v>
      </c>
      <c r="D888" s="2" t="s">
        <v>120</v>
      </c>
      <c r="E888" s="2" t="s">
        <v>76</v>
      </c>
      <c r="F888" s="2" t="s">
        <v>14</v>
      </c>
      <c r="G888" s="2" t="s">
        <v>121</v>
      </c>
      <c r="H888" s="2">
        <v>1</v>
      </c>
      <c r="I888" s="4">
        <v>190</v>
      </c>
      <c r="J888" s="2" t="s">
        <v>31</v>
      </c>
      <c r="K888">
        <f>H888*I888</f>
        <v>190</v>
      </c>
      <c r="L888" t="str">
        <f t="shared" si="26"/>
        <v>Jun</v>
      </c>
      <c r="M888">
        <f t="shared" si="27"/>
        <v>6</v>
      </c>
    </row>
    <row r="889" spans="1:13" x14ac:dyDescent="0.25">
      <c r="A889" s="2" t="s">
        <v>962</v>
      </c>
      <c r="B889" s="3">
        <v>45830</v>
      </c>
      <c r="C889" s="2" t="s">
        <v>18</v>
      </c>
      <c r="D889" s="2" t="s">
        <v>18</v>
      </c>
      <c r="E889" s="2" t="s">
        <v>19</v>
      </c>
      <c r="F889" s="2" t="s">
        <v>20</v>
      </c>
      <c r="G889" s="2" t="s">
        <v>21</v>
      </c>
      <c r="H889" s="2">
        <v>1</v>
      </c>
      <c r="I889" s="4">
        <v>15</v>
      </c>
      <c r="J889" s="2" t="s">
        <v>38</v>
      </c>
      <c r="K889">
        <f>H889*I889</f>
        <v>15</v>
      </c>
      <c r="L889" t="str">
        <f t="shared" si="26"/>
        <v>Jun</v>
      </c>
      <c r="M889">
        <f t="shared" si="27"/>
        <v>6</v>
      </c>
    </row>
    <row r="890" spans="1:13" x14ac:dyDescent="0.25">
      <c r="A890" s="2" t="s">
        <v>963</v>
      </c>
      <c r="B890" s="3">
        <v>45831</v>
      </c>
      <c r="C890" s="2" t="s">
        <v>12</v>
      </c>
      <c r="D890" s="2" t="s">
        <v>12</v>
      </c>
      <c r="E890" s="2" t="s">
        <v>13</v>
      </c>
      <c r="F890" s="2" t="s">
        <v>20</v>
      </c>
      <c r="G890" s="2" t="s">
        <v>21</v>
      </c>
      <c r="H890" s="2">
        <v>3</v>
      </c>
      <c r="I890" s="4">
        <v>14</v>
      </c>
      <c r="J890" s="2" t="s">
        <v>22</v>
      </c>
      <c r="K890">
        <f>H890*I890</f>
        <v>42</v>
      </c>
      <c r="L890" t="str">
        <f t="shared" si="26"/>
        <v>Jun</v>
      </c>
      <c r="M890">
        <f t="shared" si="27"/>
        <v>6</v>
      </c>
    </row>
    <row r="891" spans="1:13" x14ac:dyDescent="0.25">
      <c r="A891" s="2" t="s">
        <v>964</v>
      </c>
      <c r="B891" s="3">
        <v>45831</v>
      </c>
      <c r="C891" s="2" t="s">
        <v>102</v>
      </c>
      <c r="D891" s="2" t="s">
        <v>102</v>
      </c>
      <c r="E891" s="2" t="s">
        <v>36</v>
      </c>
      <c r="F891" s="2" t="s">
        <v>20</v>
      </c>
      <c r="G891" s="2" t="s">
        <v>21</v>
      </c>
      <c r="H891" s="2">
        <v>1</v>
      </c>
      <c r="I891" s="4">
        <v>35</v>
      </c>
      <c r="J891" s="2" t="s">
        <v>16</v>
      </c>
      <c r="K891">
        <f>H891*I891</f>
        <v>35</v>
      </c>
      <c r="L891" t="str">
        <f t="shared" si="26"/>
        <v>Jun</v>
      </c>
      <c r="M891">
        <f t="shared" si="27"/>
        <v>6</v>
      </c>
    </row>
    <row r="892" spans="1:13" x14ac:dyDescent="0.25">
      <c r="A892" s="2" t="s">
        <v>965</v>
      </c>
      <c r="B892" s="3">
        <v>45832</v>
      </c>
      <c r="C892" s="2" t="s">
        <v>86</v>
      </c>
      <c r="D892" s="2" t="s">
        <v>48</v>
      </c>
      <c r="E892" s="2" t="s">
        <v>49</v>
      </c>
      <c r="F892" s="2" t="s">
        <v>14</v>
      </c>
      <c r="G892" s="2" t="s">
        <v>87</v>
      </c>
      <c r="H892" s="2">
        <v>2</v>
      </c>
      <c r="I892" s="4">
        <v>125</v>
      </c>
      <c r="J892" s="2" t="s">
        <v>16</v>
      </c>
      <c r="K892">
        <f>H892*I892</f>
        <v>250</v>
      </c>
      <c r="L892" t="str">
        <f t="shared" si="26"/>
        <v>Jun</v>
      </c>
      <c r="M892">
        <f t="shared" si="27"/>
        <v>6</v>
      </c>
    </row>
    <row r="893" spans="1:13" x14ac:dyDescent="0.25">
      <c r="A893" s="2" t="s">
        <v>966</v>
      </c>
      <c r="B893" s="3">
        <v>45832</v>
      </c>
      <c r="C893" s="2" t="s">
        <v>74</v>
      </c>
      <c r="D893" s="2" t="s">
        <v>75</v>
      </c>
      <c r="E893" s="2" t="s">
        <v>76</v>
      </c>
      <c r="F893" s="2" t="s">
        <v>14</v>
      </c>
      <c r="G893" s="2" t="s">
        <v>77</v>
      </c>
      <c r="H893" s="2">
        <v>1</v>
      </c>
      <c r="I893" s="4">
        <v>32</v>
      </c>
      <c r="J893" s="2" t="s">
        <v>16</v>
      </c>
      <c r="K893">
        <f>H893*I893</f>
        <v>32</v>
      </c>
      <c r="L893" t="str">
        <f t="shared" si="26"/>
        <v>Jun</v>
      </c>
      <c r="M893">
        <f t="shared" si="27"/>
        <v>6</v>
      </c>
    </row>
    <row r="894" spans="1:13" x14ac:dyDescent="0.25">
      <c r="A894" s="2" t="s">
        <v>967</v>
      </c>
      <c r="B894" s="3">
        <v>45832</v>
      </c>
      <c r="C894" s="2" t="s">
        <v>74</v>
      </c>
      <c r="D894" s="2" t="s">
        <v>75</v>
      </c>
      <c r="E894" s="2" t="s">
        <v>76</v>
      </c>
      <c r="F894" s="2" t="s">
        <v>14</v>
      </c>
      <c r="G894" s="2" t="s">
        <v>77</v>
      </c>
      <c r="H894" s="2">
        <v>1</v>
      </c>
      <c r="I894" s="4">
        <v>32</v>
      </c>
      <c r="J894" s="2" t="s">
        <v>22</v>
      </c>
      <c r="K894">
        <f>H894*I894</f>
        <v>32</v>
      </c>
      <c r="L894" t="str">
        <f t="shared" si="26"/>
        <v>Jun</v>
      </c>
      <c r="M894">
        <f t="shared" si="27"/>
        <v>6</v>
      </c>
    </row>
    <row r="895" spans="1:13" x14ac:dyDescent="0.25">
      <c r="A895" s="2" t="s">
        <v>968</v>
      </c>
      <c r="B895" s="3">
        <v>45832</v>
      </c>
      <c r="C895" s="2" t="s">
        <v>75</v>
      </c>
      <c r="D895" s="2" t="s">
        <v>75</v>
      </c>
      <c r="E895" s="2" t="s">
        <v>76</v>
      </c>
      <c r="F895" s="2" t="s">
        <v>20</v>
      </c>
      <c r="G895" s="2" t="s">
        <v>21</v>
      </c>
      <c r="H895" s="2">
        <v>3</v>
      </c>
      <c r="I895" s="4">
        <v>12</v>
      </c>
      <c r="J895" s="2" t="s">
        <v>31</v>
      </c>
      <c r="K895">
        <f>H895*I895</f>
        <v>36</v>
      </c>
      <c r="L895" t="str">
        <f t="shared" si="26"/>
        <v>Jun</v>
      </c>
      <c r="M895">
        <f t="shared" si="27"/>
        <v>6</v>
      </c>
    </row>
    <row r="896" spans="1:13" x14ac:dyDescent="0.25">
      <c r="A896" s="2" t="s">
        <v>969</v>
      </c>
      <c r="B896" s="3">
        <v>45832</v>
      </c>
      <c r="C896" s="2" t="s">
        <v>101</v>
      </c>
      <c r="D896" s="2" t="s">
        <v>102</v>
      </c>
      <c r="E896" s="2" t="s">
        <v>36</v>
      </c>
      <c r="F896" s="2" t="s">
        <v>14</v>
      </c>
      <c r="G896" s="2" t="s">
        <v>103</v>
      </c>
      <c r="H896" s="2">
        <v>1</v>
      </c>
      <c r="I896" s="4">
        <v>92</v>
      </c>
      <c r="J896" s="2" t="s">
        <v>31</v>
      </c>
      <c r="K896">
        <f>H896*I896</f>
        <v>92</v>
      </c>
      <c r="L896" t="str">
        <f t="shared" si="26"/>
        <v>Jun</v>
      </c>
      <c r="M896">
        <f t="shared" si="27"/>
        <v>6</v>
      </c>
    </row>
    <row r="897" spans="1:13" x14ac:dyDescent="0.25">
      <c r="A897" s="2" t="s">
        <v>970</v>
      </c>
      <c r="B897" s="3">
        <v>45832</v>
      </c>
      <c r="C897" s="2" t="s">
        <v>18</v>
      </c>
      <c r="D897" s="2" t="s">
        <v>18</v>
      </c>
      <c r="E897" s="2" t="s">
        <v>19</v>
      </c>
      <c r="F897" s="2" t="s">
        <v>20</v>
      </c>
      <c r="G897" s="2" t="s">
        <v>21</v>
      </c>
      <c r="H897" s="2">
        <v>3</v>
      </c>
      <c r="I897" s="4">
        <v>15</v>
      </c>
      <c r="J897" s="2" t="s">
        <v>31</v>
      </c>
      <c r="K897">
        <f>H897*I897</f>
        <v>45</v>
      </c>
      <c r="L897" t="str">
        <f t="shared" si="26"/>
        <v>Jun</v>
      </c>
      <c r="M897">
        <f t="shared" si="27"/>
        <v>6</v>
      </c>
    </row>
    <row r="898" spans="1:13" x14ac:dyDescent="0.25">
      <c r="A898" s="2" t="s">
        <v>971</v>
      </c>
      <c r="B898" s="3">
        <v>45833</v>
      </c>
      <c r="C898" s="2" t="s">
        <v>11</v>
      </c>
      <c r="D898" s="2" t="s">
        <v>12</v>
      </c>
      <c r="E898" s="2" t="s">
        <v>13</v>
      </c>
      <c r="F898" s="2" t="s">
        <v>14</v>
      </c>
      <c r="G898" s="2" t="s">
        <v>15</v>
      </c>
      <c r="H898" s="2">
        <v>5</v>
      </c>
      <c r="I898" s="4">
        <v>32</v>
      </c>
      <c r="J898" s="2" t="s">
        <v>38</v>
      </c>
      <c r="K898">
        <f>H898*I898</f>
        <v>160</v>
      </c>
      <c r="L898" t="str">
        <f t="shared" si="26"/>
        <v>Jun</v>
      </c>
      <c r="M898">
        <f t="shared" si="27"/>
        <v>6</v>
      </c>
    </row>
    <row r="899" spans="1:13" x14ac:dyDescent="0.25">
      <c r="A899" s="2" t="s">
        <v>972</v>
      </c>
      <c r="B899" s="3">
        <v>45833</v>
      </c>
      <c r="C899" s="2" t="s">
        <v>11</v>
      </c>
      <c r="D899" s="2" t="s">
        <v>12</v>
      </c>
      <c r="E899" s="2" t="s">
        <v>13</v>
      </c>
      <c r="F899" s="2" t="s">
        <v>14</v>
      </c>
      <c r="G899" s="2" t="s">
        <v>15</v>
      </c>
      <c r="H899" s="2">
        <v>5</v>
      </c>
      <c r="I899" s="4">
        <v>32</v>
      </c>
      <c r="J899" s="2" t="s">
        <v>16</v>
      </c>
      <c r="K899">
        <f>H899*I899</f>
        <v>160</v>
      </c>
      <c r="L899" t="str">
        <f t="shared" ref="L899:L962" si="28">TEXT(B899,"mmm")</f>
        <v>Jun</v>
      </c>
      <c r="M899">
        <f t="shared" ref="M899:M962" si="29">MONTH(B899)</f>
        <v>6</v>
      </c>
    </row>
    <row r="900" spans="1:13" x14ac:dyDescent="0.25">
      <c r="A900" s="2" t="s">
        <v>973</v>
      </c>
      <c r="B900" s="3">
        <v>45833</v>
      </c>
      <c r="C900" s="2" t="s">
        <v>11</v>
      </c>
      <c r="D900" s="2" t="s">
        <v>12</v>
      </c>
      <c r="E900" s="2" t="s">
        <v>13</v>
      </c>
      <c r="F900" s="2" t="s">
        <v>14</v>
      </c>
      <c r="G900" s="2" t="s">
        <v>15</v>
      </c>
      <c r="H900" s="2">
        <v>2</v>
      </c>
      <c r="I900" s="4">
        <v>32</v>
      </c>
      <c r="J900" s="2" t="s">
        <v>31</v>
      </c>
      <c r="K900">
        <f>H900*I900</f>
        <v>64</v>
      </c>
      <c r="L900" t="str">
        <f t="shared" si="28"/>
        <v>Jun</v>
      </c>
      <c r="M900">
        <f t="shared" si="29"/>
        <v>6</v>
      </c>
    </row>
    <row r="901" spans="1:13" x14ac:dyDescent="0.25">
      <c r="A901" s="2" t="s">
        <v>974</v>
      </c>
      <c r="B901" s="3">
        <v>45833</v>
      </c>
      <c r="C901" s="2" t="s">
        <v>67</v>
      </c>
      <c r="D901" s="2" t="s">
        <v>68</v>
      </c>
      <c r="E901" s="2" t="s">
        <v>49</v>
      </c>
      <c r="F901" s="2" t="s">
        <v>14</v>
      </c>
      <c r="G901" s="2" t="s">
        <v>69</v>
      </c>
      <c r="H901" s="2">
        <v>2</v>
      </c>
      <c r="I901" s="4">
        <v>205</v>
      </c>
      <c r="J901" s="2" t="s">
        <v>22</v>
      </c>
      <c r="K901">
        <f>H901*I901</f>
        <v>410</v>
      </c>
      <c r="L901" t="str">
        <f t="shared" si="28"/>
        <v>Jun</v>
      </c>
      <c r="M901">
        <f t="shared" si="29"/>
        <v>6</v>
      </c>
    </row>
    <row r="902" spans="1:13" x14ac:dyDescent="0.25">
      <c r="A902" s="2" t="s">
        <v>975</v>
      </c>
      <c r="B902" s="3">
        <v>45833</v>
      </c>
      <c r="C902" s="2" t="s">
        <v>101</v>
      </c>
      <c r="D902" s="2" t="s">
        <v>102</v>
      </c>
      <c r="E902" s="2" t="s">
        <v>36</v>
      </c>
      <c r="F902" s="2" t="s">
        <v>14</v>
      </c>
      <c r="G902" s="2" t="s">
        <v>103</v>
      </c>
      <c r="H902" s="2">
        <v>3</v>
      </c>
      <c r="I902" s="4">
        <v>92</v>
      </c>
      <c r="J902" s="2" t="s">
        <v>16</v>
      </c>
      <c r="K902">
        <f>H902*I902</f>
        <v>276</v>
      </c>
      <c r="L902" t="str">
        <f t="shared" si="28"/>
        <v>Jun</v>
      </c>
      <c r="M902">
        <f t="shared" si="29"/>
        <v>6</v>
      </c>
    </row>
    <row r="903" spans="1:13" x14ac:dyDescent="0.25">
      <c r="A903" s="2" t="s">
        <v>976</v>
      </c>
      <c r="B903" s="3">
        <v>45833</v>
      </c>
      <c r="C903" s="2" t="s">
        <v>34</v>
      </c>
      <c r="D903" s="2" t="s">
        <v>35</v>
      </c>
      <c r="E903" s="2" t="s">
        <v>36</v>
      </c>
      <c r="F903" s="2" t="s">
        <v>14</v>
      </c>
      <c r="G903" s="2" t="s">
        <v>37</v>
      </c>
      <c r="H903" s="2">
        <v>1</v>
      </c>
      <c r="I903" s="4">
        <v>165</v>
      </c>
      <c r="J903" s="2" t="s">
        <v>16</v>
      </c>
      <c r="K903">
        <f>H903*I903</f>
        <v>165</v>
      </c>
      <c r="L903" t="str">
        <f t="shared" si="28"/>
        <v>Jun</v>
      </c>
      <c r="M903">
        <f t="shared" si="29"/>
        <v>6</v>
      </c>
    </row>
    <row r="904" spans="1:13" x14ac:dyDescent="0.25">
      <c r="A904" s="2" t="s">
        <v>977</v>
      </c>
      <c r="B904" s="3">
        <v>45833</v>
      </c>
      <c r="C904" s="2" t="s">
        <v>18</v>
      </c>
      <c r="D904" s="2" t="s">
        <v>18</v>
      </c>
      <c r="E904" s="2" t="s">
        <v>19</v>
      </c>
      <c r="F904" s="2" t="s">
        <v>20</v>
      </c>
      <c r="G904" s="2" t="s">
        <v>21</v>
      </c>
      <c r="H904" s="2">
        <v>3</v>
      </c>
      <c r="I904" s="4">
        <v>15</v>
      </c>
      <c r="J904" s="2" t="s">
        <v>38</v>
      </c>
      <c r="K904">
        <f>H904*I904</f>
        <v>45</v>
      </c>
      <c r="L904" t="str">
        <f t="shared" si="28"/>
        <v>Jun</v>
      </c>
      <c r="M904">
        <f t="shared" si="29"/>
        <v>6</v>
      </c>
    </row>
    <row r="905" spans="1:13" x14ac:dyDescent="0.25">
      <c r="A905" s="2" t="s">
        <v>978</v>
      </c>
      <c r="B905" s="3">
        <v>45833</v>
      </c>
      <c r="C905" s="2" t="s">
        <v>190</v>
      </c>
      <c r="D905" s="2" t="s">
        <v>40</v>
      </c>
      <c r="E905" s="2" t="s">
        <v>19</v>
      </c>
      <c r="F905" s="2" t="s">
        <v>14</v>
      </c>
      <c r="G905" s="2" t="s">
        <v>191</v>
      </c>
      <c r="H905" s="2">
        <v>6</v>
      </c>
      <c r="I905" s="4">
        <v>142</v>
      </c>
      <c r="J905" s="2" t="s">
        <v>22</v>
      </c>
      <c r="K905">
        <f>H905*I905</f>
        <v>852</v>
      </c>
      <c r="L905" t="str">
        <f t="shared" si="28"/>
        <v>Jun</v>
      </c>
      <c r="M905">
        <f t="shared" si="29"/>
        <v>6</v>
      </c>
    </row>
    <row r="906" spans="1:13" x14ac:dyDescent="0.25">
      <c r="A906" s="2" t="s">
        <v>979</v>
      </c>
      <c r="B906" s="3">
        <v>45833</v>
      </c>
      <c r="C906" s="2" t="s">
        <v>25</v>
      </c>
      <c r="D906" s="2" t="s">
        <v>25</v>
      </c>
      <c r="E906" s="2" t="s">
        <v>26</v>
      </c>
      <c r="F906" s="2" t="s">
        <v>20</v>
      </c>
      <c r="G906" s="2" t="s">
        <v>21</v>
      </c>
      <c r="H906" s="2">
        <v>2</v>
      </c>
      <c r="I906" s="4">
        <v>20</v>
      </c>
      <c r="J906" s="2" t="s">
        <v>16</v>
      </c>
      <c r="K906">
        <f>H906*I906</f>
        <v>40</v>
      </c>
      <c r="L906" t="str">
        <f t="shared" si="28"/>
        <v>Jun</v>
      </c>
      <c r="M906">
        <f t="shared" si="29"/>
        <v>6</v>
      </c>
    </row>
    <row r="907" spans="1:13" x14ac:dyDescent="0.25">
      <c r="A907" s="2" t="s">
        <v>980</v>
      </c>
      <c r="B907" s="3">
        <v>45833</v>
      </c>
      <c r="C907" s="2" t="s">
        <v>52</v>
      </c>
      <c r="D907" s="2" t="s">
        <v>30</v>
      </c>
      <c r="E907" s="2" t="s">
        <v>13</v>
      </c>
      <c r="F907" s="2" t="s">
        <v>14</v>
      </c>
      <c r="G907" s="2" t="s">
        <v>53</v>
      </c>
      <c r="H907" s="2">
        <v>2</v>
      </c>
      <c r="I907" s="4">
        <v>42</v>
      </c>
      <c r="J907" s="2" t="s">
        <v>31</v>
      </c>
      <c r="K907">
        <f>H907*I907</f>
        <v>84</v>
      </c>
      <c r="L907" t="str">
        <f t="shared" si="28"/>
        <v>Jun</v>
      </c>
      <c r="M907">
        <f t="shared" si="29"/>
        <v>6</v>
      </c>
    </row>
    <row r="908" spans="1:13" x14ac:dyDescent="0.25">
      <c r="A908" s="2" t="s">
        <v>981</v>
      </c>
      <c r="B908" s="3">
        <v>45834</v>
      </c>
      <c r="C908" s="2" t="s">
        <v>11</v>
      </c>
      <c r="D908" s="2" t="s">
        <v>12</v>
      </c>
      <c r="E908" s="2" t="s">
        <v>13</v>
      </c>
      <c r="F908" s="2" t="s">
        <v>14</v>
      </c>
      <c r="G908" s="2" t="s">
        <v>15</v>
      </c>
      <c r="H908" s="2">
        <v>3</v>
      </c>
      <c r="I908" s="4">
        <v>32</v>
      </c>
      <c r="J908" s="2" t="s">
        <v>38</v>
      </c>
      <c r="K908">
        <f>H908*I908</f>
        <v>96</v>
      </c>
      <c r="L908" t="str">
        <f t="shared" si="28"/>
        <v>Jun</v>
      </c>
      <c r="M908">
        <f t="shared" si="29"/>
        <v>6</v>
      </c>
    </row>
    <row r="909" spans="1:13" x14ac:dyDescent="0.25">
      <c r="A909" s="2" t="s">
        <v>982</v>
      </c>
      <c r="B909" s="3">
        <v>45834</v>
      </c>
      <c r="C909" s="2" t="s">
        <v>48</v>
      </c>
      <c r="D909" s="2" t="s">
        <v>48</v>
      </c>
      <c r="E909" s="2" t="s">
        <v>49</v>
      </c>
      <c r="F909" s="2" t="s">
        <v>20</v>
      </c>
      <c r="G909" s="2" t="s">
        <v>21</v>
      </c>
      <c r="H909" s="2">
        <v>3</v>
      </c>
      <c r="I909" s="4">
        <v>55</v>
      </c>
      <c r="J909" s="2" t="s">
        <v>31</v>
      </c>
      <c r="K909">
        <f>H909*I909</f>
        <v>165</v>
      </c>
      <c r="L909" t="str">
        <f t="shared" si="28"/>
        <v>Jun</v>
      </c>
      <c r="M909">
        <f t="shared" si="29"/>
        <v>6</v>
      </c>
    </row>
    <row r="910" spans="1:13" x14ac:dyDescent="0.25">
      <c r="A910" s="2" t="s">
        <v>983</v>
      </c>
      <c r="B910" s="3">
        <v>45834</v>
      </c>
      <c r="C910" s="2" t="s">
        <v>120</v>
      </c>
      <c r="D910" s="2" t="s">
        <v>120</v>
      </c>
      <c r="E910" s="2" t="s">
        <v>76</v>
      </c>
      <c r="F910" s="2" t="s">
        <v>20</v>
      </c>
      <c r="G910" s="2" t="s">
        <v>21</v>
      </c>
      <c r="H910" s="2">
        <v>6</v>
      </c>
      <c r="I910" s="4">
        <v>42</v>
      </c>
      <c r="J910" s="2" t="s">
        <v>22</v>
      </c>
      <c r="K910">
        <f>H910*I910</f>
        <v>252</v>
      </c>
      <c r="L910" t="str">
        <f t="shared" si="28"/>
        <v>Jun</v>
      </c>
      <c r="M910">
        <f t="shared" si="29"/>
        <v>6</v>
      </c>
    </row>
    <row r="911" spans="1:13" x14ac:dyDescent="0.25">
      <c r="A911" s="2" t="s">
        <v>984</v>
      </c>
      <c r="B911" s="3">
        <v>45834</v>
      </c>
      <c r="C911" s="2" t="s">
        <v>80</v>
      </c>
      <c r="D911" s="2" t="s">
        <v>80</v>
      </c>
      <c r="E911" s="2" t="s">
        <v>26</v>
      </c>
      <c r="F911" s="2" t="s">
        <v>20</v>
      </c>
      <c r="G911" s="2" t="s">
        <v>21</v>
      </c>
      <c r="H911" s="2">
        <v>2</v>
      </c>
      <c r="I911" s="4">
        <v>50</v>
      </c>
      <c r="J911" s="2" t="s">
        <v>22</v>
      </c>
      <c r="K911">
        <f>H911*I911</f>
        <v>100</v>
      </c>
      <c r="L911" t="str">
        <f t="shared" si="28"/>
        <v>Jun</v>
      </c>
      <c r="M911">
        <f t="shared" si="29"/>
        <v>6</v>
      </c>
    </row>
    <row r="912" spans="1:13" x14ac:dyDescent="0.25">
      <c r="A912" s="2" t="s">
        <v>985</v>
      </c>
      <c r="B912" s="3">
        <v>45834</v>
      </c>
      <c r="C912" s="2" t="s">
        <v>97</v>
      </c>
      <c r="D912" s="2" t="s">
        <v>98</v>
      </c>
      <c r="E912" s="2" t="s">
        <v>99</v>
      </c>
      <c r="F912" s="2" t="s">
        <v>14</v>
      </c>
      <c r="G912" s="2" t="s">
        <v>37</v>
      </c>
      <c r="H912" s="2">
        <v>1</v>
      </c>
      <c r="I912" s="4">
        <v>182</v>
      </c>
      <c r="J912" s="2" t="s">
        <v>22</v>
      </c>
      <c r="K912">
        <f>H912*I912</f>
        <v>182</v>
      </c>
      <c r="L912" t="str">
        <f t="shared" si="28"/>
        <v>Jun</v>
      </c>
      <c r="M912">
        <f t="shared" si="29"/>
        <v>6</v>
      </c>
    </row>
    <row r="913" spans="1:13" x14ac:dyDescent="0.25">
      <c r="A913" s="2" t="s">
        <v>986</v>
      </c>
      <c r="B913" s="3">
        <v>45834</v>
      </c>
      <c r="C913" s="2" t="s">
        <v>108</v>
      </c>
      <c r="D913" s="2" t="s">
        <v>109</v>
      </c>
      <c r="E913" s="2" t="s">
        <v>13</v>
      </c>
      <c r="F913" s="2" t="s">
        <v>14</v>
      </c>
      <c r="G913" s="2" t="s">
        <v>110</v>
      </c>
      <c r="H913" s="2">
        <v>5</v>
      </c>
      <c r="I913" s="4">
        <v>62</v>
      </c>
      <c r="J913" s="2" t="s">
        <v>16</v>
      </c>
      <c r="K913">
        <f>H913*I913</f>
        <v>310</v>
      </c>
      <c r="L913" t="str">
        <f t="shared" si="28"/>
        <v>Jun</v>
      </c>
      <c r="M913">
        <f t="shared" si="29"/>
        <v>6</v>
      </c>
    </row>
    <row r="914" spans="1:13" x14ac:dyDescent="0.25">
      <c r="A914" s="2" t="s">
        <v>987</v>
      </c>
      <c r="B914" s="3">
        <v>45835</v>
      </c>
      <c r="C914" s="2" t="s">
        <v>11</v>
      </c>
      <c r="D914" s="2" t="s">
        <v>12</v>
      </c>
      <c r="E914" s="2" t="s">
        <v>13</v>
      </c>
      <c r="F914" s="2" t="s">
        <v>14</v>
      </c>
      <c r="G914" s="2" t="s">
        <v>15</v>
      </c>
      <c r="H914" s="2">
        <v>3</v>
      </c>
      <c r="I914" s="4">
        <v>32</v>
      </c>
      <c r="J914" s="2" t="s">
        <v>31</v>
      </c>
      <c r="K914">
        <f>H914*I914</f>
        <v>96</v>
      </c>
      <c r="L914" t="str">
        <f t="shared" si="28"/>
        <v>Jun</v>
      </c>
      <c r="M914">
        <f t="shared" si="29"/>
        <v>6</v>
      </c>
    </row>
    <row r="915" spans="1:13" x14ac:dyDescent="0.25">
      <c r="A915" s="2" t="s">
        <v>988</v>
      </c>
      <c r="B915" s="3">
        <v>45835</v>
      </c>
      <c r="C915" s="2" t="s">
        <v>12</v>
      </c>
      <c r="D915" s="2" t="s">
        <v>12</v>
      </c>
      <c r="E915" s="2" t="s">
        <v>13</v>
      </c>
      <c r="F915" s="2" t="s">
        <v>20</v>
      </c>
      <c r="G915" s="2" t="s">
        <v>21</v>
      </c>
      <c r="H915" s="2">
        <v>1</v>
      </c>
      <c r="I915" s="4">
        <v>14</v>
      </c>
      <c r="J915" s="2" t="s">
        <v>16</v>
      </c>
      <c r="K915">
        <f>H915*I915</f>
        <v>14</v>
      </c>
      <c r="L915" t="str">
        <f t="shared" si="28"/>
        <v>Jun</v>
      </c>
      <c r="M915">
        <f t="shared" si="29"/>
        <v>6</v>
      </c>
    </row>
    <row r="916" spans="1:13" x14ac:dyDescent="0.25">
      <c r="A916" s="2" t="s">
        <v>989</v>
      </c>
      <c r="B916" s="3">
        <v>45835</v>
      </c>
      <c r="C916" s="2" t="s">
        <v>74</v>
      </c>
      <c r="D916" s="2" t="s">
        <v>75</v>
      </c>
      <c r="E916" s="2" t="s">
        <v>76</v>
      </c>
      <c r="F916" s="2" t="s">
        <v>14</v>
      </c>
      <c r="G916" s="2" t="s">
        <v>77</v>
      </c>
      <c r="H916" s="2">
        <v>1</v>
      </c>
      <c r="I916" s="4">
        <v>32</v>
      </c>
      <c r="J916" s="2" t="s">
        <v>16</v>
      </c>
      <c r="K916">
        <f>H916*I916</f>
        <v>32</v>
      </c>
      <c r="L916" t="str">
        <f t="shared" si="28"/>
        <v>Jun</v>
      </c>
      <c r="M916">
        <f t="shared" si="29"/>
        <v>6</v>
      </c>
    </row>
    <row r="917" spans="1:13" x14ac:dyDescent="0.25">
      <c r="A917" s="2" t="s">
        <v>990</v>
      </c>
      <c r="B917" s="3">
        <v>45835</v>
      </c>
      <c r="C917" s="2" t="s">
        <v>190</v>
      </c>
      <c r="D917" s="2" t="s">
        <v>40</v>
      </c>
      <c r="E917" s="2" t="s">
        <v>19</v>
      </c>
      <c r="F917" s="2" t="s">
        <v>14</v>
      </c>
      <c r="G917" s="2" t="s">
        <v>191</v>
      </c>
      <c r="H917" s="2">
        <v>6</v>
      </c>
      <c r="I917" s="4">
        <v>142</v>
      </c>
      <c r="J917" s="2" t="s">
        <v>31</v>
      </c>
      <c r="K917">
        <f>H917*I917</f>
        <v>852</v>
      </c>
      <c r="L917" t="str">
        <f t="shared" si="28"/>
        <v>Jun</v>
      </c>
      <c r="M917">
        <f t="shared" si="29"/>
        <v>6</v>
      </c>
    </row>
    <row r="918" spans="1:13" x14ac:dyDescent="0.25">
      <c r="A918" s="2" t="s">
        <v>991</v>
      </c>
      <c r="B918" s="3">
        <v>45835</v>
      </c>
      <c r="C918" s="2" t="s">
        <v>79</v>
      </c>
      <c r="D918" s="2" t="s">
        <v>80</v>
      </c>
      <c r="E918" s="2" t="s">
        <v>26</v>
      </c>
      <c r="F918" s="2" t="s">
        <v>14</v>
      </c>
      <c r="G918" s="2" t="s">
        <v>81</v>
      </c>
      <c r="H918" s="2">
        <v>3</v>
      </c>
      <c r="I918" s="4">
        <v>152</v>
      </c>
      <c r="J918" s="2" t="s">
        <v>16</v>
      </c>
      <c r="K918">
        <f>H918*I918</f>
        <v>456</v>
      </c>
      <c r="L918" t="str">
        <f t="shared" si="28"/>
        <v>Jun</v>
      </c>
      <c r="M918">
        <f t="shared" si="29"/>
        <v>6</v>
      </c>
    </row>
    <row r="919" spans="1:13" x14ac:dyDescent="0.25">
      <c r="A919" s="2" t="s">
        <v>992</v>
      </c>
      <c r="B919" s="3">
        <v>45835</v>
      </c>
      <c r="C919" s="2" t="s">
        <v>25</v>
      </c>
      <c r="D919" s="2" t="s">
        <v>25</v>
      </c>
      <c r="E919" s="2" t="s">
        <v>26</v>
      </c>
      <c r="F919" s="2" t="s">
        <v>20</v>
      </c>
      <c r="G919" s="2" t="s">
        <v>21</v>
      </c>
      <c r="H919" s="2">
        <v>4</v>
      </c>
      <c r="I919" s="4">
        <v>20</v>
      </c>
      <c r="J919" s="2" t="s">
        <v>22</v>
      </c>
      <c r="K919">
        <f>H919*I919</f>
        <v>80</v>
      </c>
      <c r="L919" t="str">
        <f t="shared" si="28"/>
        <v>Jun</v>
      </c>
      <c r="M919">
        <f t="shared" si="29"/>
        <v>6</v>
      </c>
    </row>
    <row r="920" spans="1:13" x14ac:dyDescent="0.25">
      <c r="A920" s="2" t="s">
        <v>993</v>
      </c>
      <c r="B920" s="3">
        <v>45835</v>
      </c>
      <c r="C920" s="2" t="s">
        <v>52</v>
      </c>
      <c r="D920" s="2" t="s">
        <v>30</v>
      </c>
      <c r="E920" s="2" t="s">
        <v>13</v>
      </c>
      <c r="F920" s="2" t="s">
        <v>14</v>
      </c>
      <c r="G920" s="2" t="s">
        <v>53</v>
      </c>
      <c r="H920" s="2">
        <v>1</v>
      </c>
      <c r="I920" s="4">
        <v>42</v>
      </c>
      <c r="J920" s="2" t="s">
        <v>38</v>
      </c>
      <c r="K920">
        <f>H920*I920</f>
        <v>42</v>
      </c>
      <c r="L920" t="str">
        <f t="shared" si="28"/>
        <v>Jun</v>
      </c>
      <c r="M920">
        <f t="shared" si="29"/>
        <v>6</v>
      </c>
    </row>
    <row r="921" spans="1:13" x14ac:dyDescent="0.25">
      <c r="A921" s="2" t="s">
        <v>994</v>
      </c>
      <c r="B921" s="3">
        <v>45836</v>
      </c>
      <c r="C921" s="2" t="s">
        <v>75</v>
      </c>
      <c r="D921" s="2" t="s">
        <v>75</v>
      </c>
      <c r="E921" s="2" t="s">
        <v>76</v>
      </c>
      <c r="F921" s="2" t="s">
        <v>20</v>
      </c>
      <c r="G921" s="2" t="s">
        <v>21</v>
      </c>
      <c r="H921" s="2">
        <v>6</v>
      </c>
      <c r="I921" s="4">
        <v>12</v>
      </c>
      <c r="J921" s="2" t="s">
        <v>38</v>
      </c>
      <c r="K921">
        <f>H921*I921</f>
        <v>72</v>
      </c>
      <c r="L921" t="str">
        <f t="shared" si="28"/>
        <v>Jun</v>
      </c>
      <c r="M921">
        <f t="shared" si="29"/>
        <v>6</v>
      </c>
    </row>
    <row r="922" spans="1:13" x14ac:dyDescent="0.25">
      <c r="A922" s="2" t="s">
        <v>995</v>
      </c>
      <c r="B922" s="3">
        <v>45836</v>
      </c>
      <c r="C922" s="2" t="s">
        <v>124</v>
      </c>
      <c r="D922" s="2" t="s">
        <v>18</v>
      </c>
      <c r="E922" s="2" t="s">
        <v>19</v>
      </c>
      <c r="F922" s="2" t="s">
        <v>14</v>
      </c>
      <c r="G922" s="2" t="s">
        <v>125</v>
      </c>
      <c r="H922" s="2">
        <v>1</v>
      </c>
      <c r="I922" s="4">
        <v>45</v>
      </c>
      <c r="J922" s="2" t="s">
        <v>16</v>
      </c>
      <c r="K922">
        <f>H922*I922</f>
        <v>45</v>
      </c>
      <c r="L922" t="str">
        <f t="shared" si="28"/>
        <v>Jun</v>
      </c>
      <c r="M922">
        <f t="shared" si="29"/>
        <v>6</v>
      </c>
    </row>
    <row r="923" spans="1:13" x14ac:dyDescent="0.25">
      <c r="A923" s="2" t="s">
        <v>996</v>
      </c>
      <c r="B923" s="3">
        <v>45836</v>
      </c>
      <c r="C923" s="2" t="s">
        <v>79</v>
      </c>
      <c r="D923" s="2" t="s">
        <v>80</v>
      </c>
      <c r="E923" s="2" t="s">
        <v>26</v>
      </c>
      <c r="F923" s="2" t="s">
        <v>14</v>
      </c>
      <c r="G923" s="2" t="s">
        <v>81</v>
      </c>
      <c r="H923" s="2">
        <v>3</v>
      </c>
      <c r="I923" s="4">
        <v>152</v>
      </c>
      <c r="J923" s="2" t="s">
        <v>22</v>
      </c>
      <c r="K923">
        <f>H923*I923</f>
        <v>456</v>
      </c>
      <c r="L923" t="str">
        <f t="shared" si="28"/>
        <v>Jun</v>
      </c>
      <c r="M923">
        <f t="shared" si="29"/>
        <v>6</v>
      </c>
    </row>
    <row r="924" spans="1:13" x14ac:dyDescent="0.25">
      <c r="A924" s="2" t="s">
        <v>997</v>
      </c>
      <c r="B924" s="3">
        <v>45836</v>
      </c>
      <c r="C924" s="2" t="s">
        <v>24</v>
      </c>
      <c r="D924" s="2" t="s">
        <v>25</v>
      </c>
      <c r="E924" s="2" t="s">
        <v>26</v>
      </c>
      <c r="F924" s="2" t="s">
        <v>14</v>
      </c>
      <c r="G924" s="2" t="s">
        <v>27</v>
      </c>
      <c r="H924" s="2">
        <v>5</v>
      </c>
      <c r="I924" s="4">
        <v>58</v>
      </c>
      <c r="J924" s="2" t="s">
        <v>22</v>
      </c>
      <c r="K924">
        <f>H924*I924</f>
        <v>290</v>
      </c>
      <c r="L924" t="str">
        <f t="shared" si="28"/>
        <v>Jun</v>
      </c>
      <c r="M924">
        <f t="shared" si="29"/>
        <v>6</v>
      </c>
    </row>
    <row r="925" spans="1:13" x14ac:dyDescent="0.25">
      <c r="A925" s="2" t="s">
        <v>998</v>
      </c>
      <c r="B925" s="3">
        <v>45836</v>
      </c>
      <c r="C925" s="2" t="s">
        <v>52</v>
      </c>
      <c r="D925" s="2" t="s">
        <v>30</v>
      </c>
      <c r="E925" s="2" t="s">
        <v>13</v>
      </c>
      <c r="F925" s="2" t="s">
        <v>14</v>
      </c>
      <c r="G925" s="2" t="s">
        <v>53</v>
      </c>
      <c r="H925" s="2">
        <v>4</v>
      </c>
      <c r="I925" s="4">
        <v>42</v>
      </c>
      <c r="J925" s="2" t="s">
        <v>16</v>
      </c>
      <c r="K925">
        <f>H925*I925</f>
        <v>168</v>
      </c>
      <c r="L925" t="str">
        <f t="shared" si="28"/>
        <v>Jun</v>
      </c>
      <c r="M925">
        <f t="shared" si="29"/>
        <v>6</v>
      </c>
    </row>
    <row r="926" spans="1:13" x14ac:dyDescent="0.25">
      <c r="A926" s="2" t="s">
        <v>999</v>
      </c>
      <c r="B926" s="3">
        <v>45837</v>
      </c>
      <c r="C926" s="2" t="s">
        <v>67</v>
      </c>
      <c r="D926" s="2" t="s">
        <v>68</v>
      </c>
      <c r="E926" s="2" t="s">
        <v>49</v>
      </c>
      <c r="F926" s="2" t="s">
        <v>14</v>
      </c>
      <c r="G926" s="2" t="s">
        <v>69</v>
      </c>
      <c r="H926" s="2">
        <v>2</v>
      </c>
      <c r="I926" s="4">
        <v>205</v>
      </c>
      <c r="J926" s="2" t="s">
        <v>16</v>
      </c>
      <c r="K926">
        <f>H926*I926</f>
        <v>410</v>
      </c>
      <c r="L926" t="str">
        <f t="shared" si="28"/>
        <v>Jun</v>
      </c>
      <c r="M926">
        <f t="shared" si="29"/>
        <v>6</v>
      </c>
    </row>
    <row r="927" spans="1:13" x14ac:dyDescent="0.25">
      <c r="A927" s="2" t="s">
        <v>1000</v>
      </c>
      <c r="B927" s="3">
        <v>45837</v>
      </c>
      <c r="C927" s="2" t="s">
        <v>74</v>
      </c>
      <c r="D927" s="2" t="s">
        <v>75</v>
      </c>
      <c r="E927" s="2" t="s">
        <v>76</v>
      </c>
      <c r="F927" s="2" t="s">
        <v>14</v>
      </c>
      <c r="G927" s="2" t="s">
        <v>77</v>
      </c>
      <c r="H927" s="2">
        <v>3</v>
      </c>
      <c r="I927" s="4">
        <v>32</v>
      </c>
      <c r="J927" s="2" t="s">
        <v>16</v>
      </c>
      <c r="K927">
        <f>H927*I927</f>
        <v>96</v>
      </c>
      <c r="L927" t="str">
        <f t="shared" si="28"/>
        <v>Jun</v>
      </c>
      <c r="M927">
        <f t="shared" si="29"/>
        <v>6</v>
      </c>
    </row>
    <row r="928" spans="1:13" x14ac:dyDescent="0.25">
      <c r="A928" s="2" t="s">
        <v>1001</v>
      </c>
      <c r="B928" s="3">
        <v>45837</v>
      </c>
      <c r="C928" s="2" t="s">
        <v>40</v>
      </c>
      <c r="D928" s="2" t="s">
        <v>40</v>
      </c>
      <c r="E928" s="2" t="s">
        <v>19</v>
      </c>
      <c r="F928" s="2" t="s">
        <v>20</v>
      </c>
      <c r="G928" s="2" t="s">
        <v>21</v>
      </c>
      <c r="H928" s="2">
        <v>3</v>
      </c>
      <c r="I928" s="4">
        <v>46</v>
      </c>
      <c r="J928" s="2" t="s">
        <v>31</v>
      </c>
      <c r="K928">
        <f>H928*I928</f>
        <v>138</v>
      </c>
      <c r="L928" t="str">
        <f t="shared" si="28"/>
        <v>Jun</v>
      </c>
      <c r="M928">
        <f t="shared" si="29"/>
        <v>6</v>
      </c>
    </row>
    <row r="929" spans="1:13" x14ac:dyDescent="0.25">
      <c r="A929" s="2" t="s">
        <v>1002</v>
      </c>
      <c r="B929" s="3">
        <v>45837</v>
      </c>
      <c r="C929" s="2" t="s">
        <v>60</v>
      </c>
      <c r="D929" s="2" t="s">
        <v>61</v>
      </c>
      <c r="E929" s="2" t="s">
        <v>62</v>
      </c>
      <c r="F929" s="2" t="s">
        <v>14</v>
      </c>
      <c r="G929" s="2" t="s">
        <v>63</v>
      </c>
      <c r="H929" s="2">
        <v>3</v>
      </c>
      <c r="I929" s="4">
        <v>26</v>
      </c>
      <c r="J929" s="2" t="s">
        <v>31</v>
      </c>
      <c r="K929">
        <f>H929*I929</f>
        <v>78</v>
      </c>
      <c r="L929" t="str">
        <f t="shared" si="28"/>
        <v>Jun</v>
      </c>
      <c r="M929">
        <f t="shared" si="29"/>
        <v>6</v>
      </c>
    </row>
    <row r="930" spans="1:13" x14ac:dyDescent="0.25">
      <c r="A930" s="2" t="s">
        <v>1003</v>
      </c>
      <c r="B930" s="3">
        <v>45837</v>
      </c>
      <c r="C930" s="2" t="s">
        <v>61</v>
      </c>
      <c r="D930" s="2" t="s">
        <v>61</v>
      </c>
      <c r="E930" s="2" t="s">
        <v>62</v>
      </c>
      <c r="F930" s="2" t="s">
        <v>20</v>
      </c>
      <c r="G930" s="2" t="s">
        <v>21</v>
      </c>
      <c r="H930" s="2">
        <v>1</v>
      </c>
      <c r="I930" s="4">
        <v>8</v>
      </c>
      <c r="J930" s="2" t="s">
        <v>38</v>
      </c>
      <c r="K930">
        <f>H930*I930</f>
        <v>8</v>
      </c>
      <c r="L930" t="str">
        <f t="shared" si="28"/>
        <v>Jun</v>
      </c>
      <c r="M930">
        <f t="shared" si="29"/>
        <v>6</v>
      </c>
    </row>
    <row r="931" spans="1:13" x14ac:dyDescent="0.25">
      <c r="A931" s="2" t="s">
        <v>1004</v>
      </c>
      <c r="B931" s="3">
        <v>45838</v>
      </c>
      <c r="C931" s="2" t="s">
        <v>12</v>
      </c>
      <c r="D931" s="2" t="s">
        <v>12</v>
      </c>
      <c r="E931" s="2" t="s">
        <v>13</v>
      </c>
      <c r="F931" s="2" t="s">
        <v>20</v>
      </c>
      <c r="G931" s="2" t="s">
        <v>21</v>
      </c>
      <c r="H931" s="2">
        <v>1</v>
      </c>
      <c r="I931" s="4">
        <v>14</v>
      </c>
      <c r="J931" s="2" t="s">
        <v>22</v>
      </c>
      <c r="K931">
        <f>H931*I931</f>
        <v>14</v>
      </c>
      <c r="L931" t="str">
        <f t="shared" si="28"/>
        <v>Jun</v>
      </c>
      <c r="M931">
        <f t="shared" si="29"/>
        <v>6</v>
      </c>
    </row>
    <row r="932" spans="1:13" x14ac:dyDescent="0.25">
      <c r="A932" s="2" t="s">
        <v>1005</v>
      </c>
      <c r="B932" s="3">
        <v>45839</v>
      </c>
      <c r="C932" s="2" t="s">
        <v>12</v>
      </c>
      <c r="D932" s="2" t="s">
        <v>12</v>
      </c>
      <c r="E932" s="2" t="s">
        <v>13</v>
      </c>
      <c r="F932" s="2" t="s">
        <v>20</v>
      </c>
      <c r="G932" s="2" t="s">
        <v>21</v>
      </c>
      <c r="H932" s="2">
        <v>2</v>
      </c>
      <c r="I932" s="4">
        <v>14</v>
      </c>
      <c r="J932" s="2" t="s">
        <v>22</v>
      </c>
      <c r="K932">
        <f>H932*I932</f>
        <v>28</v>
      </c>
      <c r="L932" t="str">
        <f t="shared" si="28"/>
        <v>Jul</v>
      </c>
      <c r="M932">
        <f t="shared" si="29"/>
        <v>7</v>
      </c>
    </row>
    <row r="933" spans="1:13" x14ac:dyDescent="0.25">
      <c r="A933" s="2" t="s">
        <v>1006</v>
      </c>
      <c r="B933" s="3">
        <v>45839</v>
      </c>
      <c r="C933" s="2" t="s">
        <v>119</v>
      </c>
      <c r="D933" s="2" t="s">
        <v>120</v>
      </c>
      <c r="E933" s="2" t="s">
        <v>76</v>
      </c>
      <c r="F933" s="2" t="s">
        <v>14</v>
      </c>
      <c r="G933" s="2" t="s">
        <v>121</v>
      </c>
      <c r="H933" s="2">
        <v>3</v>
      </c>
      <c r="I933" s="4">
        <v>190</v>
      </c>
      <c r="J933" s="2" t="s">
        <v>38</v>
      </c>
      <c r="K933">
        <f>H933*I933</f>
        <v>570</v>
      </c>
      <c r="L933" t="str">
        <f t="shared" si="28"/>
        <v>Jul</v>
      </c>
      <c r="M933">
        <f t="shared" si="29"/>
        <v>7</v>
      </c>
    </row>
    <row r="934" spans="1:13" x14ac:dyDescent="0.25">
      <c r="A934" s="2" t="s">
        <v>1007</v>
      </c>
      <c r="B934" s="3">
        <v>45839</v>
      </c>
      <c r="C934" s="2" t="s">
        <v>101</v>
      </c>
      <c r="D934" s="2" t="s">
        <v>102</v>
      </c>
      <c r="E934" s="2" t="s">
        <v>36</v>
      </c>
      <c r="F934" s="2" t="s">
        <v>14</v>
      </c>
      <c r="G934" s="2" t="s">
        <v>103</v>
      </c>
      <c r="H934" s="2">
        <v>6</v>
      </c>
      <c r="I934" s="4">
        <v>92.92</v>
      </c>
      <c r="J934" s="2" t="s">
        <v>38</v>
      </c>
      <c r="K934">
        <f>H934*I934</f>
        <v>557.52</v>
      </c>
      <c r="L934" t="str">
        <f t="shared" si="28"/>
        <v>Jul</v>
      </c>
      <c r="M934">
        <f t="shared" si="29"/>
        <v>7</v>
      </c>
    </row>
    <row r="935" spans="1:13" x14ac:dyDescent="0.25">
      <c r="A935" s="2" t="s">
        <v>1008</v>
      </c>
      <c r="B935" s="3">
        <v>45839</v>
      </c>
      <c r="C935" s="2" t="s">
        <v>102</v>
      </c>
      <c r="D935" s="2" t="s">
        <v>102</v>
      </c>
      <c r="E935" s="2" t="s">
        <v>36</v>
      </c>
      <c r="F935" s="2" t="s">
        <v>20</v>
      </c>
      <c r="G935" s="2" t="s">
        <v>21</v>
      </c>
      <c r="H935" s="2">
        <v>6</v>
      </c>
      <c r="I935" s="4">
        <v>35.35</v>
      </c>
      <c r="J935" s="2" t="s">
        <v>16</v>
      </c>
      <c r="K935">
        <f>H935*I935</f>
        <v>212.10000000000002</v>
      </c>
      <c r="L935" t="str">
        <f t="shared" si="28"/>
        <v>Jul</v>
      </c>
      <c r="M935">
        <f t="shared" si="29"/>
        <v>7</v>
      </c>
    </row>
    <row r="936" spans="1:13" x14ac:dyDescent="0.25">
      <c r="A936" s="2" t="s">
        <v>1009</v>
      </c>
      <c r="B936" s="3">
        <v>45839</v>
      </c>
      <c r="C936" s="2" t="s">
        <v>190</v>
      </c>
      <c r="D936" s="2" t="s">
        <v>40</v>
      </c>
      <c r="E936" s="2" t="s">
        <v>19</v>
      </c>
      <c r="F936" s="2" t="s">
        <v>14</v>
      </c>
      <c r="G936" s="2" t="s">
        <v>191</v>
      </c>
      <c r="H936" s="2">
        <v>6</v>
      </c>
      <c r="I936" s="4">
        <v>143.41999999999999</v>
      </c>
      <c r="J936" s="2" t="s">
        <v>22</v>
      </c>
      <c r="K936">
        <f>H936*I936</f>
        <v>860.52</v>
      </c>
      <c r="L936" t="str">
        <f t="shared" si="28"/>
        <v>Jul</v>
      </c>
      <c r="M936">
        <f t="shared" si="29"/>
        <v>7</v>
      </c>
    </row>
    <row r="937" spans="1:13" x14ac:dyDescent="0.25">
      <c r="A937" s="2" t="s">
        <v>1010</v>
      </c>
      <c r="B937" s="3">
        <v>45839</v>
      </c>
      <c r="C937" s="2" t="s">
        <v>79</v>
      </c>
      <c r="D937" s="2" t="s">
        <v>80</v>
      </c>
      <c r="E937" s="2" t="s">
        <v>26</v>
      </c>
      <c r="F937" s="2" t="s">
        <v>14</v>
      </c>
      <c r="G937" s="2" t="s">
        <v>81</v>
      </c>
      <c r="H937" s="2">
        <v>2</v>
      </c>
      <c r="I937" s="4">
        <v>152</v>
      </c>
      <c r="J937" s="2" t="s">
        <v>22</v>
      </c>
      <c r="K937">
        <f>H937*I937</f>
        <v>304</v>
      </c>
      <c r="L937" t="str">
        <f t="shared" si="28"/>
        <v>Jul</v>
      </c>
      <c r="M937">
        <f t="shared" si="29"/>
        <v>7</v>
      </c>
    </row>
    <row r="938" spans="1:13" x14ac:dyDescent="0.25">
      <c r="A938" s="2" t="s">
        <v>1011</v>
      </c>
      <c r="B938" s="3">
        <v>45840</v>
      </c>
      <c r="C938" s="2" t="s">
        <v>48</v>
      </c>
      <c r="D938" s="2" t="s">
        <v>48</v>
      </c>
      <c r="E938" s="2" t="s">
        <v>49</v>
      </c>
      <c r="F938" s="2" t="s">
        <v>20</v>
      </c>
      <c r="G938" s="2" t="s">
        <v>21</v>
      </c>
      <c r="H938" s="2">
        <v>4</v>
      </c>
      <c r="I938" s="4">
        <v>55</v>
      </c>
      <c r="J938" s="2" t="s">
        <v>22</v>
      </c>
      <c r="K938">
        <f>H938*I938</f>
        <v>220</v>
      </c>
      <c r="L938" t="str">
        <f t="shared" si="28"/>
        <v>Jul</v>
      </c>
      <c r="M938">
        <f t="shared" si="29"/>
        <v>7</v>
      </c>
    </row>
    <row r="939" spans="1:13" x14ac:dyDescent="0.25">
      <c r="A939" s="2" t="s">
        <v>1012</v>
      </c>
      <c r="B939" s="3">
        <v>45840</v>
      </c>
      <c r="C939" s="2" t="s">
        <v>72</v>
      </c>
      <c r="D939" s="2" t="s">
        <v>68</v>
      </c>
      <c r="E939" s="2" t="s">
        <v>49</v>
      </c>
      <c r="F939" s="2" t="s">
        <v>20</v>
      </c>
      <c r="G939" s="2" t="s">
        <v>21</v>
      </c>
      <c r="H939" s="2">
        <v>5</v>
      </c>
      <c r="I939" s="4">
        <v>95.95</v>
      </c>
      <c r="J939" s="2" t="s">
        <v>16</v>
      </c>
      <c r="K939">
        <f>H939*I939</f>
        <v>479.75</v>
      </c>
      <c r="L939" t="str">
        <f t="shared" si="28"/>
        <v>Jul</v>
      </c>
      <c r="M939">
        <f t="shared" si="29"/>
        <v>7</v>
      </c>
    </row>
    <row r="940" spans="1:13" x14ac:dyDescent="0.25">
      <c r="A940" s="2" t="s">
        <v>1013</v>
      </c>
      <c r="B940" s="3">
        <v>45840</v>
      </c>
      <c r="C940" s="2" t="s">
        <v>102</v>
      </c>
      <c r="D940" s="2" t="s">
        <v>102</v>
      </c>
      <c r="E940" s="2" t="s">
        <v>36</v>
      </c>
      <c r="F940" s="2" t="s">
        <v>20</v>
      </c>
      <c r="G940" s="2" t="s">
        <v>21</v>
      </c>
      <c r="H940" s="2">
        <v>6</v>
      </c>
      <c r="I940" s="4">
        <v>35.35</v>
      </c>
      <c r="J940" s="2" t="s">
        <v>16</v>
      </c>
      <c r="K940">
        <f>H940*I940</f>
        <v>212.10000000000002</v>
      </c>
      <c r="L940" t="str">
        <f t="shared" si="28"/>
        <v>Jul</v>
      </c>
      <c r="M940">
        <f t="shared" si="29"/>
        <v>7</v>
      </c>
    </row>
    <row r="941" spans="1:13" x14ac:dyDescent="0.25">
      <c r="A941" s="2" t="s">
        <v>1014</v>
      </c>
      <c r="B941" s="3">
        <v>45840</v>
      </c>
      <c r="C941" s="2" t="s">
        <v>18</v>
      </c>
      <c r="D941" s="2" t="s">
        <v>18</v>
      </c>
      <c r="E941" s="2" t="s">
        <v>19</v>
      </c>
      <c r="F941" s="2" t="s">
        <v>20</v>
      </c>
      <c r="G941" s="2" t="s">
        <v>21</v>
      </c>
      <c r="H941" s="2">
        <v>1</v>
      </c>
      <c r="I941" s="4">
        <v>15.15</v>
      </c>
      <c r="J941" s="2" t="s">
        <v>16</v>
      </c>
      <c r="K941">
        <f>H941*I941</f>
        <v>15.15</v>
      </c>
      <c r="L941" t="str">
        <f t="shared" si="28"/>
        <v>Jul</v>
      </c>
      <c r="M941">
        <f t="shared" si="29"/>
        <v>7</v>
      </c>
    </row>
    <row r="942" spans="1:13" x14ac:dyDescent="0.25">
      <c r="A942" s="2" t="s">
        <v>1015</v>
      </c>
      <c r="B942" s="3">
        <v>45840</v>
      </c>
      <c r="C942" s="2" t="s">
        <v>190</v>
      </c>
      <c r="D942" s="2" t="s">
        <v>40</v>
      </c>
      <c r="E942" s="2" t="s">
        <v>19</v>
      </c>
      <c r="F942" s="2" t="s">
        <v>14</v>
      </c>
      <c r="G942" s="2" t="s">
        <v>191</v>
      </c>
      <c r="H942" s="2">
        <v>3</v>
      </c>
      <c r="I942" s="4">
        <v>143.41999999999999</v>
      </c>
      <c r="J942" s="2" t="s">
        <v>16</v>
      </c>
      <c r="K942">
        <f>H942*I942</f>
        <v>430.26</v>
      </c>
      <c r="L942" t="str">
        <f t="shared" si="28"/>
        <v>Jul</v>
      </c>
      <c r="M942">
        <f t="shared" si="29"/>
        <v>7</v>
      </c>
    </row>
    <row r="943" spans="1:13" x14ac:dyDescent="0.25">
      <c r="A943" s="2" t="s">
        <v>1016</v>
      </c>
      <c r="B943" s="3">
        <v>45840</v>
      </c>
      <c r="C943" s="2" t="s">
        <v>25</v>
      </c>
      <c r="D943" s="2" t="s">
        <v>25</v>
      </c>
      <c r="E943" s="2" t="s">
        <v>26</v>
      </c>
      <c r="F943" s="2" t="s">
        <v>20</v>
      </c>
      <c r="G943" s="2" t="s">
        <v>21</v>
      </c>
      <c r="H943" s="2">
        <v>5</v>
      </c>
      <c r="I943" s="4">
        <v>20</v>
      </c>
      <c r="J943" s="2" t="s">
        <v>22</v>
      </c>
      <c r="K943">
        <f>H943*I943</f>
        <v>100</v>
      </c>
      <c r="L943" t="str">
        <f t="shared" si="28"/>
        <v>Jul</v>
      </c>
      <c r="M943">
        <f t="shared" si="29"/>
        <v>7</v>
      </c>
    </row>
    <row r="944" spans="1:13" x14ac:dyDescent="0.25">
      <c r="A944" s="2" t="s">
        <v>1017</v>
      </c>
      <c r="B944" s="3">
        <v>45840</v>
      </c>
      <c r="C944" s="2" t="s">
        <v>109</v>
      </c>
      <c r="D944" s="2" t="s">
        <v>109</v>
      </c>
      <c r="E944" s="2" t="s">
        <v>13</v>
      </c>
      <c r="F944" s="2" t="s">
        <v>20</v>
      </c>
      <c r="G944" s="2" t="s">
        <v>21</v>
      </c>
      <c r="H944" s="2">
        <v>2</v>
      </c>
      <c r="I944" s="4">
        <v>20.2</v>
      </c>
      <c r="J944" s="2" t="s">
        <v>22</v>
      </c>
      <c r="K944">
        <f>H944*I944</f>
        <v>40.4</v>
      </c>
      <c r="L944" t="str">
        <f t="shared" si="28"/>
        <v>Jul</v>
      </c>
      <c r="M944">
        <f t="shared" si="29"/>
        <v>7</v>
      </c>
    </row>
    <row r="945" spans="1:13" x14ac:dyDescent="0.25">
      <c r="A945" s="2" t="s">
        <v>1018</v>
      </c>
      <c r="B945" s="3">
        <v>45841</v>
      </c>
      <c r="C945" s="2" t="s">
        <v>11</v>
      </c>
      <c r="D945" s="2" t="s">
        <v>12</v>
      </c>
      <c r="E945" s="2" t="s">
        <v>13</v>
      </c>
      <c r="F945" s="2" t="s">
        <v>14</v>
      </c>
      <c r="G945" s="2" t="s">
        <v>15</v>
      </c>
      <c r="H945" s="2">
        <v>3</v>
      </c>
      <c r="I945" s="4">
        <v>32.32</v>
      </c>
      <c r="J945" s="2" t="s">
        <v>31</v>
      </c>
      <c r="K945">
        <f>H945*I945</f>
        <v>96.960000000000008</v>
      </c>
      <c r="L945" t="str">
        <f t="shared" si="28"/>
        <v>Jul</v>
      </c>
      <c r="M945">
        <f t="shared" si="29"/>
        <v>7</v>
      </c>
    </row>
    <row r="946" spans="1:13" x14ac:dyDescent="0.25">
      <c r="A946" s="2" t="s">
        <v>1019</v>
      </c>
      <c r="B946" s="3">
        <v>45841</v>
      </c>
      <c r="C946" s="2" t="s">
        <v>11</v>
      </c>
      <c r="D946" s="2" t="s">
        <v>12</v>
      </c>
      <c r="E946" s="2" t="s">
        <v>13</v>
      </c>
      <c r="F946" s="2" t="s">
        <v>14</v>
      </c>
      <c r="G946" s="2" t="s">
        <v>15</v>
      </c>
      <c r="H946" s="2">
        <v>1</v>
      </c>
      <c r="I946" s="4">
        <v>32.32</v>
      </c>
      <c r="J946" s="2" t="s">
        <v>31</v>
      </c>
      <c r="K946">
        <f>H946*I946</f>
        <v>32.32</v>
      </c>
      <c r="L946" t="str">
        <f t="shared" si="28"/>
        <v>Jul</v>
      </c>
      <c r="M946">
        <f t="shared" si="29"/>
        <v>7</v>
      </c>
    </row>
    <row r="947" spans="1:13" x14ac:dyDescent="0.25">
      <c r="A947" s="2" t="s">
        <v>1020</v>
      </c>
      <c r="B947" s="3">
        <v>45841</v>
      </c>
      <c r="C947" s="2" t="s">
        <v>74</v>
      </c>
      <c r="D947" s="2" t="s">
        <v>75</v>
      </c>
      <c r="E947" s="2" t="s">
        <v>76</v>
      </c>
      <c r="F947" s="2" t="s">
        <v>14</v>
      </c>
      <c r="G947" s="2" t="s">
        <v>77</v>
      </c>
      <c r="H947" s="2">
        <v>1</v>
      </c>
      <c r="I947" s="4">
        <v>32</v>
      </c>
      <c r="J947" s="2" t="s">
        <v>16</v>
      </c>
      <c r="K947">
        <f>H947*I947</f>
        <v>32</v>
      </c>
      <c r="L947" t="str">
        <f t="shared" si="28"/>
        <v>Jul</v>
      </c>
      <c r="M947">
        <f t="shared" si="29"/>
        <v>7</v>
      </c>
    </row>
    <row r="948" spans="1:13" x14ac:dyDescent="0.25">
      <c r="A948" s="2" t="s">
        <v>1021</v>
      </c>
      <c r="B948" s="3">
        <v>45841</v>
      </c>
      <c r="C948" s="2" t="s">
        <v>124</v>
      </c>
      <c r="D948" s="2" t="s">
        <v>18</v>
      </c>
      <c r="E948" s="2" t="s">
        <v>19</v>
      </c>
      <c r="F948" s="2" t="s">
        <v>14</v>
      </c>
      <c r="G948" s="2" t="s">
        <v>125</v>
      </c>
      <c r="H948" s="2">
        <v>3</v>
      </c>
      <c r="I948" s="4">
        <v>45.45</v>
      </c>
      <c r="J948" s="2" t="s">
        <v>31</v>
      </c>
      <c r="K948">
        <f>H948*I948</f>
        <v>136.35000000000002</v>
      </c>
      <c r="L948" t="str">
        <f t="shared" si="28"/>
        <v>Jul</v>
      </c>
      <c r="M948">
        <f t="shared" si="29"/>
        <v>7</v>
      </c>
    </row>
    <row r="949" spans="1:13" x14ac:dyDescent="0.25">
      <c r="A949" s="2" t="s">
        <v>1022</v>
      </c>
      <c r="B949" s="3">
        <v>45841</v>
      </c>
      <c r="C949" s="2" t="s">
        <v>40</v>
      </c>
      <c r="D949" s="2" t="s">
        <v>40</v>
      </c>
      <c r="E949" s="2" t="s">
        <v>19</v>
      </c>
      <c r="F949" s="2" t="s">
        <v>20</v>
      </c>
      <c r="G949" s="2" t="s">
        <v>21</v>
      </c>
      <c r="H949" s="2">
        <v>1</v>
      </c>
      <c r="I949" s="4">
        <v>46.46</v>
      </c>
      <c r="J949" s="2" t="s">
        <v>16</v>
      </c>
      <c r="K949">
        <f>H949*I949</f>
        <v>46.46</v>
      </c>
      <c r="L949" t="str">
        <f t="shared" si="28"/>
        <v>Jul</v>
      </c>
      <c r="M949">
        <f t="shared" si="29"/>
        <v>7</v>
      </c>
    </row>
    <row r="950" spans="1:13" x14ac:dyDescent="0.25">
      <c r="A950" s="2" t="s">
        <v>1023</v>
      </c>
      <c r="B950" s="3">
        <v>45841</v>
      </c>
      <c r="C950" s="2" t="s">
        <v>52</v>
      </c>
      <c r="D950" s="2" t="s">
        <v>30</v>
      </c>
      <c r="E950" s="2" t="s">
        <v>13</v>
      </c>
      <c r="F950" s="2" t="s">
        <v>14</v>
      </c>
      <c r="G950" s="2" t="s">
        <v>53</v>
      </c>
      <c r="H950" s="2">
        <v>2</v>
      </c>
      <c r="I950" s="4">
        <v>42.42</v>
      </c>
      <c r="J950" s="2" t="s">
        <v>16</v>
      </c>
      <c r="K950">
        <f>H950*I950</f>
        <v>84.84</v>
      </c>
      <c r="L950" t="str">
        <f t="shared" si="28"/>
        <v>Jul</v>
      </c>
      <c r="M950">
        <f t="shared" si="29"/>
        <v>7</v>
      </c>
    </row>
    <row r="951" spans="1:13" x14ac:dyDescent="0.25">
      <c r="A951" s="2" t="s">
        <v>1024</v>
      </c>
      <c r="B951" s="3">
        <v>45841</v>
      </c>
      <c r="C951" s="2" t="s">
        <v>43</v>
      </c>
      <c r="D951" s="2" t="s">
        <v>43</v>
      </c>
      <c r="E951" s="2" t="s">
        <v>44</v>
      </c>
      <c r="F951" s="2" t="s">
        <v>20</v>
      </c>
      <c r="G951" s="2" t="s">
        <v>21</v>
      </c>
      <c r="H951" s="2">
        <v>2</v>
      </c>
      <c r="I951" s="4">
        <v>18.18</v>
      </c>
      <c r="J951" s="2" t="s">
        <v>38</v>
      </c>
      <c r="K951">
        <f>H951*I951</f>
        <v>36.36</v>
      </c>
      <c r="L951" t="str">
        <f t="shared" si="28"/>
        <v>Jul</v>
      </c>
      <c r="M951">
        <f t="shared" si="29"/>
        <v>7</v>
      </c>
    </row>
    <row r="952" spans="1:13" x14ac:dyDescent="0.25">
      <c r="A952" s="2" t="s">
        <v>1025</v>
      </c>
      <c r="B952" s="3">
        <v>45842</v>
      </c>
      <c r="C952" s="2" t="s">
        <v>11</v>
      </c>
      <c r="D952" s="2" t="s">
        <v>12</v>
      </c>
      <c r="E952" s="2" t="s">
        <v>13</v>
      </c>
      <c r="F952" s="2" t="s">
        <v>14</v>
      </c>
      <c r="G952" s="2" t="s">
        <v>15</v>
      </c>
      <c r="H952" s="2">
        <v>5</v>
      </c>
      <c r="I952" s="4">
        <v>32</v>
      </c>
      <c r="J952" s="2" t="s">
        <v>16</v>
      </c>
      <c r="K952">
        <f>H952*I952</f>
        <v>160</v>
      </c>
      <c r="L952" t="str">
        <f t="shared" si="28"/>
        <v>Jul</v>
      </c>
      <c r="M952">
        <f t="shared" si="29"/>
        <v>7</v>
      </c>
    </row>
    <row r="953" spans="1:13" x14ac:dyDescent="0.25">
      <c r="A953" s="2" t="s">
        <v>1026</v>
      </c>
      <c r="B953" s="3">
        <v>45842</v>
      </c>
      <c r="C953" s="2" t="s">
        <v>80</v>
      </c>
      <c r="D953" s="2" t="s">
        <v>80</v>
      </c>
      <c r="E953" s="2" t="s">
        <v>26</v>
      </c>
      <c r="F953" s="2" t="s">
        <v>20</v>
      </c>
      <c r="G953" s="2" t="s">
        <v>21</v>
      </c>
      <c r="H953" s="2">
        <v>4</v>
      </c>
      <c r="I953" s="4">
        <v>50.5</v>
      </c>
      <c r="J953" s="2" t="s">
        <v>16</v>
      </c>
      <c r="K953">
        <f>H953*I953</f>
        <v>202</v>
      </c>
      <c r="L953" t="str">
        <f t="shared" si="28"/>
        <v>Jul</v>
      </c>
      <c r="M953">
        <f t="shared" si="29"/>
        <v>7</v>
      </c>
    </row>
    <row r="954" spans="1:13" x14ac:dyDescent="0.25">
      <c r="A954" s="2" t="s">
        <v>1027</v>
      </c>
      <c r="B954" s="3">
        <v>45842</v>
      </c>
      <c r="C954" s="2" t="s">
        <v>80</v>
      </c>
      <c r="D954" s="2" t="s">
        <v>80</v>
      </c>
      <c r="E954" s="2" t="s">
        <v>26</v>
      </c>
      <c r="F954" s="2" t="s">
        <v>20</v>
      </c>
      <c r="G954" s="2" t="s">
        <v>21</v>
      </c>
      <c r="H954" s="2">
        <v>2</v>
      </c>
      <c r="I954" s="4">
        <v>50.5</v>
      </c>
      <c r="J954" s="2" t="s">
        <v>22</v>
      </c>
      <c r="K954">
        <f>H954*I954</f>
        <v>101</v>
      </c>
      <c r="L954" t="str">
        <f t="shared" si="28"/>
        <v>Jul</v>
      </c>
      <c r="M954">
        <f t="shared" si="29"/>
        <v>7</v>
      </c>
    </row>
    <row r="955" spans="1:13" x14ac:dyDescent="0.25">
      <c r="A955" s="2" t="s">
        <v>1028</v>
      </c>
      <c r="B955" s="3">
        <v>45842</v>
      </c>
      <c r="C955" s="2" t="s">
        <v>60</v>
      </c>
      <c r="D955" s="2" t="s">
        <v>61</v>
      </c>
      <c r="E955" s="2" t="s">
        <v>62</v>
      </c>
      <c r="F955" s="2" t="s">
        <v>14</v>
      </c>
      <c r="G955" s="2" t="s">
        <v>63</v>
      </c>
      <c r="H955" s="2">
        <v>2</v>
      </c>
      <c r="I955" s="4">
        <v>26.26</v>
      </c>
      <c r="J955" s="2" t="s">
        <v>16</v>
      </c>
      <c r="K955">
        <f>H955*I955</f>
        <v>52.52</v>
      </c>
      <c r="L955" t="str">
        <f t="shared" si="28"/>
        <v>Jul</v>
      </c>
      <c r="M955">
        <f t="shared" si="29"/>
        <v>7</v>
      </c>
    </row>
    <row r="956" spans="1:13" x14ac:dyDescent="0.25">
      <c r="A956" s="2" t="s">
        <v>1029</v>
      </c>
      <c r="B956" s="3">
        <v>45842</v>
      </c>
      <c r="C956" s="2" t="s">
        <v>61</v>
      </c>
      <c r="D956" s="2" t="s">
        <v>61</v>
      </c>
      <c r="E956" s="2" t="s">
        <v>62</v>
      </c>
      <c r="F956" s="2" t="s">
        <v>20</v>
      </c>
      <c r="G956" s="2" t="s">
        <v>21</v>
      </c>
      <c r="H956" s="2">
        <v>1</v>
      </c>
      <c r="I956" s="4">
        <v>8</v>
      </c>
      <c r="J956" s="2" t="s">
        <v>31</v>
      </c>
      <c r="K956">
        <f>H956*I956</f>
        <v>8</v>
      </c>
      <c r="L956" t="str">
        <f t="shared" si="28"/>
        <v>Jul</v>
      </c>
      <c r="M956">
        <f t="shared" si="29"/>
        <v>7</v>
      </c>
    </row>
    <row r="957" spans="1:13" x14ac:dyDescent="0.25">
      <c r="A957" s="2" t="s">
        <v>1030</v>
      </c>
      <c r="B957" s="3">
        <v>45842</v>
      </c>
      <c r="C957" s="2" t="s">
        <v>52</v>
      </c>
      <c r="D957" s="2" t="s">
        <v>30</v>
      </c>
      <c r="E957" s="2" t="s">
        <v>13</v>
      </c>
      <c r="F957" s="2" t="s">
        <v>14</v>
      </c>
      <c r="G957" s="2" t="s">
        <v>53</v>
      </c>
      <c r="H957" s="2">
        <v>4</v>
      </c>
      <c r="I957" s="4">
        <v>42.42</v>
      </c>
      <c r="J957" s="2" t="s">
        <v>31</v>
      </c>
      <c r="K957">
        <f>H957*I957</f>
        <v>169.68</v>
      </c>
      <c r="L957" t="str">
        <f t="shared" si="28"/>
        <v>Jul</v>
      </c>
      <c r="M957">
        <f t="shared" si="29"/>
        <v>7</v>
      </c>
    </row>
    <row r="958" spans="1:13" x14ac:dyDescent="0.25">
      <c r="A958" s="2" t="s">
        <v>1031</v>
      </c>
      <c r="B958" s="3">
        <v>45843</v>
      </c>
      <c r="C958" s="2" t="s">
        <v>86</v>
      </c>
      <c r="D958" s="2" t="s">
        <v>48</v>
      </c>
      <c r="E958" s="2" t="s">
        <v>49</v>
      </c>
      <c r="F958" s="2" t="s">
        <v>14</v>
      </c>
      <c r="G958" s="2" t="s">
        <v>87</v>
      </c>
      <c r="H958" s="2">
        <v>1</v>
      </c>
      <c r="I958" s="4">
        <v>125</v>
      </c>
      <c r="J958" s="2" t="s">
        <v>22</v>
      </c>
      <c r="K958">
        <f>H958*I958</f>
        <v>125</v>
      </c>
      <c r="L958" t="str">
        <f t="shared" si="28"/>
        <v>Jul</v>
      </c>
      <c r="M958">
        <f t="shared" si="29"/>
        <v>7</v>
      </c>
    </row>
    <row r="959" spans="1:13" x14ac:dyDescent="0.25">
      <c r="A959" s="2" t="s">
        <v>1032</v>
      </c>
      <c r="B959" s="3">
        <v>45843</v>
      </c>
      <c r="C959" s="2" t="s">
        <v>67</v>
      </c>
      <c r="D959" s="2" t="s">
        <v>68</v>
      </c>
      <c r="E959" s="2" t="s">
        <v>49</v>
      </c>
      <c r="F959" s="2" t="s">
        <v>14</v>
      </c>
      <c r="G959" s="2" t="s">
        <v>69</v>
      </c>
      <c r="H959" s="2">
        <v>1</v>
      </c>
      <c r="I959" s="4">
        <v>207.05</v>
      </c>
      <c r="J959" s="2" t="s">
        <v>38</v>
      </c>
      <c r="K959">
        <f>H959*I959</f>
        <v>207.05</v>
      </c>
      <c r="L959" t="str">
        <f t="shared" si="28"/>
        <v>Jul</v>
      </c>
      <c r="M959">
        <f t="shared" si="29"/>
        <v>7</v>
      </c>
    </row>
    <row r="960" spans="1:13" x14ac:dyDescent="0.25">
      <c r="A960" s="2" t="s">
        <v>1033</v>
      </c>
      <c r="B960" s="3">
        <v>45843</v>
      </c>
      <c r="C960" s="2" t="s">
        <v>74</v>
      </c>
      <c r="D960" s="2" t="s">
        <v>75</v>
      </c>
      <c r="E960" s="2" t="s">
        <v>76</v>
      </c>
      <c r="F960" s="2" t="s">
        <v>14</v>
      </c>
      <c r="G960" s="2" t="s">
        <v>77</v>
      </c>
      <c r="H960" s="2">
        <v>6</v>
      </c>
      <c r="I960" s="4">
        <v>32.32</v>
      </c>
      <c r="J960" s="2" t="s">
        <v>16</v>
      </c>
      <c r="K960">
        <f>H960*I960</f>
        <v>193.92000000000002</v>
      </c>
      <c r="L960" t="str">
        <f t="shared" si="28"/>
        <v>Jul</v>
      </c>
      <c r="M960">
        <f t="shared" si="29"/>
        <v>7</v>
      </c>
    </row>
    <row r="961" spans="1:13" x14ac:dyDescent="0.25">
      <c r="A961" s="2" t="s">
        <v>1034</v>
      </c>
      <c r="B961" s="3">
        <v>45843</v>
      </c>
      <c r="C961" s="2" t="s">
        <v>75</v>
      </c>
      <c r="D961" s="2" t="s">
        <v>75</v>
      </c>
      <c r="E961" s="2" t="s">
        <v>76</v>
      </c>
      <c r="F961" s="2" t="s">
        <v>20</v>
      </c>
      <c r="G961" s="2" t="s">
        <v>21</v>
      </c>
      <c r="H961" s="2">
        <v>6</v>
      </c>
      <c r="I961" s="4">
        <v>12</v>
      </c>
      <c r="J961" s="2" t="s">
        <v>16</v>
      </c>
      <c r="K961">
        <f>H961*I961</f>
        <v>72</v>
      </c>
      <c r="L961" t="str">
        <f t="shared" si="28"/>
        <v>Jul</v>
      </c>
      <c r="M961">
        <f t="shared" si="29"/>
        <v>7</v>
      </c>
    </row>
    <row r="962" spans="1:13" x14ac:dyDescent="0.25">
      <c r="A962" s="2" t="s">
        <v>1035</v>
      </c>
      <c r="B962" s="3">
        <v>45843</v>
      </c>
      <c r="C962" s="2" t="s">
        <v>79</v>
      </c>
      <c r="D962" s="2" t="s">
        <v>80</v>
      </c>
      <c r="E962" s="2" t="s">
        <v>26</v>
      </c>
      <c r="F962" s="2" t="s">
        <v>14</v>
      </c>
      <c r="G962" s="2" t="s">
        <v>81</v>
      </c>
      <c r="H962" s="2">
        <v>2</v>
      </c>
      <c r="I962" s="4">
        <v>153.52000000000001</v>
      </c>
      <c r="J962" s="2" t="s">
        <v>31</v>
      </c>
      <c r="K962">
        <f>H962*I962</f>
        <v>307.04000000000002</v>
      </c>
      <c r="L962" t="str">
        <f t="shared" si="28"/>
        <v>Jul</v>
      </c>
      <c r="M962">
        <f t="shared" si="29"/>
        <v>7</v>
      </c>
    </row>
    <row r="963" spans="1:13" x14ac:dyDescent="0.25">
      <c r="A963" s="2" t="s">
        <v>1036</v>
      </c>
      <c r="B963" s="3">
        <v>45843</v>
      </c>
      <c r="C963" s="2" t="s">
        <v>80</v>
      </c>
      <c r="D963" s="2" t="s">
        <v>80</v>
      </c>
      <c r="E963" s="2" t="s">
        <v>26</v>
      </c>
      <c r="F963" s="2" t="s">
        <v>20</v>
      </c>
      <c r="G963" s="2" t="s">
        <v>21</v>
      </c>
      <c r="H963" s="2">
        <v>2</v>
      </c>
      <c r="I963" s="4">
        <v>50.5</v>
      </c>
      <c r="J963" s="2" t="s">
        <v>22</v>
      </c>
      <c r="K963">
        <f>H963*I963</f>
        <v>101</v>
      </c>
      <c r="L963" t="str">
        <f t="shared" ref="L963:L1026" si="30">TEXT(B963,"mmm")</f>
        <v>Jul</v>
      </c>
      <c r="M963">
        <f t="shared" ref="M963:M1026" si="31">MONTH(B963)</f>
        <v>7</v>
      </c>
    </row>
    <row r="964" spans="1:13" x14ac:dyDescent="0.25">
      <c r="A964" s="2" t="s">
        <v>1037</v>
      </c>
      <c r="B964" s="3">
        <v>45844</v>
      </c>
      <c r="C964" s="2" t="s">
        <v>11</v>
      </c>
      <c r="D964" s="2" t="s">
        <v>12</v>
      </c>
      <c r="E964" s="2" t="s">
        <v>13</v>
      </c>
      <c r="F964" s="2" t="s">
        <v>14</v>
      </c>
      <c r="G964" s="2" t="s">
        <v>15</v>
      </c>
      <c r="H964" s="2">
        <v>1</v>
      </c>
      <c r="I964" s="4">
        <v>32</v>
      </c>
      <c r="J964" s="2" t="s">
        <v>16</v>
      </c>
      <c r="K964">
        <f>H964*I964</f>
        <v>32</v>
      </c>
      <c r="L964" t="str">
        <f t="shared" si="30"/>
        <v>Jul</v>
      </c>
      <c r="M964">
        <f t="shared" si="31"/>
        <v>7</v>
      </c>
    </row>
    <row r="965" spans="1:13" x14ac:dyDescent="0.25">
      <c r="A965" s="2" t="s">
        <v>1038</v>
      </c>
      <c r="B965" s="3">
        <v>45844</v>
      </c>
      <c r="C965" s="2" t="s">
        <v>48</v>
      </c>
      <c r="D965" s="2" t="s">
        <v>48</v>
      </c>
      <c r="E965" s="2" t="s">
        <v>49</v>
      </c>
      <c r="F965" s="2" t="s">
        <v>20</v>
      </c>
      <c r="G965" s="2" t="s">
        <v>21</v>
      </c>
      <c r="H965" s="2">
        <v>2</v>
      </c>
      <c r="I965" s="4">
        <v>55</v>
      </c>
      <c r="J965" s="2" t="s">
        <v>16</v>
      </c>
      <c r="K965">
        <f>H965*I965</f>
        <v>110</v>
      </c>
      <c r="L965" t="str">
        <f t="shared" si="30"/>
        <v>Jul</v>
      </c>
      <c r="M965">
        <f t="shared" si="31"/>
        <v>7</v>
      </c>
    </row>
    <row r="966" spans="1:13" x14ac:dyDescent="0.25">
      <c r="A966" s="2" t="s">
        <v>1039</v>
      </c>
      <c r="B966" s="3">
        <v>45844</v>
      </c>
      <c r="C966" s="2" t="s">
        <v>72</v>
      </c>
      <c r="D966" s="2" t="s">
        <v>68</v>
      </c>
      <c r="E966" s="2" t="s">
        <v>49</v>
      </c>
      <c r="F966" s="2" t="s">
        <v>20</v>
      </c>
      <c r="G966" s="2" t="s">
        <v>21</v>
      </c>
      <c r="H966" s="2">
        <v>2</v>
      </c>
      <c r="I966" s="4">
        <v>95.95</v>
      </c>
      <c r="J966" s="2" t="s">
        <v>16</v>
      </c>
      <c r="K966">
        <f>H966*I966</f>
        <v>191.9</v>
      </c>
      <c r="L966" t="str">
        <f t="shared" si="30"/>
        <v>Jul</v>
      </c>
      <c r="M966">
        <f t="shared" si="31"/>
        <v>7</v>
      </c>
    </row>
    <row r="967" spans="1:13" x14ac:dyDescent="0.25">
      <c r="A967" s="2" t="s">
        <v>1040</v>
      </c>
      <c r="B967" s="3">
        <v>45844</v>
      </c>
      <c r="C967" s="2" t="s">
        <v>61</v>
      </c>
      <c r="D967" s="2" t="s">
        <v>61</v>
      </c>
      <c r="E967" s="2" t="s">
        <v>62</v>
      </c>
      <c r="F967" s="2" t="s">
        <v>20</v>
      </c>
      <c r="G967" s="2" t="s">
        <v>21</v>
      </c>
      <c r="H967" s="2">
        <v>3</v>
      </c>
      <c r="I967" s="4">
        <v>8.08</v>
      </c>
      <c r="J967" s="2" t="s">
        <v>16</v>
      </c>
      <c r="K967">
        <f>H967*I967</f>
        <v>24.240000000000002</v>
      </c>
      <c r="L967" t="str">
        <f t="shared" si="30"/>
        <v>Jul</v>
      </c>
      <c r="M967">
        <f t="shared" si="31"/>
        <v>7</v>
      </c>
    </row>
    <row r="968" spans="1:13" x14ac:dyDescent="0.25">
      <c r="A968" s="2" t="s">
        <v>1041</v>
      </c>
      <c r="B968" s="3">
        <v>45844</v>
      </c>
      <c r="C968" s="2" t="s">
        <v>97</v>
      </c>
      <c r="D968" s="2" t="s">
        <v>98</v>
      </c>
      <c r="E968" s="2" t="s">
        <v>99</v>
      </c>
      <c r="F968" s="2" t="s">
        <v>14</v>
      </c>
      <c r="G968" s="2" t="s">
        <v>37</v>
      </c>
      <c r="H968" s="2">
        <v>1</v>
      </c>
      <c r="I968" s="4">
        <v>183.82</v>
      </c>
      <c r="J968" s="2" t="s">
        <v>16</v>
      </c>
      <c r="K968">
        <f>H968*I968</f>
        <v>183.82</v>
      </c>
      <c r="L968" t="str">
        <f t="shared" si="30"/>
        <v>Jul</v>
      </c>
      <c r="M968">
        <f t="shared" si="31"/>
        <v>7</v>
      </c>
    </row>
    <row r="969" spans="1:13" x14ac:dyDescent="0.25">
      <c r="A969" s="2" t="s">
        <v>1042</v>
      </c>
      <c r="B969" s="3">
        <v>45844</v>
      </c>
      <c r="C969" s="2" t="s">
        <v>194</v>
      </c>
      <c r="D969" s="2" t="s">
        <v>98</v>
      </c>
      <c r="E969" s="2" t="s">
        <v>99</v>
      </c>
      <c r="F969" s="2" t="s">
        <v>20</v>
      </c>
      <c r="G969" s="2" t="s">
        <v>21</v>
      </c>
      <c r="H969" s="2">
        <v>1</v>
      </c>
      <c r="I969" s="4">
        <v>70</v>
      </c>
      <c r="J969" s="2" t="s">
        <v>22</v>
      </c>
      <c r="K969">
        <f>H969*I969</f>
        <v>70</v>
      </c>
      <c r="L969" t="str">
        <f t="shared" si="30"/>
        <v>Jul</v>
      </c>
      <c r="M969">
        <f t="shared" si="31"/>
        <v>7</v>
      </c>
    </row>
    <row r="970" spans="1:13" x14ac:dyDescent="0.25">
      <c r="A970" s="2" t="s">
        <v>1043</v>
      </c>
      <c r="B970" s="3">
        <v>45845</v>
      </c>
      <c r="C970" s="2" t="s">
        <v>11</v>
      </c>
      <c r="D970" s="2" t="s">
        <v>12</v>
      </c>
      <c r="E970" s="2" t="s">
        <v>13</v>
      </c>
      <c r="F970" s="2" t="s">
        <v>14</v>
      </c>
      <c r="G970" s="2" t="s">
        <v>15</v>
      </c>
      <c r="H970" s="2">
        <v>2</v>
      </c>
      <c r="I970" s="4">
        <v>32.32</v>
      </c>
      <c r="J970" s="2" t="s">
        <v>22</v>
      </c>
      <c r="K970">
        <f>H970*I970</f>
        <v>64.64</v>
      </c>
      <c r="L970" t="str">
        <f t="shared" si="30"/>
        <v>Jul</v>
      </c>
      <c r="M970">
        <f t="shared" si="31"/>
        <v>7</v>
      </c>
    </row>
    <row r="971" spans="1:13" x14ac:dyDescent="0.25">
      <c r="A971" s="2" t="s">
        <v>1044</v>
      </c>
      <c r="B971" s="3">
        <v>45845</v>
      </c>
      <c r="C971" s="2" t="s">
        <v>75</v>
      </c>
      <c r="D971" s="2" t="s">
        <v>75</v>
      </c>
      <c r="E971" s="2" t="s">
        <v>76</v>
      </c>
      <c r="F971" s="2" t="s">
        <v>20</v>
      </c>
      <c r="G971" s="2" t="s">
        <v>21</v>
      </c>
      <c r="H971" s="2">
        <v>1</v>
      </c>
      <c r="I971" s="4">
        <v>12</v>
      </c>
      <c r="J971" s="2" t="s">
        <v>31</v>
      </c>
      <c r="K971">
        <f>H971*I971</f>
        <v>12</v>
      </c>
      <c r="L971" t="str">
        <f t="shared" si="30"/>
        <v>Jul</v>
      </c>
      <c r="M971">
        <f t="shared" si="31"/>
        <v>7</v>
      </c>
    </row>
    <row r="972" spans="1:13" x14ac:dyDescent="0.25">
      <c r="A972" s="2" t="s">
        <v>1045</v>
      </c>
      <c r="B972" s="3">
        <v>45845</v>
      </c>
      <c r="C972" s="2" t="s">
        <v>101</v>
      </c>
      <c r="D972" s="2" t="s">
        <v>102</v>
      </c>
      <c r="E972" s="2" t="s">
        <v>36</v>
      </c>
      <c r="F972" s="2" t="s">
        <v>14</v>
      </c>
      <c r="G972" s="2" t="s">
        <v>103</v>
      </c>
      <c r="H972" s="2">
        <v>3</v>
      </c>
      <c r="I972" s="4">
        <v>92.92</v>
      </c>
      <c r="J972" s="2" t="s">
        <v>38</v>
      </c>
      <c r="K972">
        <f>H972*I972</f>
        <v>278.76</v>
      </c>
      <c r="L972" t="str">
        <f t="shared" si="30"/>
        <v>Jul</v>
      </c>
      <c r="M972">
        <f t="shared" si="31"/>
        <v>7</v>
      </c>
    </row>
    <row r="973" spans="1:13" x14ac:dyDescent="0.25">
      <c r="A973" s="2" t="s">
        <v>1046</v>
      </c>
      <c r="B973" s="3">
        <v>45845</v>
      </c>
      <c r="C973" s="2" t="s">
        <v>43</v>
      </c>
      <c r="D973" s="2" t="s">
        <v>43</v>
      </c>
      <c r="E973" s="2" t="s">
        <v>44</v>
      </c>
      <c r="F973" s="2" t="s">
        <v>20</v>
      </c>
      <c r="G973" s="2" t="s">
        <v>21</v>
      </c>
      <c r="H973" s="2">
        <v>5</v>
      </c>
      <c r="I973" s="4">
        <v>18.18</v>
      </c>
      <c r="J973" s="2" t="s">
        <v>16</v>
      </c>
      <c r="K973">
        <f>H973*I973</f>
        <v>90.9</v>
      </c>
      <c r="L973" t="str">
        <f t="shared" si="30"/>
        <v>Jul</v>
      </c>
      <c r="M973">
        <f t="shared" si="31"/>
        <v>7</v>
      </c>
    </row>
    <row r="974" spans="1:13" x14ac:dyDescent="0.25">
      <c r="A974" s="2" t="s">
        <v>1047</v>
      </c>
      <c r="B974" s="3">
        <v>45846</v>
      </c>
      <c r="C974" s="2" t="s">
        <v>86</v>
      </c>
      <c r="D974" s="2" t="s">
        <v>48</v>
      </c>
      <c r="E974" s="2" t="s">
        <v>49</v>
      </c>
      <c r="F974" s="2" t="s">
        <v>14</v>
      </c>
      <c r="G974" s="2" t="s">
        <v>87</v>
      </c>
      <c r="H974" s="2">
        <v>2</v>
      </c>
      <c r="I974" s="4">
        <v>126.25</v>
      </c>
      <c r="J974" s="2" t="s">
        <v>31</v>
      </c>
      <c r="K974">
        <f>H974*I974</f>
        <v>252.5</v>
      </c>
      <c r="L974" t="str">
        <f t="shared" si="30"/>
        <v>Jul</v>
      </c>
      <c r="M974">
        <f t="shared" si="31"/>
        <v>7</v>
      </c>
    </row>
    <row r="975" spans="1:13" x14ac:dyDescent="0.25">
      <c r="A975" s="2" t="s">
        <v>1048</v>
      </c>
      <c r="B975" s="3">
        <v>45846</v>
      </c>
      <c r="C975" s="2" t="s">
        <v>124</v>
      </c>
      <c r="D975" s="2" t="s">
        <v>18</v>
      </c>
      <c r="E975" s="2" t="s">
        <v>19</v>
      </c>
      <c r="F975" s="2" t="s">
        <v>14</v>
      </c>
      <c r="G975" s="2" t="s">
        <v>125</v>
      </c>
      <c r="H975" s="2">
        <v>3</v>
      </c>
      <c r="I975" s="4">
        <v>45.45</v>
      </c>
      <c r="J975" s="2" t="s">
        <v>16</v>
      </c>
      <c r="K975">
        <f>H975*I975</f>
        <v>136.35000000000002</v>
      </c>
      <c r="L975" t="str">
        <f t="shared" si="30"/>
        <v>Jul</v>
      </c>
      <c r="M975">
        <f t="shared" si="31"/>
        <v>7</v>
      </c>
    </row>
    <row r="976" spans="1:13" x14ac:dyDescent="0.25">
      <c r="A976" s="2" t="s">
        <v>1049</v>
      </c>
      <c r="B976" s="3">
        <v>45846</v>
      </c>
      <c r="C976" s="2" t="s">
        <v>190</v>
      </c>
      <c r="D976" s="2" t="s">
        <v>40</v>
      </c>
      <c r="E976" s="2" t="s">
        <v>19</v>
      </c>
      <c r="F976" s="2" t="s">
        <v>14</v>
      </c>
      <c r="G976" s="2" t="s">
        <v>191</v>
      </c>
      <c r="H976" s="2">
        <v>2</v>
      </c>
      <c r="I976" s="4">
        <v>143.41999999999999</v>
      </c>
      <c r="J976" s="2" t="s">
        <v>16</v>
      </c>
      <c r="K976">
        <f>H976*I976</f>
        <v>286.83999999999997</v>
      </c>
      <c r="L976" t="str">
        <f t="shared" si="30"/>
        <v>Jul</v>
      </c>
      <c r="M976">
        <f t="shared" si="31"/>
        <v>7</v>
      </c>
    </row>
    <row r="977" spans="1:13" x14ac:dyDescent="0.25">
      <c r="A977" s="2" t="s">
        <v>1050</v>
      </c>
      <c r="B977" s="3">
        <v>45847</v>
      </c>
      <c r="C977" s="2" t="s">
        <v>11</v>
      </c>
      <c r="D977" s="2" t="s">
        <v>12</v>
      </c>
      <c r="E977" s="2" t="s">
        <v>13</v>
      </c>
      <c r="F977" s="2" t="s">
        <v>14</v>
      </c>
      <c r="G977" s="2" t="s">
        <v>15</v>
      </c>
      <c r="H977" s="2">
        <v>2</v>
      </c>
      <c r="I977" s="4">
        <v>32</v>
      </c>
      <c r="J977" s="2" t="s">
        <v>22</v>
      </c>
      <c r="K977">
        <f>H977*I977</f>
        <v>64</v>
      </c>
      <c r="L977" t="str">
        <f t="shared" si="30"/>
        <v>Jul</v>
      </c>
      <c r="M977">
        <f t="shared" si="31"/>
        <v>7</v>
      </c>
    </row>
    <row r="978" spans="1:13" x14ac:dyDescent="0.25">
      <c r="A978" s="2" t="s">
        <v>1051</v>
      </c>
      <c r="B978" s="3">
        <v>45847</v>
      </c>
      <c r="C978" s="2" t="s">
        <v>86</v>
      </c>
      <c r="D978" s="2" t="s">
        <v>48</v>
      </c>
      <c r="E978" s="2" t="s">
        <v>49</v>
      </c>
      <c r="F978" s="2" t="s">
        <v>14</v>
      </c>
      <c r="G978" s="2" t="s">
        <v>87</v>
      </c>
      <c r="H978" s="2">
        <v>5</v>
      </c>
      <c r="I978" s="4">
        <v>126.25</v>
      </c>
      <c r="J978" s="2" t="s">
        <v>16</v>
      </c>
      <c r="K978">
        <f>H978*I978</f>
        <v>631.25</v>
      </c>
      <c r="L978" t="str">
        <f t="shared" si="30"/>
        <v>Jul</v>
      </c>
      <c r="M978">
        <f t="shared" si="31"/>
        <v>7</v>
      </c>
    </row>
    <row r="979" spans="1:13" x14ac:dyDescent="0.25">
      <c r="A979" s="2" t="s">
        <v>1052</v>
      </c>
      <c r="B979" s="3">
        <v>45847</v>
      </c>
      <c r="C979" s="2" t="s">
        <v>74</v>
      </c>
      <c r="D979" s="2" t="s">
        <v>75</v>
      </c>
      <c r="E979" s="2" t="s">
        <v>76</v>
      </c>
      <c r="F979" s="2" t="s">
        <v>14</v>
      </c>
      <c r="G979" s="2" t="s">
        <v>77</v>
      </c>
      <c r="H979" s="2">
        <v>6</v>
      </c>
      <c r="I979" s="4">
        <v>32.32</v>
      </c>
      <c r="J979" s="2" t="s">
        <v>22</v>
      </c>
      <c r="K979">
        <f>H979*I979</f>
        <v>193.92000000000002</v>
      </c>
      <c r="L979" t="str">
        <f t="shared" si="30"/>
        <v>Jul</v>
      </c>
      <c r="M979">
        <f t="shared" si="31"/>
        <v>7</v>
      </c>
    </row>
    <row r="980" spans="1:13" x14ac:dyDescent="0.25">
      <c r="A980" s="2" t="s">
        <v>1053</v>
      </c>
      <c r="B980" s="3">
        <v>45847</v>
      </c>
      <c r="C980" s="2" t="s">
        <v>75</v>
      </c>
      <c r="D980" s="2" t="s">
        <v>75</v>
      </c>
      <c r="E980" s="2" t="s">
        <v>76</v>
      </c>
      <c r="F980" s="2" t="s">
        <v>20</v>
      </c>
      <c r="G980" s="2" t="s">
        <v>21</v>
      </c>
      <c r="H980" s="2">
        <v>3</v>
      </c>
      <c r="I980" s="4">
        <v>12.12</v>
      </c>
      <c r="J980" s="2" t="s">
        <v>16</v>
      </c>
      <c r="K980">
        <f>H980*I980</f>
        <v>36.36</v>
      </c>
      <c r="L980" t="str">
        <f t="shared" si="30"/>
        <v>Jul</v>
      </c>
      <c r="M980">
        <f t="shared" si="31"/>
        <v>7</v>
      </c>
    </row>
    <row r="981" spans="1:13" x14ac:dyDescent="0.25">
      <c r="A981" s="2" t="s">
        <v>1054</v>
      </c>
      <c r="B981" s="3">
        <v>45847</v>
      </c>
      <c r="C981" s="2" t="s">
        <v>120</v>
      </c>
      <c r="D981" s="2" t="s">
        <v>120</v>
      </c>
      <c r="E981" s="2" t="s">
        <v>76</v>
      </c>
      <c r="F981" s="2" t="s">
        <v>20</v>
      </c>
      <c r="G981" s="2" t="s">
        <v>21</v>
      </c>
      <c r="H981" s="2">
        <v>3</v>
      </c>
      <c r="I981" s="4">
        <v>42.42</v>
      </c>
      <c r="J981" s="2" t="s">
        <v>22</v>
      </c>
      <c r="K981">
        <f>H981*I981</f>
        <v>127.26</v>
      </c>
      <c r="L981" t="str">
        <f t="shared" si="30"/>
        <v>Jul</v>
      </c>
      <c r="M981">
        <f t="shared" si="31"/>
        <v>7</v>
      </c>
    </row>
    <row r="982" spans="1:13" x14ac:dyDescent="0.25">
      <c r="A982" s="2" t="s">
        <v>1055</v>
      </c>
      <c r="B982" s="3">
        <v>45847</v>
      </c>
      <c r="C982" s="2" t="s">
        <v>101</v>
      </c>
      <c r="D982" s="2" t="s">
        <v>102</v>
      </c>
      <c r="E982" s="2" t="s">
        <v>36</v>
      </c>
      <c r="F982" s="2" t="s">
        <v>14</v>
      </c>
      <c r="G982" s="2" t="s">
        <v>103</v>
      </c>
      <c r="H982" s="2">
        <v>6</v>
      </c>
      <c r="I982" s="4">
        <v>92.92</v>
      </c>
      <c r="J982" s="2" t="s">
        <v>16</v>
      </c>
      <c r="K982">
        <f>H982*I982</f>
        <v>557.52</v>
      </c>
      <c r="L982" t="str">
        <f t="shared" si="30"/>
        <v>Jul</v>
      </c>
      <c r="M982">
        <f t="shared" si="31"/>
        <v>7</v>
      </c>
    </row>
    <row r="983" spans="1:13" x14ac:dyDescent="0.25">
      <c r="A983" s="2" t="s">
        <v>1056</v>
      </c>
      <c r="B983" s="3">
        <v>45847</v>
      </c>
      <c r="C983" s="2" t="s">
        <v>79</v>
      </c>
      <c r="D983" s="2" t="s">
        <v>80</v>
      </c>
      <c r="E983" s="2" t="s">
        <v>26</v>
      </c>
      <c r="F983" s="2" t="s">
        <v>14</v>
      </c>
      <c r="G983" s="2" t="s">
        <v>81</v>
      </c>
      <c r="H983" s="2">
        <v>1</v>
      </c>
      <c r="I983" s="4">
        <v>153.52000000000001</v>
      </c>
      <c r="J983" s="2" t="s">
        <v>31</v>
      </c>
      <c r="K983">
        <f>H983*I983</f>
        <v>153.52000000000001</v>
      </c>
      <c r="L983" t="str">
        <f t="shared" si="30"/>
        <v>Jul</v>
      </c>
      <c r="M983">
        <f t="shared" si="31"/>
        <v>7</v>
      </c>
    </row>
    <row r="984" spans="1:13" x14ac:dyDescent="0.25">
      <c r="A984" s="2" t="s">
        <v>1057</v>
      </c>
      <c r="B984" s="3">
        <v>45847</v>
      </c>
      <c r="C984" s="2" t="s">
        <v>97</v>
      </c>
      <c r="D984" s="2" t="s">
        <v>98</v>
      </c>
      <c r="E984" s="2" t="s">
        <v>99</v>
      </c>
      <c r="F984" s="2" t="s">
        <v>14</v>
      </c>
      <c r="G984" s="2" t="s">
        <v>37</v>
      </c>
      <c r="H984" s="2">
        <v>1</v>
      </c>
      <c r="I984" s="4">
        <v>183.82</v>
      </c>
      <c r="J984" s="2" t="s">
        <v>16</v>
      </c>
      <c r="K984">
        <f>H984*I984</f>
        <v>183.82</v>
      </c>
      <c r="L984" t="str">
        <f t="shared" si="30"/>
        <v>Jul</v>
      </c>
      <c r="M984">
        <f t="shared" si="31"/>
        <v>7</v>
      </c>
    </row>
    <row r="985" spans="1:13" x14ac:dyDescent="0.25">
      <c r="A985" s="2" t="s">
        <v>1058</v>
      </c>
      <c r="B985" s="3">
        <v>45848</v>
      </c>
      <c r="C985" s="2" t="s">
        <v>11</v>
      </c>
      <c r="D985" s="2" t="s">
        <v>12</v>
      </c>
      <c r="E985" s="2" t="s">
        <v>13</v>
      </c>
      <c r="F985" s="2" t="s">
        <v>14</v>
      </c>
      <c r="G985" s="2" t="s">
        <v>15</v>
      </c>
      <c r="H985" s="2">
        <v>2</v>
      </c>
      <c r="I985" s="4">
        <v>32</v>
      </c>
      <c r="J985" s="2" t="s">
        <v>31</v>
      </c>
      <c r="K985">
        <f>H985*I985</f>
        <v>64</v>
      </c>
      <c r="L985" t="str">
        <f t="shared" si="30"/>
        <v>Jul</v>
      </c>
      <c r="M985">
        <f t="shared" si="31"/>
        <v>7</v>
      </c>
    </row>
    <row r="986" spans="1:13" x14ac:dyDescent="0.25">
      <c r="A986" s="2" t="s">
        <v>1059</v>
      </c>
      <c r="B986" s="3">
        <v>45848</v>
      </c>
      <c r="C986" s="2" t="s">
        <v>12</v>
      </c>
      <c r="D986" s="2" t="s">
        <v>12</v>
      </c>
      <c r="E986" s="2" t="s">
        <v>13</v>
      </c>
      <c r="F986" s="2" t="s">
        <v>20</v>
      </c>
      <c r="G986" s="2" t="s">
        <v>21</v>
      </c>
      <c r="H986" s="2">
        <v>1</v>
      </c>
      <c r="I986" s="4">
        <v>14.14</v>
      </c>
      <c r="J986" s="2" t="s">
        <v>31</v>
      </c>
      <c r="K986">
        <f>H986*I986</f>
        <v>14.14</v>
      </c>
      <c r="L986" t="str">
        <f t="shared" si="30"/>
        <v>Jul</v>
      </c>
      <c r="M986">
        <f t="shared" si="31"/>
        <v>7</v>
      </c>
    </row>
    <row r="987" spans="1:13" x14ac:dyDescent="0.25">
      <c r="A987" s="2" t="s">
        <v>1060</v>
      </c>
      <c r="B987" s="3">
        <v>45848</v>
      </c>
      <c r="C987" s="2" t="s">
        <v>12</v>
      </c>
      <c r="D987" s="2" t="s">
        <v>12</v>
      </c>
      <c r="E987" s="2" t="s">
        <v>13</v>
      </c>
      <c r="F987" s="2" t="s">
        <v>20</v>
      </c>
      <c r="G987" s="2" t="s">
        <v>21</v>
      </c>
      <c r="H987" s="2">
        <v>4</v>
      </c>
      <c r="I987" s="4">
        <v>14.14</v>
      </c>
      <c r="J987" s="2" t="s">
        <v>16</v>
      </c>
      <c r="K987">
        <f>H987*I987</f>
        <v>56.56</v>
      </c>
      <c r="L987" t="str">
        <f t="shared" si="30"/>
        <v>Jul</v>
      </c>
      <c r="M987">
        <f t="shared" si="31"/>
        <v>7</v>
      </c>
    </row>
    <row r="988" spans="1:13" x14ac:dyDescent="0.25">
      <c r="A988" s="2" t="s">
        <v>1061</v>
      </c>
      <c r="B988" s="3">
        <v>45848</v>
      </c>
      <c r="C988" s="2" t="s">
        <v>34</v>
      </c>
      <c r="D988" s="2" t="s">
        <v>35</v>
      </c>
      <c r="E988" s="2" t="s">
        <v>36</v>
      </c>
      <c r="F988" s="2" t="s">
        <v>14</v>
      </c>
      <c r="G988" s="2" t="s">
        <v>37</v>
      </c>
      <c r="H988" s="2">
        <v>2</v>
      </c>
      <c r="I988" s="4">
        <v>166.65</v>
      </c>
      <c r="J988" s="2" t="s">
        <v>16</v>
      </c>
      <c r="K988">
        <f>H988*I988</f>
        <v>333.3</v>
      </c>
      <c r="L988" t="str">
        <f t="shared" si="30"/>
        <v>Jul</v>
      </c>
      <c r="M988">
        <f t="shared" si="31"/>
        <v>7</v>
      </c>
    </row>
    <row r="989" spans="1:13" x14ac:dyDescent="0.25">
      <c r="A989" s="2" t="s">
        <v>1062</v>
      </c>
      <c r="B989" s="3">
        <v>45848</v>
      </c>
      <c r="C989" s="2" t="s">
        <v>124</v>
      </c>
      <c r="D989" s="2" t="s">
        <v>18</v>
      </c>
      <c r="E989" s="2" t="s">
        <v>19</v>
      </c>
      <c r="F989" s="2" t="s">
        <v>14</v>
      </c>
      <c r="G989" s="2" t="s">
        <v>125</v>
      </c>
      <c r="H989" s="2">
        <v>3</v>
      </c>
      <c r="I989" s="4">
        <v>45.45</v>
      </c>
      <c r="J989" s="2" t="s">
        <v>31</v>
      </c>
      <c r="K989">
        <f>H989*I989</f>
        <v>136.35000000000002</v>
      </c>
      <c r="L989" t="str">
        <f t="shared" si="30"/>
        <v>Jul</v>
      </c>
      <c r="M989">
        <f t="shared" si="31"/>
        <v>7</v>
      </c>
    </row>
    <row r="990" spans="1:13" x14ac:dyDescent="0.25">
      <c r="A990" s="2" t="s">
        <v>1063</v>
      </c>
      <c r="B990" s="3">
        <v>45849</v>
      </c>
      <c r="C990" s="2" t="s">
        <v>11</v>
      </c>
      <c r="D990" s="2" t="s">
        <v>12</v>
      </c>
      <c r="E990" s="2" t="s">
        <v>13</v>
      </c>
      <c r="F990" s="2" t="s">
        <v>14</v>
      </c>
      <c r="G990" s="2" t="s">
        <v>15</v>
      </c>
      <c r="H990" s="2">
        <v>1</v>
      </c>
      <c r="I990" s="4">
        <v>32.32</v>
      </c>
      <c r="J990" s="2" t="s">
        <v>31</v>
      </c>
      <c r="K990">
        <f>H990*I990</f>
        <v>32.32</v>
      </c>
      <c r="L990" t="str">
        <f t="shared" si="30"/>
        <v>Jul</v>
      </c>
      <c r="M990">
        <f t="shared" si="31"/>
        <v>7</v>
      </c>
    </row>
    <row r="991" spans="1:13" x14ac:dyDescent="0.25">
      <c r="A991" s="2" t="s">
        <v>1064</v>
      </c>
      <c r="B991" s="3">
        <v>45849</v>
      </c>
      <c r="C991" s="2" t="s">
        <v>11</v>
      </c>
      <c r="D991" s="2" t="s">
        <v>12</v>
      </c>
      <c r="E991" s="2" t="s">
        <v>13</v>
      </c>
      <c r="F991" s="2" t="s">
        <v>14</v>
      </c>
      <c r="G991" s="2" t="s">
        <v>15</v>
      </c>
      <c r="H991" s="2">
        <v>2</v>
      </c>
      <c r="I991" s="4">
        <v>32</v>
      </c>
      <c r="J991" s="2" t="s">
        <v>31</v>
      </c>
      <c r="K991">
        <f>H991*I991</f>
        <v>64</v>
      </c>
      <c r="L991" t="str">
        <f t="shared" si="30"/>
        <v>Jul</v>
      </c>
      <c r="M991">
        <f t="shared" si="31"/>
        <v>7</v>
      </c>
    </row>
    <row r="992" spans="1:13" x14ac:dyDescent="0.25">
      <c r="A992" s="2" t="s">
        <v>1065</v>
      </c>
      <c r="B992" s="3">
        <v>45849</v>
      </c>
      <c r="C992" s="2" t="s">
        <v>11</v>
      </c>
      <c r="D992" s="2" t="s">
        <v>12</v>
      </c>
      <c r="E992" s="2" t="s">
        <v>13</v>
      </c>
      <c r="F992" s="2" t="s">
        <v>14</v>
      </c>
      <c r="G992" s="2" t="s">
        <v>15</v>
      </c>
      <c r="H992" s="2">
        <v>1</v>
      </c>
      <c r="I992" s="4">
        <v>32.32</v>
      </c>
      <c r="J992" s="2" t="s">
        <v>16</v>
      </c>
      <c r="K992">
        <f>H992*I992</f>
        <v>32.32</v>
      </c>
      <c r="L992" t="str">
        <f t="shared" si="30"/>
        <v>Jul</v>
      </c>
      <c r="M992">
        <f t="shared" si="31"/>
        <v>7</v>
      </c>
    </row>
    <row r="993" spans="1:13" x14ac:dyDescent="0.25">
      <c r="A993" s="2" t="s">
        <v>1066</v>
      </c>
      <c r="B993" s="3">
        <v>45849</v>
      </c>
      <c r="C993" s="2" t="s">
        <v>11</v>
      </c>
      <c r="D993" s="2" t="s">
        <v>12</v>
      </c>
      <c r="E993" s="2" t="s">
        <v>13</v>
      </c>
      <c r="F993" s="2" t="s">
        <v>14</v>
      </c>
      <c r="G993" s="2" t="s">
        <v>15</v>
      </c>
      <c r="H993" s="2">
        <v>5</v>
      </c>
      <c r="I993" s="4">
        <v>32.32</v>
      </c>
      <c r="J993" s="2" t="s">
        <v>31</v>
      </c>
      <c r="K993">
        <f>H993*I993</f>
        <v>161.6</v>
      </c>
      <c r="L993" t="str">
        <f t="shared" si="30"/>
        <v>Jul</v>
      </c>
      <c r="M993">
        <f t="shared" si="31"/>
        <v>7</v>
      </c>
    </row>
    <row r="994" spans="1:13" x14ac:dyDescent="0.25">
      <c r="A994" s="2" t="s">
        <v>1067</v>
      </c>
      <c r="B994" s="3">
        <v>45849</v>
      </c>
      <c r="C994" s="2" t="s">
        <v>18</v>
      </c>
      <c r="D994" s="2" t="s">
        <v>18</v>
      </c>
      <c r="E994" s="2" t="s">
        <v>19</v>
      </c>
      <c r="F994" s="2" t="s">
        <v>20</v>
      </c>
      <c r="G994" s="2" t="s">
        <v>21</v>
      </c>
      <c r="H994" s="2">
        <v>6</v>
      </c>
      <c r="I994" s="4">
        <v>15.15</v>
      </c>
      <c r="J994" s="2" t="s">
        <v>22</v>
      </c>
      <c r="K994">
        <f>H994*I994</f>
        <v>90.9</v>
      </c>
      <c r="L994" t="str">
        <f t="shared" si="30"/>
        <v>Jul</v>
      </c>
      <c r="M994">
        <f t="shared" si="31"/>
        <v>7</v>
      </c>
    </row>
    <row r="995" spans="1:13" x14ac:dyDescent="0.25">
      <c r="A995" s="2" t="s">
        <v>1068</v>
      </c>
      <c r="B995" s="3">
        <v>45849</v>
      </c>
      <c r="C995" s="2" t="s">
        <v>109</v>
      </c>
      <c r="D995" s="2" t="s">
        <v>109</v>
      </c>
      <c r="E995" s="2" t="s">
        <v>13</v>
      </c>
      <c r="F995" s="2" t="s">
        <v>20</v>
      </c>
      <c r="G995" s="2" t="s">
        <v>21</v>
      </c>
      <c r="H995" s="2">
        <v>2</v>
      </c>
      <c r="I995" s="4">
        <v>20.2</v>
      </c>
      <c r="J995" s="2" t="s">
        <v>16</v>
      </c>
      <c r="K995">
        <f>H995*I995</f>
        <v>40.4</v>
      </c>
      <c r="L995" t="str">
        <f t="shared" si="30"/>
        <v>Jul</v>
      </c>
      <c r="M995">
        <f t="shared" si="31"/>
        <v>7</v>
      </c>
    </row>
    <row r="996" spans="1:13" x14ac:dyDescent="0.25">
      <c r="A996" s="2" t="s">
        <v>1069</v>
      </c>
      <c r="B996" s="3">
        <v>45850</v>
      </c>
      <c r="C996" s="2" t="s">
        <v>86</v>
      </c>
      <c r="D996" s="2" t="s">
        <v>48</v>
      </c>
      <c r="E996" s="2" t="s">
        <v>49</v>
      </c>
      <c r="F996" s="2" t="s">
        <v>14</v>
      </c>
      <c r="G996" s="2" t="s">
        <v>87</v>
      </c>
      <c r="H996" s="2">
        <v>4</v>
      </c>
      <c r="I996" s="4">
        <v>126.25</v>
      </c>
      <c r="J996" s="2" t="s">
        <v>16</v>
      </c>
      <c r="K996">
        <f>H996*I996</f>
        <v>505</v>
      </c>
      <c r="L996" t="str">
        <f t="shared" si="30"/>
        <v>Jul</v>
      </c>
      <c r="M996">
        <f t="shared" si="31"/>
        <v>7</v>
      </c>
    </row>
    <row r="997" spans="1:13" x14ac:dyDescent="0.25">
      <c r="A997" s="2" t="s">
        <v>1070</v>
      </c>
      <c r="B997" s="3">
        <v>45850</v>
      </c>
      <c r="C997" s="2" t="s">
        <v>75</v>
      </c>
      <c r="D997" s="2" t="s">
        <v>75</v>
      </c>
      <c r="E997" s="2" t="s">
        <v>76</v>
      </c>
      <c r="F997" s="2" t="s">
        <v>20</v>
      </c>
      <c r="G997" s="2" t="s">
        <v>21</v>
      </c>
      <c r="H997" s="2">
        <v>6</v>
      </c>
      <c r="I997" s="4">
        <v>12.12</v>
      </c>
      <c r="J997" s="2" t="s">
        <v>16</v>
      </c>
      <c r="K997">
        <f>H997*I997</f>
        <v>72.72</v>
      </c>
      <c r="L997" t="str">
        <f t="shared" si="30"/>
        <v>Jul</v>
      </c>
      <c r="M997">
        <f t="shared" si="31"/>
        <v>7</v>
      </c>
    </row>
    <row r="998" spans="1:13" x14ac:dyDescent="0.25">
      <c r="A998" s="2" t="s">
        <v>1071</v>
      </c>
      <c r="B998" s="3">
        <v>45850</v>
      </c>
      <c r="C998" s="2" t="s">
        <v>75</v>
      </c>
      <c r="D998" s="2" t="s">
        <v>75</v>
      </c>
      <c r="E998" s="2" t="s">
        <v>76</v>
      </c>
      <c r="F998" s="2" t="s">
        <v>20</v>
      </c>
      <c r="G998" s="2" t="s">
        <v>21</v>
      </c>
      <c r="H998" s="2">
        <v>1</v>
      </c>
      <c r="I998" s="4">
        <v>12.12</v>
      </c>
      <c r="J998" s="2" t="s">
        <v>22</v>
      </c>
      <c r="K998">
        <f>H998*I998</f>
        <v>12.12</v>
      </c>
      <c r="L998" t="str">
        <f t="shared" si="30"/>
        <v>Jul</v>
      </c>
      <c r="M998">
        <f t="shared" si="31"/>
        <v>7</v>
      </c>
    </row>
    <row r="999" spans="1:13" x14ac:dyDescent="0.25">
      <c r="A999" s="2" t="s">
        <v>1072</v>
      </c>
      <c r="B999" s="3">
        <v>45850</v>
      </c>
      <c r="C999" s="2" t="s">
        <v>79</v>
      </c>
      <c r="D999" s="2" t="s">
        <v>80</v>
      </c>
      <c r="E999" s="2" t="s">
        <v>26</v>
      </c>
      <c r="F999" s="2" t="s">
        <v>14</v>
      </c>
      <c r="G999" s="2" t="s">
        <v>81</v>
      </c>
      <c r="H999" s="2">
        <v>2</v>
      </c>
      <c r="I999" s="4">
        <v>152</v>
      </c>
      <c r="J999" s="2" t="s">
        <v>16</v>
      </c>
      <c r="K999">
        <f>H999*I999</f>
        <v>304</v>
      </c>
      <c r="L999" t="str">
        <f t="shared" si="30"/>
        <v>Jul</v>
      </c>
      <c r="M999">
        <f t="shared" si="31"/>
        <v>7</v>
      </c>
    </row>
    <row r="1000" spans="1:13" x14ac:dyDescent="0.25">
      <c r="A1000" s="2" t="s">
        <v>1073</v>
      </c>
      <c r="B1000" s="3">
        <v>45850</v>
      </c>
      <c r="C1000" s="2" t="s">
        <v>25</v>
      </c>
      <c r="D1000" s="2" t="s">
        <v>25</v>
      </c>
      <c r="E1000" s="2" t="s">
        <v>26</v>
      </c>
      <c r="F1000" s="2" t="s">
        <v>20</v>
      </c>
      <c r="G1000" s="2" t="s">
        <v>21</v>
      </c>
      <c r="H1000" s="2">
        <v>4</v>
      </c>
      <c r="I1000" s="4">
        <v>20.2</v>
      </c>
      <c r="J1000" s="2" t="s">
        <v>16</v>
      </c>
      <c r="K1000">
        <f>H1000*I1000</f>
        <v>80.8</v>
      </c>
      <c r="L1000" t="str">
        <f t="shared" si="30"/>
        <v>Jul</v>
      </c>
      <c r="M1000">
        <f t="shared" si="31"/>
        <v>7</v>
      </c>
    </row>
    <row r="1001" spans="1:13" x14ac:dyDescent="0.25">
      <c r="A1001" s="2" t="s">
        <v>1074</v>
      </c>
      <c r="B1001" s="3">
        <v>45850</v>
      </c>
      <c r="C1001" s="2" t="s">
        <v>61</v>
      </c>
      <c r="D1001" s="2" t="s">
        <v>61</v>
      </c>
      <c r="E1001" s="2" t="s">
        <v>62</v>
      </c>
      <c r="F1001" s="2" t="s">
        <v>20</v>
      </c>
      <c r="G1001" s="2" t="s">
        <v>21</v>
      </c>
      <c r="H1001" s="2">
        <v>3</v>
      </c>
      <c r="I1001" s="4">
        <v>8.08</v>
      </c>
      <c r="J1001" s="2" t="s">
        <v>22</v>
      </c>
      <c r="K1001">
        <f>H1001*I1001</f>
        <v>24.240000000000002</v>
      </c>
      <c r="L1001" t="str">
        <f t="shared" si="30"/>
        <v>Jul</v>
      </c>
      <c r="M1001">
        <f t="shared" si="31"/>
        <v>7</v>
      </c>
    </row>
    <row r="1002" spans="1:13" x14ac:dyDescent="0.25">
      <c r="A1002" s="2" t="s">
        <v>1075</v>
      </c>
      <c r="B1002" s="3">
        <v>45851</v>
      </c>
      <c r="C1002" s="2" t="s">
        <v>11</v>
      </c>
      <c r="D1002" s="2" t="s">
        <v>12</v>
      </c>
      <c r="E1002" s="2" t="s">
        <v>13</v>
      </c>
      <c r="F1002" s="2" t="s">
        <v>14</v>
      </c>
      <c r="G1002" s="2" t="s">
        <v>15</v>
      </c>
      <c r="H1002" s="2">
        <v>1</v>
      </c>
      <c r="I1002" s="4">
        <v>32.32</v>
      </c>
      <c r="J1002" s="2" t="s">
        <v>38</v>
      </c>
      <c r="K1002">
        <f>H1002*I1002</f>
        <v>32.32</v>
      </c>
      <c r="L1002" t="str">
        <f t="shared" si="30"/>
        <v>Jul</v>
      </c>
      <c r="M1002">
        <f t="shared" si="31"/>
        <v>7</v>
      </c>
    </row>
    <row r="1003" spans="1:13" x14ac:dyDescent="0.25">
      <c r="A1003" s="2" t="s">
        <v>1076</v>
      </c>
      <c r="B1003" s="3">
        <v>45851</v>
      </c>
      <c r="C1003" s="2" t="s">
        <v>11</v>
      </c>
      <c r="D1003" s="2" t="s">
        <v>12</v>
      </c>
      <c r="E1003" s="2" t="s">
        <v>13</v>
      </c>
      <c r="F1003" s="2" t="s">
        <v>14</v>
      </c>
      <c r="G1003" s="2" t="s">
        <v>15</v>
      </c>
      <c r="H1003" s="2">
        <v>5</v>
      </c>
      <c r="I1003" s="4">
        <v>32</v>
      </c>
      <c r="J1003" s="2" t="s">
        <v>31</v>
      </c>
      <c r="K1003">
        <f>H1003*I1003</f>
        <v>160</v>
      </c>
      <c r="L1003" t="str">
        <f t="shared" si="30"/>
        <v>Jul</v>
      </c>
      <c r="M1003">
        <f t="shared" si="31"/>
        <v>7</v>
      </c>
    </row>
    <row r="1004" spans="1:13" x14ac:dyDescent="0.25">
      <c r="A1004" s="2" t="s">
        <v>1077</v>
      </c>
      <c r="B1004" s="3">
        <v>45851</v>
      </c>
      <c r="C1004" s="2" t="s">
        <v>67</v>
      </c>
      <c r="D1004" s="2" t="s">
        <v>68</v>
      </c>
      <c r="E1004" s="2" t="s">
        <v>49</v>
      </c>
      <c r="F1004" s="2" t="s">
        <v>14</v>
      </c>
      <c r="G1004" s="2" t="s">
        <v>69</v>
      </c>
      <c r="H1004" s="2">
        <v>5</v>
      </c>
      <c r="I1004" s="4">
        <v>207.05</v>
      </c>
      <c r="J1004" s="2" t="s">
        <v>38</v>
      </c>
      <c r="K1004">
        <f>H1004*I1004</f>
        <v>1035.25</v>
      </c>
      <c r="L1004" t="str">
        <f t="shared" si="30"/>
        <v>Jul</v>
      </c>
      <c r="M1004">
        <f t="shared" si="31"/>
        <v>7</v>
      </c>
    </row>
    <row r="1005" spans="1:13" x14ac:dyDescent="0.25">
      <c r="A1005" s="2" t="s">
        <v>1078</v>
      </c>
      <c r="B1005" s="3">
        <v>45851</v>
      </c>
      <c r="C1005" s="2" t="s">
        <v>40</v>
      </c>
      <c r="D1005" s="2" t="s">
        <v>40</v>
      </c>
      <c r="E1005" s="2" t="s">
        <v>19</v>
      </c>
      <c r="F1005" s="2" t="s">
        <v>20</v>
      </c>
      <c r="G1005" s="2" t="s">
        <v>21</v>
      </c>
      <c r="H1005" s="2">
        <v>6</v>
      </c>
      <c r="I1005" s="4">
        <v>46.46</v>
      </c>
      <c r="J1005" s="2" t="s">
        <v>16</v>
      </c>
      <c r="K1005">
        <f>H1005*I1005</f>
        <v>278.76</v>
      </c>
      <c r="L1005" t="str">
        <f t="shared" si="30"/>
        <v>Jul</v>
      </c>
      <c r="M1005">
        <f t="shared" si="31"/>
        <v>7</v>
      </c>
    </row>
    <row r="1006" spans="1:13" x14ac:dyDescent="0.25">
      <c r="A1006" s="2" t="s">
        <v>1079</v>
      </c>
      <c r="B1006" s="3">
        <v>45852</v>
      </c>
      <c r="C1006" s="2" t="s">
        <v>11</v>
      </c>
      <c r="D1006" s="2" t="s">
        <v>12</v>
      </c>
      <c r="E1006" s="2" t="s">
        <v>13</v>
      </c>
      <c r="F1006" s="2" t="s">
        <v>14</v>
      </c>
      <c r="G1006" s="2" t="s">
        <v>15</v>
      </c>
      <c r="H1006" s="2">
        <v>1</v>
      </c>
      <c r="I1006" s="4">
        <v>32.32</v>
      </c>
      <c r="J1006" s="2" t="s">
        <v>16</v>
      </c>
      <c r="K1006">
        <f>H1006*I1006</f>
        <v>32.32</v>
      </c>
      <c r="L1006" t="str">
        <f t="shared" si="30"/>
        <v>Jul</v>
      </c>
      <c r="M1006">
        <f t="shared" si="31"/>
        <v>7</v>
      </c>
    </row>
    <row r="1007" spans="1:13" x14ac:dyDescent="0.25">
      <c r="A1007" s="2" t="s">
        <v>1080</v>
      </c>
      <c r="B1007" s="3">
        <v>45852</v>
      </c>
      <c r="C1007" s="2" t="s">
        <v>12</v>
      </c>
      <c r="D1007" s="2" t="s">
        <v>12</v>
      </c>
      <c r="E1007" s="2" t="s">
        <v>13</v>
      </c>
      <c r="F1007" s="2" t="s">
        <v>20</v>
      </c>
      <c r="G1007" s="2" t="s">
        <v>21</v>
      </c>
      <c r="H1007" s="2">
        <v>1</v>
      </c>
      <c r="I1007" s="4">
        <v>14.14</v>
      </c>
      <c r="J1007" s="2" t="s">
        <v>22</v>
      </c>
      <c r="K1007">
        <f>H1007*I1007</f>
        <v>14.14</v>
      </c>
      <c r="L1007" t="str">
        <f t="shared" si="30"/>
        <v>Jul</v>
      </c>
      <c r="M1007">
        <f t="shared" si="31"/>
        <v>7</v>
      </c>
    </row>
    <row r="1008" spans="1:13" x14ac:dyDescent="0.25">
      <c r="A1008" s="2" t="s">
        <v>1081</v>
      </c>
      <c r="B1008" s="3">
        <v>45852</v>
      </c>
      <c r="C1008" s="2" t="s">
        <v>86</v>
      </c>
      <c r="D1008" s="2" t="s">
        <v>48</v>
      </c>
      <c r="E1008" s="2" t="s">
        <v>49</v>
      </c>
      <c r="F1008" s="2" t="s">
        <v>14</v>
      </c>
      <c r="G1008" s="2" t="s">
        <v>87</v>
      </c>
      <c r="H1008" s="2">
        <v>5</v>
      </c>
      <c r="I1008" s="4">
        <v>126.25</v>
      </c>
      <c r="J1008" s="2" t="s">
        <v>16</v>
      </c>
      <c r="K1008">
        <f>H1008*I1008</f>
        <v>631.25</v>
      </c>
      <c r="L1008" t="str">
        <f t="shared" si="30"/>
        <v>Jul</v>
      </c>
      <c r="M1008">
        <f t="shared" si="31"/>
        <v>7</v>
      </c>
    </row>
    <row r="1009" spans="1:13" x14ac:dyDescent="0.25">
      <c r="A1009" s="2" t="s">
        <v>1082</v>
      </c>
      <c r="B1009" s="3">
        <v>45852</v>
      </c>
      <c r="C1009" s="2" t="s">
        <v>48</v>
      </c>
      <c r="D1009" s="2" t="s">
        <v>48</v>
      </c>
      <c r="E1009" s="2" t="s">
        <v>49</v>
      </c>
      <c r="F1009" s="2" t="s">
        <v>20</v>
      </c>
      <c r="G1009" s="2" t="s">
        <v>21</v>
      </c>
      <c r="H1009" s="2">
        <v>2</v>
      </c>
      <c r="I1009" s="4">
        <v>55.55</v>
      </c>
      <c r="J1009" s="2" t="s">
        <v>16</v>
      </c>
      <c r="K1009">
        <f>H1009*I1009</f>
        <v>111.1</v>
      </c>
      <c r="L1009" t="str">
        <f t="shared" si="30"/>
        <v>Jul</v>
      </c>
      <c r="M1009">
        <f t="shared" si="31"/>
        <v>7</v>
      </c>
    </row>
    <row r="1010" spans="1:13" x14ac:dyDescent="0.25">
      <c r="A1010" s="2" t="s">
        <v>1083</v>
      </c>
      <c r="B1010" s="3">
        <v>45852</v>
      </c>
      <c r="C1010" s="2" t="s">
        <v>101</v>
      </c>
      <c r="D1010" s="2" t="s">
        <v>102</v>
      </c>
      <c r="E1010" s="2" t="s">
        <v>36</v>
      </c>
      <c r="F1010" s="2" t="s">
        <v>14</v>
      </c>
      <c r="G1010" s="2" t="s">
        <v>103</v>
      </c>
      <c r="H1010" s="2">
        <v>3</v>
      </c>
      <c r="I1010" s="4">
        <v>92.92</v>
      </c>
      <c r="J1010" s="2" t="s">
        <v>16</v>
      </c>
      <c r="K1010">
        <f>H1010*I1010</f>
        <v>278.76</v>
      </c>
      <c r="L1010" t="str">
        <f t="shared" si="30"/>
        <v>Jul</v>
      </c>
      <c r="M1010">
        <f t="shared" si="31"/>
        <v>7</v>
      </c>
    </row>
    <row r="1011" spans="1:13" x14ac:dyDescent="0.25">
      <c r="A1011" s="2" t="s">
        <v>1084</v>
      </c>
      <c r="B1011" s="3">
        <v>45852</v>
      </c>
      <c r="C1011" s="2" t="s">
        <v>124</v>
      </c>
      <c r="D1011" s="2" t="s">
        <v>18</v>
      </c>
      <c r="E1011" s="2" t="s">
        <v>19</v>
      </c>
      <c r="F1011" s="2" t="s">
        <v>14</v>
      </c>
      <c r="G1011" s="2" t="s">
        <v>125</v>
      </c>
      <c r="H1011" s="2">
        <v>3</v>
      </c>
      <c r="I1011" s="4">
        <v>45.45</v>
      </c>
      <c r="J1011" s="2" t="s">
        <v>38</v>
      </c>
      <c r="K1011">
        <f>H1011*I1011</f>
        <v>136.35000000000002</v>
      </c>
      <c r="L1011" t="str">
        <f t="shared" si="30"/>
        <v>Jul</v>
      </c>
      <c r="M1011">
        <f t="shared" si="31"/>
        <v>7</v>
      </c>
    </row>
    <row r="1012" spans="1:13" x14ac:dyDescent="0.25">
      <c r="A1012" s="2" t="s">
        <v>1085</v>
      </c>
      <c r="B1012" s="3">
        <v>45852</v>
      </c>
      <c r="C1012" s="2" t="s">
        <v>18</v>
      </c>
      <c r="D1012" s="2" t="s">
        <v>18</v>
      </c>
      <c r="E1012" s="2" t="s">
        <v>19</v>
      </c>
      <c r="F1012" s="2" t="s">
        <v>20</v>
      </c>
      <c r="G1012" s="2" t="s">
        <v>21</v>
      </c>
      <c r="H1012" s="2">
        <v>3</v>
      </c>
      <c r="I1012" s="4">
        <v>15</v>
      </c>
      <c r="J1012" s="2" t="s">
        <v>16</v>
      </c>
      <c r="K1012">
        <f>H1012*I1012</f>
        <v>45</v>
      </c>
      <c r="L1012" t="str">
        <f t="shared" si="30"/>
        <v>Jul</v>
      </c>
      <c r="M1012">
        <f t="shared" si="31"/>
        <v>7</v>
      </c>
    </row>
    <row r="1013" spans="1:13" x14ac:dyDescent="0.25">
      <c r="A1013" s="2" t="s">
        <v>1086</v>
      </c>
      <c r="B1013" s="3">
        <v>45852</v>
      </c>
      <c r="C1013" s="2" t="s">
        <v>42</v>
      </c>
      <c r="D1013" s="2" t="s">
        <v>43</v>
      </c>
      <c r="E1013" s="2" t="s">
        <v>44</v>
      </c>
      <c r="F1013" s="2" t="s">
        <v>14</v>
      </c>
      <c r="G1013" s="2" t="s">
        <v>45</v>
      </c>
      <c r="H1013" s="2">
        <v>1</v>
      </c>
      <c r="I1013" s="4">
        <v>46.46</v>
      </c>
      <c r="J1013" s="2" t="s">
        <v>38</v>
      </c>
      <c r="K1013">
        <f>H1013*I1013</f>
        <v>46.46</v>
      </c>
      <c r="L1013" t="str">
        <f t="shared" si="30"/>
        <v>Jul</v>
      </c>
      <c r="M1013">
        <f t="shared" si="31"/>
        <v>7</v>
      </c>
    </row>
    <row r="1014" spans="1:13" x14ac:dyDescent="0.25">
      <c r="A1014" s="2" t="s">
        <v>1087</v>
      </c>
      <c r="B1014" s="3">
        <v>45853</v>
      </c>
      <c r="C1014" s="2" t="s">
        <v>11</v>
      </c>
      <c r="D1014" s="2" t="s">
        <v>12</v>
      </c>
      <c r="E1014" s="2" t="s">
        <v>13</v>
      </c>
      <c r="F1014" s="2" t="s">
        <v>14</v>
      </c>
      <c r="G1014" s="2" t="s">
        <v>15</v>
      </c>
      <c r="H1014" s="2">
        <v>4</v>
      </c>
      <c r="I1014" s="4">
        <v>32</v>
      </c>
      <c r="J1014" s="2" t="s">
        <v>16</v>
      </c>
      <c r="K1014">
        <f>H1014*I1014</f>
        <v>128</v>
      </c>
      <c r="L1014" t="str">
        <f t="shared" si="30"/>
        <v>Jul</v>
      </c>
      <c r="M1014">
        <f t="shared" si="31"/>
        <v>7</v>
      </c>
    </row>
    <row r="1015" spans="1:13" x14ac:dyDescent="0.25">
      <c r="A1015" s="2" t="s">
        <v>1088</v>
      </c>
      <c r="B1015" s="3">
        <v>45853</v>
      </c>
      <c r="C1015" s="2" t="s">
        <v>67</v>
      </c>
      <c r="D1015" s="2" t="s">
        <v>68</v>
      </c>
      <c r="E1015" s="2" t="s">
        <v>49</v>
      </c>
      <c r="F1015" s="2" t="s">
        <v>14</v>
      </c>
      <c r="G1015" s="2" t="s">
        <v>69</v>
      </c>
      <c r="H1015" s="2">
        <v>1</v>
      </c>
      <c r="I1015" s="4">
        <v>207.05</v>
      </c>
      <c r="J1015" s="2" t="s">
        <v>38</v>
      </c>
      <c r="K1015">
        <f>H1015*I1015</f>
        <v>207.05</v>
      </c>
      <c r="L1015" t="str">
        <f t="shared" si="30"/>
        <v>Jul</v>
      </c>
      <c r="M1015">
        <f t="shared" si="31"/>
        <v>7</v>
      </c>
    </row>
    <row r="1016" spans="1:13" x14ac:dyDescent="0.25">
      <c r="A1016" s="2" t="s">
        <v>1089</v>
      </c>
      <c r="B1016" s="3">
        <v>45853</v>
      </c>
      <c r="C1016" s="2" t="s">
        <v>75</v>
      </c>
      <c r="D1016" s="2" t="s">
        <v>75</v>
      </c>
      <c r="E1016" s="2" t="s">
        <v>76</v>
      </c>
      <c r="F1016" s="2" t="s">
        <v>20</v>
      </c>
      <c r="G1016" s="2" t="s">
        <v>21</v>
      </c>
      <c r="H1016" s="2">
        <v>1</v>
      </c>
      <c r="I1016" s="4">
        <v>12.12</v>
      </c>
      <c r="J1016" s="2" t="s">
        <v>16</v>
      </c>
      <c r="K1016">
        <f>H1016*I1016</f>
        <v>12.12</v>
      </c>
      <c r="L1016" t="str">
        <f t="shared" si="30"/>
        <v>Jul</v>
      </c>
      <c r="M1016">
        <f t="shared" si="31"/>
        <v>7</v>
      </c>
    </row>
    <row r="1017" spans="1:13" x14ac:dyDescent="0.25">
      <c r="A1017" s="2" t="s">
        <v>1090</v>
      </c>
      <c r="B1017" s="3">
        <v>45853</v>
      </c>
      <c r="C1017" s="2" t="s">
        <v>60</v>
      </c>
      <c r="D1017" s="2" t="s">
        <v>61</v>
      </c>
      <c r="E1017" s="2" t="s">
        <v>62</v>
      </c>
      <c r="F1017" s="2" t="s">
        <v>14</v>
      </c>
      <c r="G1017" s="2" t="s">
        <v>63</v>
      </c>
      <c r="H1017" s="2">
        <v>2</v>
      </c>
      <c r="I1017" s="4">
        <v>26.26</v>
      </c>
      <c r="J1017" s="2" t="s">
        <v>16</v>
      </c>
      <c r="K1017">
        <f>H1017*I1017</f>
        <v>52.52</v>
      </c>
      <c r="L1017" t="str">
        <f t="shared" si="30"/>
        <v>Jul</v>
      </c>
      <c r="M1017">
        <f t="shared" si="31"/>
        <v>7</v>
      </c>
    </row>
    <row r="1018" spans="1:13" x14ac:dyDescent="0.25">
      <c r="A1018" s="2" t="s">
        <v>1091</v>
      </c>
      <c r="B1018" s="3">
        <v>45853</v>
      </c>
      <c r="C1018" s="2" t="s">
        <v>52</v>
      </c>
      <c r="D1018" s="2" t="s">
        <v>30</v>
      </c>
      <c r="E1018" s="2" t="s">
        <v>13</v>
      </c>
      <c r="F1018" s="2" t="s">
        <v>14</v>
      </c>
      <c r="G1018" s="2" t="s">
        <v>53</v>
      </c>
      <c r="H1018" s="2">
        <v>1</v>
      </c>
      <c r="I1018" s="4">
        <v>42.42</v>
      </c>
      <c r="J1018" s="2" t="s">
        <v>16</v>
      </c>
      <c r="K1018">
        <f>H1018*I1018</f>
        <v>42.42</v>
      </c>
      <c r="L1018" t="str">
        <f t="shared" si="30"/>
        <v>Jul</v>
      </c>
      <c r="M1018">
        <f t="shared" si="31"/>
        <v>7</v>
      </c>
    </row>
    <row r="1019" spans="1:13" x14ac:dyDescent="0.25">
      <c r="A1019" s="2" t="s">
        <v>1092</v>
      </c>
      <c r="B1019" s="3">
        <v>45853</v>
      </c>
      <c r="C1019" s="2" t="s">
        <v>42</v>
      </c>
      <c r="D1019" s="2" t="s">
        <v>43</v>
      </c>
      <c r="E1019" s="2" t="s">
        <v>44</v>
      </c>
      <c r="F1019" s="2" t="s">
        <v>14</v>
      </c>
      <c r="G1019" s="2" t="s">
        <v>45</v>
      </c>
      <c r="H1019" s="2">
        <v>5</v>
      </c>
      <c r="I1019" s="4">
        <v>46</v>
      </c>
      <c r="J1019" s="2" t="s">
        <v>16</v>
      </c>
      <c r="K1019">
        <f>H1019*I1019</f>
        <v>230</v>
      </c>
      <c r="L1019" t="str">
        <f t="shared" si="30"/>
        <v>Jul</v>
      </c>
      <c r="M1019">
        <f t="shared" si="31"/>
        <v>7</v>
      </c>
    </row>
    <row r="1020" spans="1:13" x14ac:dyDescent="0.25">
      <c r="A1020" s="2" t="s">
        <v>1093</v>
      </c>
      <c r="B1020" s="3">
        <v>45853</v>
      </c>
      <c r="C1020" s="2" t="s">
        <v>42</v>
      </c>
      <c r="D1020" s="2" t="s">
        <v>43</v>
      </c>
      <c r="E1020" s="2" t="s">
        <v>44</v>
      </c>
      <c r="F1020" s="2" t="s">
        <v>14</v>
      </c>
      <c r="G1020" s="2" t="s">
        <v>45</v>
      </c>
      <c r="H1020" s="2">
        <v>3</v>
      </c>
      <c r="I1020" s="4">
        <v>46</v>
      </c>
      <c r="J1020" s="2" t="s">
        <v>16</v>
      </c>
      <c r="K1020">
        <f>H1020*I1020</f>
        <v>138</v>
      </c>
      <c r="L1020" t="str">
        <f t="shared" si="30"/>
        <v>Jul</v>
      </c>
      <c r="M1020">
        <f t="shared" si="31"/>
        <v>7</v>
      </c>
    </row>
    <row r="1021" spans="1:13" x14ac:dyDescent="0.25">
      <c r="A1021" s="2" t="s">
        <v>1094</v>
      </c>
      <c r="B1021" s="3">
        <v>45854</v>
      </c>
      <c r="C1021" s="2" t="s">
        <v>11</v>
      </c>
      <c r="D1021" s="2" t="s">
        <v>12</v>
      </c>
      <c r="E1021" s="2" t="s">
        <v>13</v>
      </c>
      <c r="F1021" s="2" t="s">
        <v>14</v>
      </c>
      <c r="G1021" s="2" t="s">
        <v>15</v>
      </c>
      <c r="H1021" s="2">
        <v>4</v>
      </c>
      <c r="I1021" s="4">
        <v>32.32</v>
      </c>
      <c r="J1021" s="2" t="s">
        <v>38</v>
      </c>
      <c r="K1021">
        <f>H1021*I1021</f>
        <v>129.28</v>
      </c>
      <c r="L1021" t="str">
        <f t="shared" si="30"/>
        <v>Jul</v>
      </c>
      <c r="M1021">
        <f t="shared" si="31"/>
        <v>7</v>
      </c>
    </row>
    <row r="1022" spans="1:13" x14ac:dyDescent="0.25">
      <c r="A1022" s="2" t="s">
        <v>1095</v>
      </c>
      <c r="B1022" s="3">
        <v>45854</v>
      </c>
      <c r="C1022" s="2" t="s">
        <v>86</v>
      </c>
      <c r="D1022" s="2" t="s">
        <v>48</v>
      </c>
      <c r="E1022" s="2" t="s">
        <v>49</v>
      </c>
      <c r="F1022" s="2" t="s">
        <v>14</v>
      </c>
      <c r="G1022" s="2" t="s">
        <v>87</v>
      </c>
      <c r="H1022" s="2">
        <v>2</v>
      </c>
      <c r="I1022" s="4">
        <v>125</v>
      </c>
      <c r="J1022" s="2" t="s">
        <v>16</v>
      </c>
      <c r="K1022">
        <f>H1022*I1022</f>
        <v>250</v>
      </c>
      <c r="L1022" t="str">
        <f t="shared" si="30"/>
        <v>Jul</v>
      </c>
      <c r="M1022">
        <f t="shared" si="31"/>
        <v>7</v>
      </c>
    </row>
    <row r="1023" spans="1:13" x14ac:dyDescent="0.25">
      <c r="A1023" s="2" t="s">
        <v>1096</v>
      </c>
      <c r="B1023" s="3">
        <v>45854</v>
      </c>
      <c r="C1023" s="2" t="s">
        <v>35</v>
      </c>
      <c r="D1023" s="2" t="s">
        <v>35</v>
      </c>
      <c r="E1023" s="2" t="s">
        <v>36</v>
      </c>
      <c r="F1023" s="2" t="s">
        <v>20</v>
      </c>
      <c r="G1023" s="2" t="s">
        <v>21</v>
      </c>
      <c r="H1023" s="2">
        <v>2</v>
      </c>
      <c r="I1023" s="4">
        <v>58.58</v>
      </c>
      <c r="J1023" s="2" t="s">
        <v>22</v>
      </c>
      <c r="K1023">
        <f>H1023*I1023</f>
        <v>117.16</v>
      </c>
      <c r="L1023" t="str">
        <f t="shared" si="30"/>
        <v>Jul</v>
      </c>
      <c r="M1023">
        <f t="shared" si="31"/>
        <v>7</v>
      </c>
    </row>
    <row r="1024" spans="1:13" x14ac:dyDescent="0.25">
      <c r="A1024" s="2" t="s">
        <v>1097</v>
      </c>
      <c r="B1024" s="3">
        <v>45855</v>
      </c>
      <c r="C1024" s="2" t="s">
        <v>74</v>
      </c>
      <c r="D1024" s="2" t="s">
        <v>75</v>
      </c>
      <c r="E1024" s="2" t="s">
        <v>76</v>
      </c>
      <c r="F1024" s="2" t="s">
        <v>14</v>
      </c>
      <c r="G1024" s="2" t="s">
        <v>77</v>
      </c>
      <c r="H1024" s="2">
        <v>1</v>
      </c>
      <c r="I1024" s="4">
        <v>32.32</v>
      </c>
      <c r="J1024" s="2" t="s">
        <v>22</v>
      </c>
      <c r="K1024">
        <f>H1024*I1024</f>
        <v>32.32</v>
      </c>
      <c r="L1024" t="str">
        <f t="shared" si="30"/>
        <v>Jul</v>
      </c>
      <c r="M1024">
        <f t="shared" si="31"/>
        <v>7</v>
      </c>
    </row>
    <row r="1025" spans="1:13" x14ac:dyDescent="0.25">
      <c r="A1025" s="2" t="s">
        <v>1098</v>
      </c>
      <c r="B1025" s="3">
        <v>45855</v>
      </c>
      <c r="C1025" s="2" t="s">
        <v>119</v>
      </c>
      <c r="D1025" s="2" t="s">
        <v>120</v>
      </c>
      <c r="E1025" s="2" t="s">
        <v>76</v>
      </c>
      <c r="F1025" s="2" t="s">
        <v>14</v>
      </c>
      <c r="G1025" s="2" t="s">
        <v>121</v>
      </c>
      <c r="H1025" s="2">
        <v>2</v>
      </c>
      <c r="I1025" s="4">
        <v>190</v>
      </c>
      <c r="J1025" s="2" t="s">
        <v>16</v>
      </c>
      <c r="K1025">
        <f>H1025*I1025</f>
        <v>380</v>
      </c>
      <c r="L1025" t="str">
        <f t="shared" si="30"/>
        <v>Jul</v>
      </c>
      <c r="M1025">
        <f t="shared" si="31"/>
        <v>7</v>
      </c>
    </row>
    <row r="1026" spans="1:13" x14ac:dyDescent="0.25">
      <c r="A1026" s="2" t="s">
        <v>1099</v>
      </c>
      <c r="B1026" s="3">
        <v>45855</v>
      </c>
      <c r="C1026" s="2" t="s">
        <v>102</v>
      </c>
      <c r="D1026" s="2" t="s">
        <v>102</v>
      </c>
      <c r="E1026" s="2" t="s">
        <v>36</v>
      </c>
      <c r="F1026" s="2" t="s">
        <v>20</v>
      </c>
      <c r="G1026" s="2" t="s">
        <v>21</v>
      </c>
      <c r="H1026" s="2">
        <v>1</v>
      </c>
      <c r="I1026" s="4">
        <v>35.35</v>
      </c>
      <c r="J1026" s="2" t="s">
        <v>16</v>
      </c>
      <c r="K1026">
        <f>H1026*I1026</f>
        <v>35.35</v>
      </c>
      <c r="L1026" t="str">
        <f t="shared" si="30"/>
        <v>Jul</v>
      </c>
      <c r="M1026">
        <f t="shared" si="31"/>
        <v>7</v>
      </c>
    </row>
    <row r="1027" spans="1:13" x14ac:dyDescent="0.25">
      <c r="A1027" s="2" t="s">
        <v>1100</v>
      </c>
      <c r="B1027" s="3">
        <v>45855</v>
      </c>
      <c r="C1027" s="2" t="s">
        <v>24</v>
      </c>
      <c r="D1027" s="2" t="s">
        <v>25</v>
      </c>
      <c r="E1027" s="2" t="s">
        <v>26</v>
      </c>
      <c r="F1027" s="2" t="s">
        <v>14</v>
      </c>
      <c r="G1027" s="2" t="s">
        <v>27</v>
      </c>
      <c r="H1027" s="2">
        <v>1</v>
      </c>
      <c r="I1027" s="4">
        <v>58.58</v>
      </c>
      <c r="J1027" s="2" t="s">
        <v>31</v>
      </c>
      <c r="K1027">
        <f>H1027*I1027</f>
        <v>58.58</v>
      </c>
      <c r="L1027" t="str">
        <f t="shared" ref="L1027:L1090" si="32">TEXT(B1027,"mmm")</f>
        <v>Jul</v>
      </c>
      <c r="M1027">
        <f t="shared" ref="M1027:M1090" si="33">MONTH(B1027)</f>
        <v>7</v>
      </c>
    </row>
    <row r="1028" spans="1:13" x14ac:dyDescent="0.25">
      <c r="A1028" s="2" t="s">
        <v>1101</v>
      </c>
      <c r="B1028" s="3">
        <v>45855</v>
      </c>
      <c r="C1028" s="2" t="s">
        <v>30</v>
      </c>
      <c r="D1028" s="2" t="s">
        <v>30</v>
      </c>
      <c r="E1028" s="2" t="s">
        <v>13</v>
      </c>
      <c r="F1028" s="2" t="s">
        <v>20</v>
      </c>
      <c r="G1028" s="2" t="s">
        <v>21</v>
      </c>
      <c r="H1028" s="2">
        <v>1</v>
      </c>
      <c r="I1028" s="4">
        <v>15.15</v>
      </c>
      <c r="J1028" s="2" t="s">
        <v>22</v>
      </c>
      <c r="K1028">
        <f>H1028*I1028</f>
        <v>15.15</v>
      </c>
      <c r="L1028" t="str">
        <f t="shared" si="32"/>
        <v>Jul</v>
      </c>
      <c r="M1028">
        <f t="shared" si="33"/>
        <v>7</v>
      </c>
    </row>
    <row r="1029" spans="1:13" x14ac:dyDescent="0.25">
      <c r="A1029" s="2" t="s">
        <v>1102</v>
      </c>
      <c r="B1029" s="3">
        <v>45856</v>
      </c>
      <c r="C1029" s="2" t="s">
        <v>11</v>
      </c>
      <c r="D1029" s="2" t="s">
        <v>12</v>
      </c>
      <c r="E1029" s="2" t="s">
        <v>13</v>
      </c>
      <c r="F1029" s="2" t="s">
        <v>14</v>
      </c>
      <c r="G1029" s="2" t="s">
        <v>15</v>
      </c>
      <c r="H1029" s="2">
        <v>2</v>
      </c>
      <c r="I1029" s="4">
        <v>32.32</v>
      </c>
      <c r="J1029" s="2" t="s">
        <v>16</v>
      </c>
      <c r="K1029">
        <f>H1029*I1029</f>
        <v>64.64</v>
      </c>
      <c r="L1029" t="str">
        <f t="shared" si="32"/>
        <v>Jul</v>
      </c>
      <c r="M1029">
        <f t="shared" si="33"/>
        <v>7</v>
      </c>
    </row>
    <row r="1030" spans="1:13" x14ac:dyDescent="0.25">
      <c r="A1030" s="2" t="s">
        <v>1103</v>
      </c>
      <c r="B1030" s="3">
        <v>45856</v>
      </c>
      <c r="C1030" s="2" t="s">
        <v>12</v>
      </c>
      <c r="D1030" s="2" t="s">
        <v>12</v>
      </c>
      <c r="E1030" s="2" t="s">
        <v>13</v>
      </c>
      <c r="F1030" s="2" t="s">
        <v>20</v>
      </c>
      <c r="G1030" s="2" t="s">
        <v>21</v>
      </c>
      <c r="H1030" s="2">
        <v>4</v>
      </c>
      <c r="I1030" s="4">
        <v>14</v>
      </c>
      <c r="J1030" s="2" t="s">
        <v>16</v>
      </c>
      <c r="K1030">
        <f>H1030*I1030</f>
        <v>56</v>
      </c>
      <c r="L1030" t="str">
        <f t="shared" si="32"/>
        <v>Jul</v>
      </c>
      <c r="M1030">
        <f t="shared" si="33"/>
        <v>7</v>
      </c>
    </row>
    <row r="1031" spans="1:13" x14ac:dyDescent="0.25">
      <c r="A1031" s="2" t="s">
        <v>1104</v>
      </c>
      <c r="B1031" s="3">
        <v>45856</v>
      </c>
      <c r="C1031" s="2" t="s">
        <v>86</v>
      </c>
      <c r="D1031" s="2" t="s">
        <v>48</v>
      </c>
      <c r="E1031" s="2" t="s">
        <v>49</v>
      </c>
      <c r="F1031" s="2" t="s">
        <v>14</v>
      </c>
      <c r="G1031" s="2" t="s">
        <v>87</v>
      </c>
      <c r="H1031" s="2">
        <v>1</v>
      </c>
      <c r="I1031" s="4">
        <v>126.25</v>
      </c>
      <c r="J1031" s="2" t="s">
        <v>38</v>
      </c>
      <c r="K1031">
        <f>H1031*I1031</f>
        <v>126.25</v>
      </c>
      <c r="L1031" t="str">
        <f t="shared" si="32"/>
        <v>Jul</v>
      </c>
      <c r="M1031">
        <f t="shared" si="33"/>
        <v>7</v>
      </c>
    </row>
    <row r="1032" spans="1:13" x14ac:dyDescent="0.25">
      <c r="A1032" s="2" t="s">
        <v>1105</v>
      </c>
      <c r="B1032" s="3">
        <v>45856</v>
      </c>
      <c r="C1032" s="2" t="s">
        <v>67</v>
      </c>
      <c r="D1032" s="2" t="s">
        <v>68</v>
      </c>
      <c r="E1032" s="2" t="s">
        <v>49</v>
      </c>
      <c r="F1032" s="2" t="s">
        <v>14</v>
      </c>
      <c r="G1032" s="2" t="s">
        <v>69</v>
      </c>
      <c r="H1032" s="2">
        <v>3</v>
      </c>
      <c r="I1032" s="4">
        <v>207.05</v>
      </c>
      <c r="J1032" s="2" t="s">
        <v>38</v>
      </c>
      <c r="K1032">
        <f>H1032*I1032</f>
        <v>621.15000000000009</v>
      </c>
      <c r="L1032" t="str">
        <f t="shared" si="32"/>
        <v>Jul</v>
      </c>
      <c r="M1032">
        <f t="shared" si="33"/>
        <v>7</v>
      </c>
    </row>
    <row r="1033" spans="1:13" x14ac:dyDescent="0.25">
      <c r="A1033" s="2" t="s">
        <v>1106</v>
      </c>
      <c r="B1033" s="3">
        <v>45857</v>
      </c>
      <c r="C1033" s="2" t="s">
        <v>67</v>
      </c>
      <c r="D1033" s="2" t="s">
        <v>68</v>
      </c>
      <c r="E1033" s="2" t="s">
        <v>49</v>
      </c>
      <c r="F1033" s="2" t="s">
        <v>14</v>
      </c>
      <c r="G1033" s="2" t="s">
        <v>69</v>
      </c>
      <c r="H1033" s="2">
        <v>4</v>
      </c>
      <c r="I1033" s="4">
        <v>205</v>
      </c>
      <c r="J1033" s="2" t="s">
        <v>16</v>
      </c>
      <c r="K1033">
        <f>H1033*I1033</f>
        <v>820</v>
      </c>
      <c r="L1033" t="str">
        <f t="shared" si="32"/>
        <v>Jul</v>
      </c>
      <c r="M1033">
        <f t="shared" si="33"/>
        <v>7</v>
      </c>
    </row>
    <row r="1034" spans="1:13" x14ac:dyDescent="0.25">
      <c r="A1034" s="2" t="s">
        <v>1107</v>
      </c>
      <c r="B1034" s="3">
        <v>45857</v>
      </c>
      <c r="C1034" s="2" t="s">
        <v>67</v>
      </c>
      <c r="D1034" s="2" t="s">
        <v>68</v>
      </c>
      <c r="E1034" s="2" t="s">
        <v>49</v>
      </c>
      <c r="F1034" s="2" t="s">
        <v>14</v>
      </c>
      <c r="G1034" s="2" t="s">
        <v>69</v>
      </c>
      <c r="H1034" s="2">
        <v>1</v>
      </c>
      <c r="I1034" s="4">
        <v>205</v>
      </c>
      <c r="J1034" s="2" t="s">
        <v>38</v>
      </c>
      <c r="K1034">
        <f>H1034*I1034</f>
        <v>205</v>
      </c>
      <c r="L1034" t="str">
        <f t="shared" si="32"/>
        <v>Jul</v>
      </c>
      <c r="M1034">
        <f t="shared" si="33"/>
        <v>7</v>
      </c>
    </row>
    <row r="1035" spans="1:13" x14ac:dyDescent="0.25">
      <c r="A1035" s="2" t="s">
        <v>1108</v>
      </c>
      <c r="B1035" s="3">
        <v>45857</v>
      </c>
      <c r="C1035" s="2" t="s">
        <v>79</v>
      </c>
      <c r="D1035" s="2" t="s">
        <v>80</v>
      </c>
      <c r="E1035" s="2" t="s">
        <v>26</v>
      </c>
      <c r="F1035" s="2" t="s">
        <v>14</v>
      </c>
      <c r="G1035" s="2" t="s">
        <v>81</v>
      </c>
      <c r="H1035" s="2">
        <v>1</v>
      </c>
      <c r="I1035" s="4">
        <v>152</v>
      </c>
      <c r="J1035" s="2" t="s">
        <v>16</v>
      </c>
      <c r="K1035">
        <f>H1035*I1035</f>
        <v>152</v>
      </c>
      <c r="L1035" t="str">
        <f t="shared" si="32"/>
        <v>Jul</v>
      </c>
      <c r="M1035">
        <f t="shared" si="33"/>
        <v>7</v>
      </c>
    </row>
    <row r="1036" spans="1:13" x14ac:dyDescent="0.25">
      <c r="A1036" s="2" t="s">
        <v>1109</v>
      </c>
      <c r="B1036" s="3">
        <v>45857</v>
      </c>
      <c r="C1036" s="2" t="s">
        <v>52</v>
      </c>
      <c r="D1036" s="2" t="s">
        <v>30</v>
      </c>
      <c r="E1036" s="2" t="s">
        <v>13</v>
      </c>
      <c r="F1036" s="2" t="s">
        <v>14</v>
      </c>
      <c r="G1036" s="2" t="s">
        <v>53</v>
      </c>
      <c r="H1036" s="2">
        <v>5</v>
      </c>
      <c r="I1036" s="4">
        <v>42.42</v>
      </c>
      <c r="J1036" s="2" t="s">
        <v>22</v>
      </c>
      <c r="K1036">
        <f>H1036*I1036</f>
        <v>212.10000000000002</v>
      </c>
      <c r="L1036" t="str">
        <f t="shared" si="32"/>
        <v>Jul</v>
      </c>
      <c r="M1036">
        <f t="shared" si="33"/>
        <v>7</v>
      </c>
    </row>
    <row r="1037" spans="1:13" x14ac:dyDescent="0.25">
      <c r="A1037" s="2" t="s">
        <v>1110</v>
      </c>
      <c r="B1037" s="3">
        <v>45858</v>
      </c>
      <c r="C1037" s="2" t="s">
        <v>72</v>
      </c>
      <c r="D1037" s="2" t="s">
        <v>68</v>
      </c>
      <c r="E1037" s="2" t="s">
        <v>49</v>
      </c>
      <c r="F1037" s="2" t="s">
        <v>20</v>
      </c>
      <c r="G1037" s="2" t="s">
        <v>21</v>
      </c>
      <c r="H1037" s="2">
        <v>4</v>
      </c>
      <c r="I1037" s="4">
        <v>95</v>
      </c>
      <c r="J1037" s="2" t="s">
        <v>16</v>
      </c>
      <c r="K1037">
        <f>H1037*I1037</f>
        <v>380</v>
      </c>
      <c r="L1037" t="str">
        <f t="shared" si="32"/>
        <v>Jul</v>
      </c>
      <c r="M1037">
        <f t="shared" si="33"/>
        <v>7</v>
      </c>
    </row>
    <row r="1038" spans="1:13" x14ac:dyDescent="0.25">
      <c r="A1038" s="2" t="s">
        <v>1111</v>
      </c>
      <c r="B1038" s="3">
        <v>45859</v>
      </c>
      <c r="C1038" s="2" t="s">
        <v>11</v>
      </c>
      <c r="D1038" s="2" t="s">
        <v>12</v>
      </c>
      <c r="E1038" s="2" t="s">
        <v>13</v>
      </c>
      <c r="F1038" s="2" t="s">
        <v>14</v>
      </c>
      <c r="G1038" s="2" t="s">
        <v>15</v>
      </c>
      <c r="H1038" s="2">
        <v>2</v>
      </c>
      <c r="I1038" s="4">
        <v>32</v>
      </c>
      <c r="J1038" s="2" t="s">
        <v>16</v>
      </c>
      <c r="K1038">
        <f>H1038*I1038</f>
        <v>64</v>
      </c>
      <c r="L1038" t="str">
        <f t="shared" si="32"/>
        <v>Jul</v>
      </c>
      <c r="M1038">
        <f t="shared" si="33"/>
        <v>7</v>
      </c>
    </row>
    <row r="1039" spans="1:13" x14ac:dyDescent="0.25">
      <c r="A1039" s="2" t="s">
        <v>1112</v>
      </c>
      <c r="B1039" s="3">
        <v>45859</v>
      </c>
      <c r="C1039" s="2" t="s">
        <v>12</v>
      </c>
      <c r="D1039" s="2" t="s">
        <v>12</v>
      </c>
      <c r="E1039" s="2" t="s">
        <v>13</v>
      </c>
      <c r="F1039" s="2" t="s">
        <v>20</v>
      </c>
      <c r="G1039" s="2" t="s">
        <v>21</v>
      </c>
      <c r="H1039" s="2">
        <v>5</v>
      </c>
      <c r="I1039" s="4">
        <v>14</v>
      </c>
      <c r="J1039" s="2" t="s">
        <v>31</v>
      </c>
      <c r="K1039">
        <f>H1039*I1039</f>
        <v>70</v>
      </c>
      <c r="L1039" t="str">
        <f t="shared" si="32"/>
        <v>Jul</v>
      </c>
      <c r="M1039">
        <f t="shared" si="33"/>
        <v>7</v>
      </c>
    </row>
    <row r="1040" spans="1:13" x14ac:dyDescent="0.25">
      <c r="A1040" s="2" t="s">
        <v>1113</v>
      </c>
      <c r="B1040" s="3">
        <v>45859</v>
      </c>
      <c r="C1040" s="2" t="s">
        <v>75</v>
      </c>
      <c r="D1040" s="2" t="s">
        <v>75</v>
      </c>
      <c r="E1040" s="2" t="s">
        <v>76</v>
      </c>
      <c r="F1040" s="2" t="s">
        <v>20</v>
      </c>
      <c r="G1040" s="2" t="s">
        <v>21</v>
      </c>
      <c r="H1040" s="2">
        <v>2</v>
      </c>
      <c r="I1040" s="4">
        <v>12</v>
      </c>
      <c r="J1040" s="2" t="s">
        <v>16</v>
      </c>
      <c r="K1040">
        <f>H1040*I1040</f>
        <v>24</v>
      </c>
      <c r="L1040" t="str">
        <f t="shared" si="32"/>
        <v>Jul</v>
      </c>
      <c r="M1040">
        <f t="shared" si="33"/>
        <v>7</v>
      </c>
    </row>
    <row r="1041" spans="1:13" x14ac:dyDescent="0.25">
      <c r="A1041" s="2" t="s">
        <v>1114</v>
      </c>
      <c r="B1041" s="3">
        <v>45859</v>
      </c>
      <c r="C1041" s="2" t="s">
        <v>120</v>
      </c>
      <c r="D1041" s="2" t="s">
        <v>120</v>
      </c>
      <c r="E1041" s="2" t="s">
        <v>76</v>
      </c>
      <c r="F1041" s="2" t="s">
        <v>20</v>
      </c>
      <c r="G1041" s="2" t="s">
        <v>21</v>
      </c>
      <c r="H1041" s="2">
        <v>2</v>
      </c>
      <c r="I1041" s="4">
        <v>42</v>
      </c>
      <c r="J1041" s="2" t="s">
        <v>16</v>
      </c>
      <c r="K1041">
        <f>H1041*I1041</f>
        <v>84</v>
      </c>
      <c r="L1041" t="str">
        <f t="shared" si="32"/>
        <v>Jul</v>
      </c>
      <c r="M1041">
        <f t="shared" si="33"/>
        <v>7</v>
      </c>
    </row>
    <row r="1042" spans="1:13" x14ac:dyDescent="0.25">
      <c r="A1042" s="2" t="s">
        <v>1115</v>
      </c>
      <c r="B1042" s="3">
        <v>45859</v>
      </c>
      <c r="C1042" s="2" t="s">
        <v>101</v>
      </c>
      <c r="D1042" s="2" t="s">
        <v>102</v>
      </c>
      <c r="E1042" s="2" t="s">
        <v>36</v>
      </c>
      <c r="F1042" s="2" t="s">
        <v>14</v>
      </c>
      <c r="G1042" s="2" t="s">
        <v>103</v>
      </c>
      <c r="H1042" s="2">
        <v>6</v>
      </c>
      <c r="I1042" s="4">
        <v>92.92</v>
      </c>
      <c r="J1042" s="2" t="s">
        <v>16</v>
      </c>
      <c r="K1042">
        <f>H1042*I1042</f>
        <v>557.52</v>
      </c>
      <c r="L1042" t="str">
        <f t="shared" si="32"/>
        <v>Jul</v>
      </c>
      <c r="M1042">
        <f t="shared" si="33"/>
        <v>7</v>
      </c>
    </row>
    <row r="1043" spans="1:13" x14ac:dyDescent="0.25">
      <c r="A1043" s="2" t="s">
        <v>1116</v>
      </c>
      <c r="B1043" s="3">
        <v>45859</v>
      </c>
      <c r="C1043" s="2" t="s">
        <v>18</v>
      </c>
      <c r="D1043" s="2" t="s">
        <v>18</v>
      </c>
      <c r="E1043" s="2" t="s">
        <v>19</v>
      </c>
      <c r="F1043" s="2" t="s">
        <v>20</v>
      </c>
      <c r="G1043" s="2" t="s">
        <v>21</v>
      </c>
      <c r="H1043" s="2">
        <v>3</v>
      </c>
      <c r="I1043" s="4">
        <v>15.15</v>
      </c>
      <c r="J1043" s="2" t="s">
        <v>16</v>
      </c>
      <c r="K1043">
        <f>H1043*I1043</f>
        <v>45.45</v>
      </c>
      <c r="L1043" t="str">
        <f t="shared" si="32"/>
        <v>Jul</v>
      </c>
      <c r="M1043">
        <f t="shared" si="33"/>
        <v>7</v>
      </c>
    </row>
    <row r="1044" spans="1:13" x14ac:dyDescent="0.25">
      <c r="A1044" s="2" t="s">
        <v>1117</v>
      </c>
      <c r="B1044" s="3">
        <v>45859</v>
      </c>
      <c r="C1044" s="2" t="s">
        <v>80</v>
      </c>
      <c r="D1044" s="2" t="s">
        <v>80</v>
      </c>
      <c r="E1044" s="2" t="s">
        <v>26</v>
      </c>
      <c r="F1044" s="2" t="s">
        <v>20</v>
      </c>
      <c r="G1044" s="2" t="s">
        <v>21</v>
      </c>
      <c r="H1044" s="2">
        <v>1</v>
      </c>
      <c r="I1044" s="4">
        <v>50</v>
      </c>
      <c r="J1044" s="2" t="s">
        <v>22</v>
      </c>
      <c r="K1044">
        <f>H1044*I1044</f>
        <v>50</v>
      </c>
      <c r="L1044" t="str">
        <f t="shared" si="32"/>
        <v>Jul</v>
      </c>
      <c r="M1044">
        <f t="shared" si="33"/>
        <v>7</v>
      </c>
    </row>
    <row r="1045" spans="1:13" x14ac:dyDescent="0.25">
      <c r="A1045" s="2" t="s">
        <v>1118</v>
      </c>
      <c r="B1045" s="3">
        <v>45859</v>
      </c>
      <c r="C1045" s="2" t="s">
        <v>80</v>
      </c>
      <c r="D1045" s="2" t="s">
        <v>80</v>
      </c>
      <c r="E1045" s="2" t="s">
        <v>26</v>
      </c>
      <c r="F1045" s="2" t="s">
        <v>20</v>
      </c>
      <c r="G1045" s="2" t="s">
        <v>21</v>
      </c>
      <c r="H1045" s="2">
        <v>1</v>
      </c>
      <c r="I1045" s="4">
        <v>50.5</v>
      </c>
      <c r="J1045" s="2" t="s">
        <v>16</v>
      </c>
      <c r="K1045">
        <f>H1045*I1045</f>
        <v>50.5</v>
      </c>
      <c r="L1045" t="str">
        <f t="shared" si="32"/>
        <v>Jul</v>
      </c>
      <c r="M1045">
        <f t="shared" si="33"/>
        <v>7</v>
      </c>
    </row>
    <row r="1046" spans="1:13" x14ac:dyDescent="0.25">
      <c r="A1046" s="2" t="s">
        <v>1119</v>
      </c>
      <c r="B1046" s="3">
        <v>45859</v>
      </c>
      <c r="C1046" s="2" t="s">
        <v>108</v>
      </c>
      <c r="D1046" s="2" t="s">
        <v>109</v>
      </c>
      <c r="E1046" s="2" t="s">
        <v>13</v>
      </c>
      <c r="F1046" s="2" t="s">
        <v>14</v>
      </c>
      <c r="G1046" s="2" t="s">
        <v>110</v>
      </c>
      <c r="H1046" s="2">
        <v>4</v>
      </c>
      <c r="I1046" s="4">
        <v>62</v>
      </c>
      <c r="J1046" s="2" t="s">
        <v>38</v>
      </c>
      <c r="K1046">
        <f>H1046*I1046</f>
        <v>248</v>
      </c>
      <c r="L1046" t="str">
        <f t="shared" si="32"/>
        <v>Jul</v>
      </c>
      <c r="M1046">
        <f t="shared" si="33"/>
        <v>7</v>
      </c>
    </row>
    <row r="1047" spans="1:13" x14ac:dyDescent="0.25">
      <c r="A1047" s="2" t="s">
        <v>1120</v>
      </c>
      <c r="B1047" s="3">
        <v>45860</v>
      </c>
      <c r="C1047" s="2" t="s">
        <v>119</v>
      </c>
      <c r="D1047" s="2" t="s">
        <v>120</v>
      </c>
      <c r="E1047" s="2" t="s">
        <v>76</v>
      </c>
      <c r="F1047" s="2" t="s">
        <v>14</v>
      </c>
      <c r="G1047" s="2" t="s">
        <v>121</v>
      </c>
      <c r="H1047" s="2">
        <v>1</v>
      </c>
      <c r="I1047" s="4">
        <v>191.9</v>
      </c>
      <c r="J1047" s="2" t="s">
        <v>16</v>
      </c>
      <c r="K1047">
        <f>H1047*I1047</f>
        <v>191.9</v>
      </c>
      <c r="L1047" t="str">
        <f t="shared" si="32"/>
        <v>Jul</v>
      </c>
      <c r="M1047">
        <f t="shared" si="33"/>
        <v>7</v>
      </c>
    </row>
    <row r="1048" spans="1:13" x14ac:dyDescent="0.25">
      <c r="A1048" s="2" t="s">
        <v>1121</v>
      </c>
      <c r="B1048" s="3">
        <v>45860</v>
      </c>
      <c r="C1048" s="2" t="s">
        <v>101</v>
      </c>
      <c r="D1048" s="2" t="s">
        <v>102</v>
      </c>
      <c r="E1048" s="2" t="s">
        <v>36</v>
      </c>
      <c r="F1048" s="2" t="s">
        <v>14</v>
      </c>
      <c r="G1048" s="2" t="s">
        <v>103</v>
      </c>
      <c r="H1048" s="2">
        <v>1</v>
      </c>
      <c r="I1048" s="4">
        <v>92</v>
      </c>
      <c r="J1048" s="2" t="s">
        <v>16</v>
      </c>
      <c r="K1048">
        <f>H1048*I1048</f>
        <v>92</v>
      </c>
      <c r="L1048" t="str">
        <f t="shared" si="32"/>
        <v>Jul</v>
      </c>
      <c r="M1048">
        <f t="shared" si="33"/>
        <v>7</v>
      </c>
    </row>
    <row r="1049" spans="1:13" x14ac:dyDescent="0.25">
      <c r="A1049" s="2" t="s">
        <v>1122</v>
      </c>
      <c r="B1049" s="3">
        <v>45860</v>
      </c>
      <c r="C1049" s="2" t="s">
        <v>102</v>
      </c>
      <c r="D1049" s="2" t="s">
        <v>102</v>
      </c>
      <c r="E1049" s="2" t="s">
        <v>36</v>
      </c>
      <c r="F1049" s="2" t="s">
        <v>20</v>
      </c>
      <c r="G1049" s="2" t="s">
        <v>21</v>
      </c>
      <c r="H1049" s="2">
        <v>6</v>
      </c>
      <c r="I1049" s="4">
        <v>35</v>
      </c>
      <c r="J1049" s="2" t="s">
        <v>22</v>
      </c>
      <c r="K1049">
        <f>H1049*I1049</f>
        <v>210</v>
      </c>
      <c r="L1049" t="str">
        <f t="shared" si="32"/>
        <v>Jul</v>
      </c>
      <c r="M1049">
        <f t="shared" si="33"/>
        <v>7</v>
      </c>
    </row>
    <row r="1050" spans="1:13" x14ac:dyDescent="0.25">
      <c r="A1050" s="2" t="s">
        <v>1123</v>
      </c>
      <c r="B1050" s="3">
        <v>45860</v>
      </c>
      <c r="C1050" s="2" t="s">
        <v>79</v>
      </c>
      <c r="D1050" s="2" t="s">
        <v>80</v>
      </c>
      <c r="E1050" s="2" t="s">
        <v>26</v>
      </c>
      <c r="F1050" s="2" t="s">
        <v>14</v>
      </c>
      <c r="G1050" s="2" t="s">
        <v>81</v>
      </c>
      <c r="H1050" s="2">
        <v>1</v>
      </c>
      <c r="I1050" s="4">
        <v>153.52000000000001</v>
      </c>
      <c r="J1050" s="2" t="s">
        <v>16</v>
      </c>
      <c r="K1050">
        <f>H1050*I1050</f>
        <v>153.52000000000001</v>
      </c>
      <c r="L1050" t="str">
        <f t="shared" si="32"/>
        <v>Jul</v>
      </c>
      <c r="M1050">
        <f t="shared" si="33"/>
        <v>7</v>
      </c>
    </row>
    <row r="1051" spans="1:13" x14ac:dyDescent="0.25">
      <c r="A1051" s="2" t="s">
        <v>1124</v>
      </c>
      <c r="B1051" s="3">
        <v>45860</v>
      </c>
      <c r="C1051" s="2" t="s">
        <v>24</v>
      </c>
      <c r="D1051" s="2" t="s">
        <v>25</v>
      </c>
      <c r="E1051" s="2" t="s">
        <v>26</v>
      </c>
      <c r="F1051" s="2" t="s">
        <v>14</v>
      </c>
      <c r="G1051" s="2" t="s">
        <v>27</v>
      </c>
      <c r="H1051" s="2">
        <v>2</v>
      </c>
      <c r="I1051" s="4">
        <v>58.58</v>
      </c>
      <c r="J1051" s="2" t="s">
        <v>38</v>
      </c>
      <c r="K1051">
        <f>H1051*I1051</f>
        <v>117.16</v>
      </c>
      <c r="L1051" t="str">
        <f t="shared" si="32"/>
        <v>Jul</v>
      </c>
      <c r="M1051">
        <f t="shared" si="33"/>
        <v>7</v>
      </c>
    </row>
    <row r="1052" spans="1:13" x14ac:dyDescent="0.25">
      <c r="A1052" s="2" t="s">
        <v>1125</v>
      </c>
      <c r="B1052" s="3">
        <v>45860</v>
      </c>
      <c r="C1052" s="2" t="s">
        <v>60</v>
      </c>
      <c r="D1052" s="2" t="s">
        <v>61</v>
      </c>
      <c r="E1052" s="2" t="s">
        <v>62</v>
      </c>
      <c r="F1052" s="2" t="s">
        <v>14</v>
      </c>
      <c r="G1052" s="2" t="s">
        <v>63</v>
      </c>
      <c r="H1052" s="2">
        <v>1</v>
      </c>
      <c r="I1052" s="4">
        <v>26</v>
      </c>
      <c r="J1052" s="2" t="s">
        <v>38</v>
      </c>
      <c r="K1052">
        <f>H1052*I1052</f>
        <v>26</v>
      </c>
      <c r="L1052" t="str">
        <f t="shared" si="32"/>
        <v>Jul</v>
      </c>
      <c r="M1052">
        <f t="shared" si="33"/>
        <v>7</v>
      </c>
    </row>
    <row r="1053" spans="1:13" x14ac:dyDescent="0.25">
      <c r="A1053" s="2" t="s">
        <v>1126</v>
      </c>
      <c r="B1053" s="3">
        <v>45860</v>
      </c>
      <c r="C1053" s="2" t="s">
        <v>60</v>
      </c>
      <c r="D1053" s="2" t="s">
        <v>61</v>
      </c>
      <c r="E1053" s="2" t="s">
        <v>62</v>
      </c>
      <c r="F1053" s="2" t="s">
        <v>14</v>
      </c>
      <c r="G1053" s="2" t="s">
        <v>63</v>
      </c>
      <c r="H1053" s="2">
        <v>5</v>
      </c>
      <c r="I1053" s="4">
        <v>26</v>
      </c>
      <c r="J1053" s="2" t="s">
        <v>31</v>
      </c>
      <c r="K1053">
        <f>H1053*I1053</f>
        <v>130</v>
      </c>
      <c r="L1053" t="str">
        <f t="shared" si="32"/>
        <v>Jul</v>
      </c>
      <c r="M1053">
        <f t="shared" si="33"/>
        <v>7</v>
      </c>
    </row>
    <row r="1054" spans="1:13" x14ac:dyDescent="0.25">
      <c r="A1054" s="2" t="s">
        <v>1127</v>
      </c>
      <c r="B1054" s="3">
        <v>45861</v>
      </c>
      <c r="C1054" s="2" t="s">
        <v>34</v>
      </c>
      <c r="D1054" s="2" t="s">
        <v>35</v>
      </c>
      <c r="E1054" s="2" t="s">
        <v>36</v>
      </c>
      <c r="F1054" s="2" t="s">
        <v>14</v>
      </c>
      <c r="G1054" s="2" t="s">
        <v>37</v>
      </c>
      <c r="H1054" s="2">
        <v>2</v>
      </c>
      <c r="I1054" s="4">
        <v>166.65</v>
      </c>
      <c r="J1054" s="2" t="s">
        <v>22</v>
      </c>
      <c r="K1054">
        <f>H1054*I1054</f>
        <v>333.3</v>
      </c>
      <c r="L1054" t="str">
        <f t="shared" si="32"/>
        <v>Jul</v>
      </c>
      <c r="M1054">
        <f t="shared" si="33"/>
        <v>7</v>
      </c>
    </row>
    <row r="1055" spans="1:13" x14ac:dyDescent="0.25">
      <c r="A1055" s="2" t="s">
        <v>1128</v>
      </c>
      <c r="B1055" s="3">
        <v>45861</v>
      </c>
      <c r="C1055" s="2" t="s">
        <v>79</v>
      </c>
      <c r="D1055" s="2" t="s">
        <v>80</v>
      </c>
      <c r="E1055" s="2" t="s">
        <v>26</v>
      </c>
      <c r="F1055" s="2" t="s">
        <v>14</v>
      </c>
      <c r="G1055" s="2" t="s">
        <v>81</v>
      </c>
      <c r="H1055" s="2">
        <v>1</v>
      </c>
      <c r="I1055" s="4">
        <v>153.52000000000001</v>
      </c>
      <c r="J1055" s="2" t="s">
        <v>22</v>
      </c>
      <c r="K1055">
        <f>H1055*I1055</f>
        <v>153.52000000000001</v>
      </c>
      <c r="L1055" t="str">
        <f t="shared" si="32"/>
        <v>Jul</v>
      </c>
      <c r="M1055">
        <f t="shared" si="33"/>
        <v>7</v>
      </c>
    </row>
    <row r="1056" spans="1:13" x14ac:dyDescent="0.25">
      <c r="A1056" s="2" t="s">
        <v>1129</v>
      </c>
      <c r="B1056" s="3">
        <v>45861</v>
      </c>
      <c r="C1056" s="2" t="s">
        <v>24</v>
      </c>
      <c r="D1056" s="2" t="s">
        <v>25</v>
      </c>
      <c r="E1056" s="2" t="s">
        <v>26</v>
      </c>
      <c r="F1056" s="2" t="s">
        <v>14</v>
      </c>
      <c r="G1056" s="2" t="s">
        <v>27</v>
      </c>
      <c r="H1056" s="2">
        <v>1</v>
      </c>
      <c r="I1056" s="4">
        <v>58.58</v>
      </c>
      <c r="J1056" s="2" t="s">
        <v>31</v>
      </c>
      <c r="K1056">
        <f>H1056*I1056</f>
        <v>58.58</v>
      </c>
      <c r="L1056" t="str">
        <f t="shared" si="32"/>
        <v>Jul</v>
      </c>
      <c r="M1056">
        <f t="shared" si="33"/>
        <v>7</v>
      </c>
    </row>
    <row r="1057" spans="1:13" x14ac:dyDescent="0.25">
      <c r="A1057" s="2" t="s">
        <v>1130</v>
      </c>
      <c r="B1057" s="3">
        <v>45861</v>
      </c>
      <c r="C1057" s="2" t="s">
        <v>97</v>
      </c>
      <c r="D1057" s="2" t="s">
        <v>98</v>
      </c>
      <c r="E1057" s="2" t="s">
        <v>99</v>
      </c>
      <c r="F1057" s="2" t="s">
        <v>14</v>
      </c>
      <c r="G1057" s="2" t="s">
        <v>37</v>
      </c>
      <c r="H1057" s="2">
        <v>5</v>
      </c>
      <c r="I1057" s="4">
        <v>183.82</v>
      </c>
      <c r="J1057" s="2" t="s">
        <v>22</v>
      </c>
      <c r="K1057">
        <f>H1057*I1057</f>
        <v>919.09999999999991</v>
      </c>
      <c r="L1057" t="str">
        <f t="shared" si="32"/>
        <v>Jul</v>
      </c>
      <c r="M1057">
        <f t="shared" si="33"/>
        <v>7</v>
      </c>
    </row>
    <row r="1058" spans="1:13" x14ac:dyDescent="0.25">
      <c r="A1058" s="2" t="s">
        <v>1131</v>
      </c>
      <c r="B1058" s="3">
        <v>45862</v>
      </c>
      <c r="C1058" s="2" t="s">
        <v>11</v>
      </c>
      <c r="D1058" s="2" t="s">
        <v>12</v>
      </c>
      <c r="E1058" s="2" t="s">
        <v>13</v>
      </c>
      <c r="F1058" s="2" t="s">
        <v>14</v>
      </c>
      <c r="G1058" s="2" t="s">
        <v>15</v>
      </c>
      <c r="H1058" s="2">
        <v>1</v>
      </c>
      <c r="I1058" s="4">
        <v>32</v>
      </c>
      <c r="J1058" s="2" t="s">
        <v>16</v>
      </c>
      <c r="K1058">
        <f>H1058*I1058</f>
        <v>32</v>
      </c>
      <c r="L1058" t="str">
        <f t="shared" si="32"/>
        <v>Jul</v>
      </c>
      <c r="M1058">
        <f t="shared" si="33"/>
        <v>7</v>
      </c>
    </row>
    <row r="1059" spans="1:13" x14ac:dyDescent="0.25">
      <c r="A1059" s="2" t="s">
        <v>1132</v>
      </c>
      <c r="B1059" s="3">
        <v>45862</v>
      </c>
      <c r="C1059" s="2" t="s">
        <v>11</v>
      </c>
      <c r="D1059" s="2" t="s">
        <v>12</v>
      </c>
      <c r="E1059" s="2" t="s">
        <v>13</v>
      </c>
      <c r="F1059" s="2" t="s">
        <v>14</v>
      </c>
      <c r="G1059" s="2" t="s">
        <v>15</v>
      </c>
      <c r="H1059" s="2">
        <v>1</v>
      </c>
      <c r="I1059" s="4">
        <v>32</v>
      </c>
      <c r="J1059" s="2" t="s">
        <v>16</v>
      </c>
      <c r="K1059">
        <f>H1059*I1059</f>
        <v>32</v>
      </c>
      <c r="L1059" t="str">
        <f t="shared" si="32"/>
        <v>Jul</v>
      </c>
      <c r="M1059">
        <f t="shared" si="33"/>
        <v>7</v>
      </c>
    </row>
    <row r="1060" spans="1:13" x14ac:dyDescent="0.25">
      <c r="A1060" s="2" t="s">
        <v>1133</v>
      </c>
      <c r="B1060" s="3">
        <v>45862</v>
      </c>
      <c r="C1060" s="2" t="s">
        <v>11</v>
      </c>
      <c r="D1060" s="2" t="s">
        <v>12</v>
      </c>
      <c r="E1060" s="2" t="s">
        <v>13</v>
      </c>
      <c r="F1060" s="2" t="s">
        <v>14</v>
      </c>
      <c r="G1060" s="2" t="s">
        <v>15</v>
      </c>
      <c r="H1060" s="2">
        <v>1</v>
      </c>
      <c r="I1060" s="4">
        <v>32.32</v>
      </c>
      <c r="J1060" s="2" t="s">
        <v>31</v>
      </c>
      <c r="K1060">
        <f>H1060*I1060</f>
        <v>32.32</v>
      </c>
      <c r="L1060" t="str">
        <f t="shared" si="32"/>
        <v>Jul</v>
      </c>
      <c r="M1060">
        <f t="shared" si="33"/>
        <v>7</v>
      </c>
    </row>
    <row r="1061" spans="1:13" x14ac:dyDescent="0.25">
      <c r="A1061" s="2" t="s">
        <v>1134</v>
      </c>
      <c r="B1061" s="3">
        <v>45862</v>
      </c>
      <c r="C1061" s="2" t="s">
        <v>74</v>
      </c>
      <c r="D1061" s="2" t="s">
        <v>75</v>
      </c>
      <c r="E1061" s="2" t="s">
        <v>76</v>
      </c>
      <c r="F1061" s="2" t="s">
        <v>14</v>
      </c>
      <c r="G1061" s="2" t="s">
        <v>77</v>
      </c>
      <c r="H1061" s="2">
        <v>6</v>
      </c>
      <c r="I1061" s="4">
        <v>32.32</v>
      </c>
      <c r="J1061" s="2" t="s">
        <v>31</v>
      </c>
      <c r="K1061">
        <f>H1061*I1061</f>
        <v>193.92000000000002</v>
      </c>
      <c r="L1061" t="str">
        <f t="shared" si="32"/>
        <v>Jul</v>
      </c>
      <c r="M1061">
        <f t="shared" si="33"/>
        <v>7</v>
      </c>
    </row>
    <row r="1062" spans="1:13" x14ac:dyDescent="0.25">
      <c r="A1062" s="2" t="s">
        <v>1135</v>
      </c>
      <c r="B1062" s="3">
        <v>45862</v>
      </c>
      <c r="C1062" s="2" t="s">
        <v>40</v>
      </c>
      <c r="D1062" s="2" t="s">
        <v>40</v>
      </c>
      <c r="E1062" s="2" t="s">
        <v>19</v>
      </c>
      <c r="F1062" s="2" t="s">
        <v>20</v>
      </c>
      <c r="G1062" s="2" t="s">
        <v>21</v>
      </c>
      <c r="H1062" s="2">
        <v>6</v>
      </c>
      <c r="I1062" s="4">
        <v>46.46</v>
      </c>
      <c r="J1062" s="2" t="s">
        <v>16</v>
      </c>
      <c r="K1062">
        <f>H1062*I1062</f>
        <v>278.76</v>
      </c>
      <c r="L1062" t="str">
        <f t="shared" si="32"/>
        <v>Jul</v>
      </c>
      <c r="M1062">
        <f t="shared" si="33"/>
        <v>7</v>
      </c>
    </row>
    <row r="1063" spans="1:13" x14ac:dyDescent="0.25">
      <c r="A1063" s="2" t="s">
        <v>1136</v>
      </c>
      <c r="B1063" s="3">
        <v>45862</v>
      </c>
      <c r="C1063" s="2" t="s">
        <v>194</v>
      </c>
      <c r="D1063" s="2" t="s">
        <v>98</v>
      </c>
      <c r="E1063" s="2" t="s">
        <v>99</v>
      </c>
      <c r="F1063" s="2" t="s">
        <v>20</v>
      </c>
      <c r="G1063" s="2" t="s">
        <v>21</v>
      </c>
      <c r="H1063" s="2">
        <v>1</v>
      </c>
      <c r="I1063" s="4">
        <v>70</v>
      </c>
      <c r="J1063" s="2" t="s">
        <v>31</v>
      </c>
      <c r="K1063">
        <f>H1063*I1063</f>
        <v>70</v>
      </c>
      <c r="L1063" t="str">
        <f t="shared" si="32"/>
        <v>Jul</v>
      </c>
      <c r="M1063">
        <f t="shared" si="33"/>
        <v>7</v>
      </c>
    </row>
    <row r="1064" spans="1:13" x14ac:dyDescent="0.25">
      <c r="A1064" s="2" t="s">
        <v>1137</v>
      </c>
      <c r="B1064" s="3">
        <v>45862</v>
      </c>
      <c r="C1064" s="2" t="s">
        <v>30</v>
      </c>
      <c r="D1064" s="2" t="s">
        <v>30</v>
      </c>
      <c r="E1064" s="2" t="s">
        <v>13</v>
      </c>
      <c r="F1064" s="2" t="s">
        <v>20</v>
      </c>
      <c r="G1064" s="2" t="s">
        <v>21</v>
      </c>
      <c r="H1064" s="2">
        <v>2</v>
      </c>
      <c r="I1064" s="4">
        <v>15.15</v>
      </c>
      <c r="J1064" s="2" t="s">
        <v>16</v>
      </c>
      <c r="K1064">
        <f>H1064*I1064</f>
        <v>30.3</v>
      </c>
      <c r="L1064" t="str">
        <f t="shared" si="32"/>
        <v>Jul</v>
      </c>
      <c r="M1064">
        <f t="shared" si="33"/>
        <v>7</v>
      </c>
    </row>
    <row r="1065" spans="1:13" x14ac:dyDescent="0.25">
      <c r="A1065" s="2" t="s">
        <v>1138</v>
      </c>
      <c r="B1065" s="3">
        <v>45862</v>
      </c>
      <c r="C1065" s="2" t="s">
        <v>42</v>
      </c>
      <c r="D1065" s="2" t="s">
        <v>43</v>
      </c>
      <c r="E1065" s="2" t="s">
        <v>44</v>
      </c>
      <c r="F1065" s="2" t="s">
        <v>14</v>
      </c>
      <c r="G1065" s="2" t="s">
        <v>45</v>
      </c>
      <c r="H1065" s="2">
        <v>1</v>
      </c>
      <c r="I1065" s="4">
        <v>46</v>
      </c>
      <c r="J1065" s="2" t="s">
        <v>16</v>
      </c>
      <c r="K1065">
        <f>H1065*I1065</f>
        <v>46</v>
      </c>
      <c r="L1065" t="str">
        <f t="shared" si="32"/>
        <v>Jul</v>
      </c>
      <c r="M1065">
        <f t="shared" si="33"/>
        <v>7</v>
      </c>
    </row>
    <row r="1066" spans="1:13" x14ac:dyDescent="0.25">
      <c r="A1066" s="2" t="s">
        <v>1139</v>
      </c>
      <c r="B1066" s="3">
        <v>45863</v>
      </c>
      <c r="C1066" s="2" t="s">
        <v>67</v>
      </c>
      <c r="D1066" s="2" t="s">
        <v>68</v>
      </c>
      <c r="E1066" s="2" t="s">
        <v>49</v>
      </c>
      <c r="F1066" s="2" t="s">
        <v>14</v>
      </c>
      <c r="G1066" s="2" t="s">
        <v>69</v>
      </c>
      <c r="H1066" s="2">
        <v>1</v>
      </c>
      <c r="I1066" s="4">
        <v>207.05</v>
      </c>
      <c r="J1066" s="2" t="s">
        <v>38</v>
      </c>
      <c r="K1066">
        <f>H1066*I1066</f>
        <v>207.05</v>
      </c>
      <c r="L1066" t="str">
        <f t="shared" si="32"/>
        <v>Jul</v>
      </c>
      <c r="M1066">
        <f t="shared" si="33"/>
        <v>7</v>
      </c>
    </row>
    <row r="1067" spans="1:13" x14ac:dyDescent="0.25">
      <c r="A1067" s="2" t="s">
        <v>1140</v>
      </c>
      <c r="B1067" s="3">
        <v>45863</v>
      </c>
      <c r="C1067" s="2" t="s">
        <v>119</v>
      </c>
      <c r="D1067" s="2" t="s">
        <v>120</v>
      </c>
      <c r="E1067" s="2" t="s">
        <v>76</v>
      </c>
      <c r="F1067" s="2" t="s">
        <v>14</v>
      </c>
      <c r="G1067" s="2" t="s">
        <v>121</v>
      </c>
      <c r="H1067" s="2">
        <v>1</v>
      </c>
      <c r="I1067" s="4">
        <v>191.9</v>
      </c>
      <c r="J1067" s="2" t="s">
        <v>16</v>
      </c>
      <c r="K1067">
        <f>H1067*I1067</f>
        <v>191.9</v>
      </c>
      <c r="L1067" t="str">
        <f t="shared" si="32"/>
        <v>Jul</v>
      </c>
      <c r="M1067">
        <f t="shared" si="33"/>
        <v>7</v>
      </c>
    </row>
    <row r="1068" spans="1:13" x14ac:dyDescent="0.25">
      <c r="A1068" s="2" t="s">
        <v>1141</v>
      </c>
      <c r="B1068" s="3">
        <v>45863</v>
      </c>
      <c r="C1068" s="2" t="s">
        <v>18</v>
      </c>
      <c r="D1068" s="2" t="s">
        <v>18</v>
      </c>
      <c r="E1068" s="2" t="s">
        <v>19</v>
      </c>
      <c r="F1068" s="2" t="s">
        <v>20</v>
      </c>
      <c r="G1068" s="2" t="s">
        <v>21</v>
      </c>
      <c r="H1068" s="2">
        <v>2</v>
      </c>
      <c r="I1068" s="4">
        <v>15</v>
      </c>
      <c r="J1068" s="2" t="s">
        <v>16</v>
      </c>
      <c r="K1068">
        <f>H1068*I1068</f>
        <v>30</v>
      </c>
      <c r="L1068" t="str">
        <f t="shared" si="32"/>
        <v>Jul</v>
      </c>
      <c r="M1068">
        <f t="shared" si="33"/>
        <v>7</v>
      </c>
    </row>
    <row r="1069" spans="1:13" x14ac:dyDescent="0.25">
      <c r="A1069" s="2" t="s">
        <v>1142</v>
      </c>
      <c r="B1069" s="3">
        <v>45863</v>
      </c>
      <c r="C1069" s="2" t="s">
        <v>25</v>
      </c>
      <c r="D1069" s="2" t="s">
        <v>25</v>
      </c>
      <c r="E1069" s="2" t="s">
        <v>26</v>
      </c>
      <c r="F1069" s="2" t="s">
        <v>20</v>
      </c>
      <c r="G1069" s="2" t="s">
        <v>21</v>
      </c>
      <c r="H1069" s="2">
        <v>2</v>
      </c>
      <c r="I1069" s="4">
        <v>20.2</v>
      </c>
      <c r="J1069" s="2" t="s">
        <v>16</v>
      </c>
      <c r="K1069">
        <f>H1069*I1069</f>
        <v>40.4</v>
      </c>
      <c r="L1069" t="str">
        <f t="shared" si="32"/>
        <v>Jul</v>
      </c>
      <c r="M1069">
        <f t="shared" si="33"/>
        <v>7</v>
      </c>
    </row>
    <row r="1070" spans="1:13" x14ac:dyDescent="0.25">
      <c r="A1070" s="2" t="s">
        <v>1143</v>
      </c>
      <c r="B1070" s="3">
        <v>45863</v>
      </c>
      <c r="C1070" s="2" t="s">
        <v>60</v>
      </c>
      <c r="D1070" s="2" t="s">
        <v>61</v>
      </c>
      <c r="E1070" s="2" t="s">
        <v>62</v>
      </c>
      <c r="F1070" s="2" t="s">
        <v>14</v>
      </c>
      <c r="G1070" s="2" t="s">
        <v>63</v>
      </c>
      <c r="H1070" s="2">
        <v>1</v>
      </c>
      <c r="I1070" s="4">
        <v>26.26</v>
      </c>
      <c r="J1070" s="2" t="s">
        <v>22</v>
      </c>
      <c r="K1070">
        <f>H1070*I1070</f>
        <v>26.26</v>
      </c>
      <c r="L1070" t="str">
        <f t="shared" si="32"/>
        <v>Jul</v>
      </c>
      <c r="M1070">
        <f t="shared" si="33"/>
        <v>7</v>
      </c>
    </row>
    <row r="1071" spans="1:13" x14ac:dyDescent="0.25">
      <c r="A1071" s="2" t="s">
        <v>1144</v>
      </c>
      <c r="B1071" s="3">
        <v>45863</v>
      </c>
      <c r="C1071" s="2" t="s">
        <v>52</v>
      </c>
      <c r="D1071" s="2" t="s">
        <v>30</v>
      </c>
      <c r="E1071" s="2" t="s">
        <v>13</v>
      </c>
      <c r="F1071" s="2" t="s">
        <v>14</v>
      </c>
      <c r="G1071" s="2" t="s">
        <v>53</v>
      </c>
      <c r="H1071" s="2">
        <v>3</v>
      </c>
      <c r="I1071" s="4">
        <v>42.42</v>
      </c>
      <c r="J1071" s="2" t="s">
        <v>31</v>
      </c>
      <c r="K1071">
        <f>H1071*I1071</f>
        <v>127.26</v>
      </c>
      <c r="L1071" t="str">
        <f t="shared" si="32"/>
        <v>Jul</v>
      </c>
      <c r="M1071">
        <f t="shared" si="33"/>
        <v>7</v>
      </c>
    </row>
    <row r="1072" spans="1:13" x14ac:dyDescent="0.25">
      <c r="A1072" s="2" t="s">
        <v>1145</v>
      </c>
      <c r="B1072" s="3">
        <v>45864</v>
      </c>
      <c r="C1072" s="2" t="s">
        <v>34</v>
      </c>
      <c r="D1072" s="2" t="s">
        <v>35</v>
      </c>
      <c r="E1072" s="2" t="s">
        <v>36</v>
      </c>
      <c r="F1072" s="2" t="s">
        <v>14</v>
      </c>
      <c r="G1072" s="2" t="s">
        <v>37</v>
      </c>
      <c r="H1072" s="2">
        <v>6</v>
      </c>
      <c r="I1072" s="4">
        <v>166.65</v>
      </c>
      <c r="J1072" s="2" t="s">
        <v>38</v>
      </c>
      <c r="K1072">
        <f>H1072*I1072</f>
        <v>999.90000000000009</v>
      </c>
      <c r="L1072" t="str">
        <f t="shared" si="32"/>
        <v>Jul</v>
      </c>
      <c r="M1072">
        <f t="shared" si="33"/>
        <v>7</v>
      </c>
    </row>
    <row r="1073" spans="1:13" x14ac:dyDescent="0.25">
      <c r="A1073" s="2" t="s">
        <v>1146</v>
      </c>
      <c r="B1073" s="3">
        <v>45864</v>
      </c>
      <c r="C1073" s="2" t="s">
        <v>35</v>
      </c>
      <c r="D1073" s="2" t="s">
        <v>35</v>
      </c>
      <c r="E1073" s="2" t="s">
        <v>36</v>
      </c>
      <c r="F1073" s="2" t="s">
        <v>20</v>
      </c>
      <c r="G1073" s="2" t="s">
        <v>21</v>
      </c>
      <c r="H1073" s="2">
        <v>3</v>
      </c>
      <c r="I1073" s="4">
        <v>58.58</v>
      </c>
      <c r="J1073" s="2" t="s">
        <v>16</v>
      </c>
      <c r="K1073">
        <f>H1073*I1073</f>
        <v>175.74</v>
      </c>
      <c r="L1073" t="str">
        <f t="shared" si="32"/>
        <v>Jul</v>
      </c>
      <c r="M1073">
        <f t="shared" si="33"/>
        <v>7</v>
      </c>
    </row>
    <row r="1074" spans="1:13" x14ac:dyDescent="0.25">
      <c r="A1074" s="2" t="s">
        <v>1147</v>
      </c>
      <c r="B1074" s="3">
        <v>45864</v>
      </c>
      <c r="C1074" s="2" t="s">
        <v>18</v>
      </c>
      <c r="D1074" s="2" t="s">
        <v>18</v>
      </c>
      <c r="E1074" s="2" t="s">
        <v>19</v>
      </c>
      <c r="F1074" s="2" t="s">
        <v>20</v>
      </c>
      <c r="G1074" s="2" t="s">
        <v>21</v>
      </c>
      <c r="H1074" s="2">
        <v>1</v>
      </c>
      <c r="I1074" s="4">
        <v>15.15</v>
      </c>
      <c r="J1074" s="2" t="s">
        <v>16</v>
      </c>
      <c r="K1074">
        <f>H1074*I1074</f>
        <v>15.15</v>
      </c>
      <c r="L1074" t="str">
        <f t="shared" si="32"/>
        <v>Jul</v>
      </c>
      <c r="M1074">
        <f t="shared" si="33"/>
        <v>7</v>
      </c>
    </row>
    <row r="1075" spans="1:13" x14ac:dyDescent="0.25">
      <c r="A1075" s="2" t="s">
        <v>1148</v>
      </c>
      <c r="B1075" s="3">
        <v>45864</v>
      </c>
      <c r="C1075" s="2" t="s">
        <v>24</v>
      </c>
      <c r="D1075" s="2" t="s">
        <v>25</v>
      </c>
      <c r="E1075" s="2" t="s">
        <v>26</v>
      </c>
      <c r="F1075" s="2" t="s">
        <v>14</v>
      </c>
      <c r="G1075" s="2" t="s">
        <v>27</v>
      </c>
      <c r="H1075" s="2">
        <v>1</v>
      </c>
      <c r="I1075" s="4">
        <v>58.58</v>
      </c>
      <c r="J1075" s="2" t="s">
        <v>16</v>
      </c>
      <c r="K1075">
        <f>H1075*I1075</f>
        <v>58.58</v>
      </c>
      <c r="L1075" t="str">
        <f t="shared" si="32"/>
        <v>Jul</v>
      </c>
      <c r="M1075">
        <f t="shared" si="33"/>
        <v>7</v>
      </c>
    </row>
    <row r="1076" spans="1:13" x14ac:dyDescent="0.25">
      <c r="A1076" s="2" t="s">
        <v>1149</v>
      </c>
      <c r="B1076" s="3">
        <v>45865</v>
      </c>
      <c r="C1076" s="2" t="s">
        <v>11</v>
      </c>
      <c r="D1076" s="2" t="s">
        <v>12</v>
      </c>
      <c r="E1076" s="2" t="s">
        <v>13</v>
      </c>
      <c r="F1076" s="2" t="s">
        <v>14</v>
      </c>
      <c r="G1076" s="2" t="s">
        <v>15</v>
      </c>
      <c r="H1076" s="2">
        <v>3</v>
      </c>
      <c r="I1076" s="4">
        <v>32.32</v>
      </c>
      <c r="J1076" s="2" t="s">
        <v>31</v>
      </c>
      <c r="K1076">
        <f>H1076*I1076</f>
        <v>96.960000000000008</v>
      </c>
      <c r="L1076" t="str">
        <f t="shared" si="32"/>
        <v>Jul</v>
      </c>
      <c r="M1076">
        <f t="shared" si="33"/>
        <v>7</v>
      </c>
    </row>
    <row r="1077" spans="1:13" x14ac:dyDescent="0.25">
      <c r="A1077" s="2" t="s">
        <v>1150</v>
      </c>
      <c r="B1077" s="3">
        <v>45865</v>
      </c>
      <c r="C1077" s="2" t="s">
        <v>48</v>
      </c>
      <c r="D1077" s="2" t="s">
        <v>48</v>
      </c>
      <c r="E1077" s="2" t="s">
        <v>49</v>
      </c>
      <c r="F1077" s="2" t="s">
        <v>20</v>
      </c>
      <c r="G1077" s="2" t="s">
        <v>21</v>
      </c>
      <c r="H1077" s="2">
        <v>2</v>
      </c>
      <c r="I1077" s="4">
        <v>55.55</v>
      </c>
      <c r="J1077" s="2" t="s">
        <v>22</v>
      </c>
      <c r="K1077">
        <f>H1077*I1077</f>
        <v>111.1</v>
      </c>
      <c r="L1077" t="str">
        <f t="shared" si="32"/>
        <v>Jul</v>
      </c>
      <c r="M1077">
        <f t="shared" si="33"/>
        <v>7</v>
      </c>
    </row>
    <row r="1078" spans="1:13" x14ac:dyDescent="0.25">
      <c r="A1078" s="2" t="s">
        <v>1151</v>
      </c>
      <c r="B1078" s="3">
        <v>45865</v>
      </c>
      <c r="C1078" s="2" t="s">
        <v>74</v>
      </c>
      <c r="D1078" s="2" t="s">
        <v>75</v>
      </c>
      <c r="E1078" s="2" t="s">
        <v>76</v>
      </c>
      <c r="F1078" s="2" t="s">
        <v>14</v>
      </c>
      <c r="G1078" s="2" t="s">
        <v>77</v>
      </c>
      <c r="H1078" s="2">
        <v>3</v>
      </c>
      <c r="I1078" s="4">
        <v>32.32</v>
      </c>
      <c r="J1078" s="2" t="s">
        <v>16</v>
      </c>
      <c r="K1078">
        <f>H1078*I1078</f>
        <v>96.960000000000008</v>
      </c>
      <c r="L1078" t="str">
        <f t="shared" si="32"/>
        <v>Jul</v>
      </c>
      <c r="M1078">
        <f t="shared" si="33"/>
        <v>7</v>
      </c>
    </row>
    <row r="1079" spans="1:13" x14ac:dyDescent="0.25">
      <c r="A1079" s="2" t="s">
        <v>1152</v>
      </c>
      <c r="B1079" s="3">
        <v>45865</v>
      </c>
      <c r="C1079" s="2" t="s">
        <v>101</v>
      </c>
      <c r="D1079" s="2" t="s">
        <v>102</v>
      </c>
      <c r="E1079" s="2" t="s">
        <v>36</v>
      </c>
      <c r="F1079" s="2" t="s">
        <v>14</v>
      </c>
      <c r="G1079" s="2" t="s">
        <v>103</v>
      </c>
      <c r="H1079" s="2">
        <v>3</v>
      </c>
      <c r="I1079" s="4">
        <v>92.92</v>
      </c>
      <c r="J1079" s="2" t="s">
        <v>31</v>
      </c>
      <c r="K1079">
        <f>H1079*I1079</f>
        <v>278.76</v>
      </c>
      <c r="L1079" t="str">
        <f t="shared" si="32"/>
        <v>Jul</v>
      </c>
      <c r="M1079">
        <f t="shared" si="33"/>
        <v>7</v>
      </c>
    </row>
    <row r="1080" spans="1:13" x14ac:dyDescent="0.25">
      <c r="A1080" s="2" t="s">
        <v>1153</v>
      </c>
      <c r="B1080" s="3">
        <v>45865</v>
      </c>
      <c r="C1080" s="2" t="s">
        <v>61</v>
      </c>
      <c r="D1080" s="2" t="s">
        <v>61</v>
      </c>
      <c r="E1080" s="2" t="s">
        <v>62</v>
      </c>
      <c r="F1080" s="2" t="s">
        <v>20</v>
      </c>
      <c r="G1080" s="2" t="s">
        <v>21</v>
      </c>
      <c r="H1080" s="2">
        <v>1</v>
      </c>
      <c r="I1080" s="4">
        <v>8</v>
      </c>
      <c r="J1080" s="2" t="s">
        <v>16</v>
      </c>
      <c r="K1080">
        <f>H1080*I1080</f>
        <v>8</v>
      </c>
      <c r="L1080" t="str">
        <f t="shared" si="32"/>
        <v>Jul</v>
      </c>
      <c r="M1080">
        <f t="shared" si="33"/>
        <v>7</v>
      </c>
    </row>
    <row r="1081" spans="1:13" x14ac:dyDescent="0.25">
      <c r="A1081" s="2" t="s">
        <v>1154</v>
      </c>
      <c r="B1081" s="3">
        <v>45865</v>
      </c>
      <c r="C1081" s="2" t="s">
        <v>42</v>
      </c>
      <c r="D1081" s="2" t="s">
        <v>43</v>
      </c>
      <c r="E1081" s="2" t="s">
        <v>44</v>
      </c>
      <c r="F1081" s="2" t="s">
        <v>14</v>
      </c>
      <c r="G1081" s="2" t="s">
        <v>45</v>
      </c>
      <c r="H1081" s="2">
        <v>2</v>
      </c>
      <c r="I1081" s="4">
        <v>46</v>
      </c>
      <c r="J1081" s="2" t="s">
        <v>16</v>
      </c>
      <c r="K1081">
        <f>H1081*I1081</f>
        <v>92</v>
      </c>
      <c r="L1081" t="str">
        <f t="shared" si="32"/>
        <v>Jul</v>
      </c>
      <c r="M1081">
        <f t="shared" si="33"/>
        <v>7</v>
      </c>
    </row>
    <row r="1082" spans="1:13" x14ac:dyDescent="0.25">
      <c r="A1082" s="2" t="s">
        <v>1155</v>
      </c>
      <c r="B1082" s="3">
        <v>45866</v>
      </c>
      <c r="C1082" s="2" t="s">
        <v>74</v>
      </c>
      <c r="D1082" s="2" t="s">
        <v>75</v>
      </c>
      <c r="E1082" s="2" t="s">
        <v>76</v>
      </c>
      <c r="F1082" s="2" t="s">
        <v>14</v>
      </c>
      <c r="G1082" s="2" t="s">
        <v>77</v>
      </c>
      <c r="H1082" s="2">
        <v>12</v>
      </c>
      <c r="I1082" s="4">
        <v>32</v>
      </c>
      <c r="J1082" s="2" t="s">
        <v>16</v>
      </c>
      <c r="K1082">
        <f>H1082*I1082</f>
        <v>384</v>
      </c>
      <c r="L1082" t="str">
        <f t="shared" si="32"/>
        <v>Jul</v>
      </c>
      <c r="M1082">
        <f t="shared" si="33"/>
        <v>7</v>
      </c>
    </row>
    <row r="1083" spans="1:13" x14ac:dyDescent="0.25">
      <c r="A1083" s="2" t="s">
        <v>1156</v>
      </c>
      <c r="B1083" s="3">
        <v>45866</v>
      </c>
      <c r="C1083" s="2" t="s">
        <v>124</v>
      </c>
      <c r="D1083" s="2" t="s">
        <v>18</v>
      </c>
      <c r="E1083" s="2" t="s">
        <v>19</v>
      </c>
      <c r="F1083" s="2" t="s">
        <v>14</v>
      </c>
      <c r="G1083" s="2" t="s">
        <v>125</v>
      </c>
      <c r="H1083" s="2">
        <v>12</v>
      </c>
      <c r="I1083" s="4">
        <v>45.45</v>
      </c>
      <c r="J1083" s="2" t="s">
        <v>38</v>
      </c>
      <c r="K1083">
        <f>H1083*I1083</f>
        <v>545.40000000000009</v>
      </c>
      <c r="L1083" t="str">
        <f t="shared" si="32"/>
        <v>Jul</v>
      </c>
      <c r="M1083">
        <f t="shared" si="33"/>
        <v>7</v>
      </c>
    </row>
    <row r="1084" spans="1:13" x14ac:dyDescent="0.25">
      <c r="A1084" s="2" t="s">
        <v>1157</v>
      </c>
      <c r="B1084" s="3">
        <v>45866</v>
      </c>
      <c r="C1084" s="2" t="s">
        <v>124</v>
      </c>
      <c r="D1084" s="2" t="s">
        <v>18</v>
      </c>
      <c r="E1084" s="2" t="s">
        <v>19</v>
      </c>
      <c r="F1084" s="2" t="s">
        <v>14</v>
      </c>
      <c r="G1084" s="2" t="s">
        <v>125</v>
      </c>
      <c r="H1084" s="2">
        <v>6</v>
      </c>
      <c r="I1084" s="4">
        <v>45.45</v>
      </c>
      <c r="J1084" s="2" t="s">
        <v>16</v>
      </c>
      <c r="K1084">
        <f>H1084*I1084</f>
        <v>272.70000000000005</v>
      </c>
      <c r="L1084" t="str">
        <f t="shared" si="32"/>
        <v>Jul</v>
      </c>
      <c r="M1084">
        <f t="shared" si="33"/>
        <v>7</v>
      </c>
    </row>
    <row r="1085" spans="1:13" x14ac:dyDescent="0.25">
      <c r="A1085" s="2" t="s">
        <v>1158</v>
      </c>
      <c r="B1085" s="3">
        <v>45866</v>
      </c>
      <c r="C1085" s="2" t="s">
        <v>18</v>
      </c>
      <c r="D1085" s="2" t="s">
        <v>18</v>
      </c>
      <c r="E1085" s="2" t="s">
        <v>19</v>
      </c>
      <c r="F1085" s="2" t="s">
        <v>20</v>
      </c>
      <c r="G1085" s="2" t="s">
        <v>21</v>
      </c>
      <c r="H1085" s="2">
        <v>1</v>
      </c>
      <c r="I1085" s="4">
        <v>15</v>
      </c>
      <c r="J1085" s="2" t="s">
        <v>16</v>
      </c>
      <c r="K1085">
        <f>H1085*I1085</f>
        <v>15</v>
      </c>
      <c r="L1085" t="str">
        <f t="shared" si="32"/>
        <v>Jul</v>
      </c>
      <c r="M1085">
        <f t="shared" si="33"/>
        <v>7</v>
      </c>
    </row>
    <row r="1086" spans="1:13" x14ac:dyDescent="0.25">
      <c r="A1086" s="2" t="s">
        <v>1159</v>
      </c>
      <c r="B1086" s="3">
        <v>45866</v>
      </c>
      <c r="C1086" s="2" t="s">
        <v>18</v>
      </c>
      <c r="D1086" s="2" t="s">
        <v>18</v>
      </c>
      <c r="E1086" s="2" t="s">
        <v>19</v>
      </c>
      <c r="F1086" s="2" t="s">
        <v>20</v>
      </c>
      <c r="G1086" s="2" t="s">
        <v>21</v>
      </c>
      <c r="H1086" s="2">
        <v>6</v>
      </c>
      <c r="I1086" s="4">
        <v>15</v>
      </c>
      <c r="J1086" s="2" t="s">
        <v>16</v>
      </c>
      <c r="K1086">
        <f>H1086*I1086</f>
        <v>90</v>
      </c>
      <c r="L1086" t="str">
        <f t="shared" si="32"/>
        <v>Jul</v>
      </c>
      <c r="M1086">
        <f t="shared" si="33"/>
        <v>7</v>
      </c>
    </row>
    <row r="1087" spans="1:13" x14ac:dyDescent="0.25">
      <c r="A1087" s="2" t="s">
        <v>1160</v>
      </c>
      <c r="B1087" s="3">
        <v>45866</v>
      </c>
      <c r="C1087" s="2" t="s">
        <v>61</v>
      </c>
      <c r="D1087" s="2" t="s">
        <v>61</v>
      </c>
      <c r="E1087" s="2" t="s">
        <v>62</v>
      </c>
      <c r="F1087" s="2" t="s">
        <v>20</v>
      </c>
      <c r="G1087" s="2" t="s">
        <v>21</v>
      </c>
      <c r="H1087" s="2">
        <v>1</v>
      </c>
      <c r="I1087" s="4">
        <v>8.08</v>
      </c>
      <c r="J1087" s="2" t="s">
        <v>22</v>
      </c>
      <c r="K1087">
        <f>H1087*I1087</f>
        <v>8.08</v>
      </c>
      <c r="L1087" t="str">
        <f t="shared" si="32"/>
        <v>Jul</v>
      </c>
      <c r="M1087">
        <f t="shared" si="33"/>
        <v>7</v>
      </c>
    </row>
    <row r="1088" spans="1:13" x14ac:dyDescent="0.25">
      <c r="A1088" s="2" t="s">
        <v>1161</v>
      </c>
      <c r="B1088" s="3">
        <v>45866</v>
      </c>
      <c r="C1088" s="2" t="s">
        <v>52</v>
      </c>
      <c r="D1088" s="2" t="s">
        <v>30</v>
      </c>
      <c r="E1088" s="2" t="s">
        <v>13</v>
      </c>
      <c r="F1088" s="2" t="s">
        <v>14</v>
      </c>
      <c r="G1088" s="2" t="s">
        <v>53</v>
      </c>
      <c r="H1088" s="2">
        <v>1</v>
      </c>
      <c r="I1088" s="4">
        <v>42.42</v>
      </c>
      <c r="J1088" s="2" t="s">
        <v>16</v>
      </c>
      <c r="K1088">
        <f>H1088*I1088</f>
        <v>42.42</v>
      </c>
      <c r="L1088" t="str">
        <f t="shared" si="32"/>
        <v>Jul</v>
      </c>
      <c r="M1088">
        <f t="shared" si="33"/>
        <v>7</v>
      </c>
    </row>
    <row r="1089" spans="1:13" x14ac:dyDescent="0.25">
      <c r="A1089" s="2" t="s">
        <v>1162</v>
      </c>
      <c r="B1089" s="3">
        <v>45866</v>
      </c>
      <c r="C1089" s="2" t="s">
        <v>30</v>
      </c>
      <c r="D1089" s="2" t="s">
        <v>30</v>
      </c>
      <c r="E1089" s="2" t="s">
        <v>13</v>
      </c>
      <c r="F1089" s="2" t="s">
        <v>20</v>
      </c>
      <c r="G1089" s="2" t="s">
        <v>21</v>
      </c>
      <c r="H1089" s="2">
        <v>2</v>
      </c>
      <c r="I1089" s="4">
        <v>15.15</v>
      </c>
      <c r="J1089" s="2" t="s">
        <v>16</v>
      </c>
      <c r="K1089">
        <f>H1089*I1089</f>
        <v>30.3</v>
      </c>
      <c r="L1089" t="str">
        <f t="shared" si="32"/>
        <v>Jul</v>
      </c>
      <c r="M1089">
        <f t="shared" si="33"/>
        <v>7</v>
      </c>
    </row>
    <row r="1090" spans="1:13" x14ac:dyDescent="0.25">
      <c r="A1090" s="2" t="s">
        <v>1163</v>
      </c>
      <c r="B1090" s="3">
        <v>45866</v>
      </c>
      <c r="C1090" s="2" t="s">
        <v>109</v>
      </c>
      <c r="D1090" s="2" t="s">
        <v>109</v>
      </c>
      <c r="E1090" s="2" t="s">
        <v>13</v>
      </c>
      <c r="F1090" s="2" t="s">
        <v>20</v>
      </c>
      <c r="G1090" s="2" t="s">
        <v>21</v>
      </c>
      <c r="H1090" s="2">
        <v>1</v>
      </c>
      <c r="I1090" s="4">
        <v>20</v>
      </c>
      <c r="J1090" s="2" t="s">
        <v>16</v>
      </c>
      <c r="K1090">
        <f>H1090*I1090</f>
        <v>20</v>
      </c>
      <c r="L1090" t="str">
        <f t="shared" si="32"/>
        <v>Jul</v>
      </c>
      <c r="M1090">
        <f t="shared" si="33"/>
        <v>7</v>
      </c>
    </row>
    <row r="1091" spans="1:13" x14ac:dyDescent="0.25">
      <c r="A1091" s="2" t="s">
        <v>1164</v>
      </c>
      <c r="B1091" s="3">
        <v>45867</v>
      </c>
      <c r="C1091" s="2" t="s">
        <v>12</v>
      </c>
      <c r="D1091" s="2" t="s">
        <v>12</v>
      </c>
      <c r="E1091" s="2" t="s">
        <v>13</v>
      </c>
      <c r="F1091" s="2" t="s">
        <v>20</v>
      </c>
      <c r="G1091" s="2" t="s">
        <v>21</v>
      </c>
      <c r="H1091" s="2">
        <v>2</v>
      </c>
      <c r="I1091" s="4">
        <v>14</v>
      </c>
      <c r="J1091" s="2" t="s">
        <v>22</v>
      </c>
      <c r="K1091">
        <f>H1091*I1091</f>
        <v>28</v>
      </c>
      <c r="L1091" t="str">
        <f t="shared" ref="L1091:L1154" si="34">TEXT(B1091,"mmm")</f>
        <v>Jul</v>
      </c>
      <c r="M1091">
        <f t="shared" ref="M1091:M1154" si="35">MONTH(B1091)</f>
        <v>7</v>
      </c>
    </row>
    <row r="1092" spans="1:13" x14ac:dyDescent="0.25">
      <c r="A1092" s="2" t="s">
        <v>1165</v>
      </c>
      <c r="B1092" s="3">
        <v>45867</v>
      </c>
      <c r="C1092" s="2" t="s">
        <v>12</v>
      </c>
      <c r="D1092" s="2" t="s">
        <v>12</v>
      </c>
      <c r="E1092" s="2" t="s">
        <v>13</v>
      </c>
      <c r="F1092" s="2" t="s">
        <v>20</v>
      </c>
      <c r="G1092" s="2" t="s">
        <v>21</v>
      </c>
      <c r="H1092" s="2">
        <v>4</v>
      </c>
      <c r="I1092" s="4">
        <v>14.14</v>
      </c>
      <c r="J1092" s="2" t="s">
        <v>16</v>
      </c>
      <c r="K1092">
        <f>H1092*I1092</f>
        <v>56.56</v>
      </c>
      <c r="L1092" t="str">
        <f t="shared" si="34"/>
        <v>Jul</v>
      </c>
      <c r="M1092">
        <f t="shared" si="35"/>
        <v>7</v>
      </c>
    </row>
    <row r="1093" spans="1:13" x14ac:dyDescent="0.25">
      <c r="A1093" s="2" t="s">
        <v>1166</v>
      </c>
      <c r="B1093" s="3">
        <v>45867</v>
      </c>
      <c r="C1093" s="2" t="s">
        <v>86</v>
      </c>
      <c r="D1093" s="2" t="s">
        <v>48</v>
      </c>
      <c r="E1093" s="2" t="s">
        <v>49</v>
      </c>
      <c r="F1093" s="2" t="s">
        <v>14</v>
      </c>
      <c r="G1093" s="2" t="s">
        <v>87</v>
      </c>
      <c r="H1093" s="2">
        <v>1</v>
      </c>
      <c r="I1093" s="4">
        <v>126.25</v>
      </c>
      <c r="J1093" s="2" t="s">
        <v>38</v>
      </c>
      <c r="K1093">
        <f>H1093*I1093</f>
        <v>126.25</v>
      </c>
      <c r="L1093" t="str">
        <f t="shared" si="34"/>
        <v>Jul</v>
      </c>
      <c r="M1093">
        <f t="shared" si="35"/>
        <v>7</v>
      </c>
    </row>
    <row r="1094" spans="1:13" x14ac:dyDescent="0.25">
      <c r="A1094" s="2" t="s">
        <v>1167</v>
      </c>
      <c r="B1094" s="3">
        <v>45867</v>
      </c>
      <c r="C1094" s="2" t="s">
        <v>86</v>
      </c>
      <c r="D1094" s="2" t="s">
        <v>48</v>
      </c>
      <c r="E1094" s="2" t="s">
        <v>49</v>
      </c>
      <c r="F1094" s="2" t="s">
        <v>14</v>
      </c>
      <c r="G1094" s="2" t="s">
        <v>87</v>
      </c>
      <c r="H1094" s="2">
        <v>1</v>
      </c>
      <c r="I1094" s="4">
        <v>125</v>
      </c>
      <c r="J1094" s="2" t="s">
        <v>16</v>
      </c>
      <c r="K1094">
        <f>H1094*I1094</f>
        <v>125</v>
      </c>
      <c r="L1094" t="str">
        <f t="shared" si="34"/>
        <v>Jul</v>
      </c>
      <c r="M1094">
        <f t="shared" si="35"/>
        <v>7</v>
      </c>
    </row>
    <row r="1095" spans="1:13" x14ac:dyDescent="0.25">
      <c r="A1095" s="2" t="s">
        <v>1168</v>
      </c>
      <c r="B1095" s="3">
        <v>45867</v>
      </c>
      <c r="C1095" s="2" t="s">
        <v>67</v>
      </c>
      <c r="D1095" s="2" t="s">
        <v>68</v>
      </c>
      <c r="E1095" s="2" t="s">
        <v>49</v>
      </c>
      <c r="F1095" s="2" t="s">
        <v>14</v>
      </c>
      <c r="G1095" s="2" t="s">
        <v>69</v>
      </c>
      <c r="H1095" s="2">
        <v>3</v>
      </c>
      <c r="I1095" s="4">
        <v>207.05</v>
      </c>
      <c r="J1095" s="2" t="s">
        <v>16</v>
      </c>
      <c r="K1095">
        <f>H1095*I1095</f>
        <v>621.15000000000009</v>
      </c>
      <c r="L1095" t="str">
        <f t="shared" si="34"/>
        <v>Jul</v>
      </c>
      <c r="M1095">
        <f t="shared" si="35"/>
        <v>7</v>
      </c>
    </row>
    <row r="1096" spans="1:13" x14ac:dyDescent="0.25">
      <c r="A1096" s="2" t="s">
        <v>1169</v>
      </c>
      <c r="B1096" s="3">
        <v>45867</v>
      </c>
      <c r="C1096" s="2" t="s">
        <v>72</v>
      </c>
      <c r="D1096" s="2" t="s">
        <v>68</v>
      </c>
      <c r="E1096" s="2" t="s">
        <v>49</v>
      </c>
      <c r="F1096" s="2" t="s">
        <v>20</v>
      </c>
      <c r="G1096" s="2" t="s">
        <v>21</v>
      </c>
      <c r="H1096" s="2">
        <v>3</v>
      </c>
      <c r="I1096" s="4">
        <v>95.95</v>
      </c>
      <c r="J1096" s="2" t="s">
        <v>16</v>
      </c>
      <c r="K1096">
        <f>H1096*I1096</f>
        <v>287.85000000000002</v>
      </c>
      <c r="L1096" t="str">
        <f t="shared" si="34"/>
        <v>Jul</v>
      </c>
      <c r="M1096">
        <f t="shared" si="35"/>
        <v>7</v>
      </c>
    </row>
    <row r="1097" spans="1:13" x14ac:dyDescent="0.25">
      <c r="A1097" s="2" t="s">
        <v>1170</v>
      </c>
      <c r="B1097" s="3">
        <v>45867</v>
      </c>
      <c r="C1097" s="2" t="s">
        <v>108</v>
      </c>
      <c r="D1097" s="2" t="s">
        <v>109</v>
      </c>
      <c r="E1097" s="2" t="s">
        <v>13</v>
      </c>
      <c r="F1097" s="2" t="s">
        <v>14</v>
      </c>
      <c r="G1097" s="2" t="s">
        <v>110</v>
      </c>
      <c r="H1097" s="2">
        <v>1</v>
      </c>
      <c r="I1097" s="4">
        <v>62</v>
      </c>
      <c r="J1097" s="2" t="s">
        <v>22</v>
      </c>
      <c r="K1097">
        <f>H1097*I1097</f>
        <v>62</v>
      </c>
      <c r="L1097" t="str">
        <f t="shared" si="34"/>
        <v>Jul</v>
      </c>
      <c r="M1097">
        <f t="shared" si="35"/>
        <v>7</v>
      </c>
    </row>
    <row r="1098" spans="1:13" x14ac:dyDescent="0.25">
      <c r="A1098" s="2" t="s">
        <v>1171</v>
      </c>
      <c r="B1098" s="3">
        <v>45868</v>
      </c>
      <c r="C1098" s="2" t="s">
        <v>48</v>
      </c>
      <c r="D1098" s="2" t="s">
        <v>48</v>
      </c>
      <c r="E1098" s="2" t="s">
        <v>49</v>
      </c>
      <c r="F1098" s="2" t="s">
        <v>20</v>
      </c>
      <c r="G1098" s="2" t="s">
        <v>21</v>
      </c>
      <c r="H1098" s="2">
        <v>1</v>
      </c>
      <c r="I1098" s="4">
        <v>55</v>
      </c>
      <c r="J1098" s="2" t="s">
        <v>16</v>
      </c>
      <c r="K1098">
        <f>H1098*I1098</f>
        <v>55</v>
      </c>
      <c r="L1098" t="str">
        <f t="shared" si="34"/>
        <v>Jul</v>
      </c>
      <c r="M1098">
        <f t="shared" si="35"/>
        <v>7</v>
      </c>
    </row>
    <row r="1099" spans="1:13" x14ac:dyDescent="0.25">
      <c r="A1099" s="2" t="s">
        <v>1172</v>
      </c>
      <c r="B1099" s="3">
        <v>45868</v>
      </c>
      <c r="C1099" s="2" t="s">
        <v>102</v>
      </c>
      <c r="D1099" s="2" t="s">
        <v>102</v>
      </c>
      <c r="E1099" s="2" t="s">
        <v>36</v>
      </c>
      <c r="F1099" s="2" t="s">
        <v>20</v>
      </c>
      <c r="G1099" s="2" t="s">
        <v>21</v>
      </c>
      <c r="H1099" s="2">
        <v>3</v>
      </c>
      <c r="I1099" s="4">
        <v>35.35</v>
      </c>
      <c r="J1099" s="2" t="s">
        <v>22</v>
      </c>
      <c r="K1099">
        <f>H1099*I1099</f>
        <v>106.05000000000001</v>
      </c>
      <c r="L1099" t="str">
        <f t="shared" si="34"/>
        <v>Jul</v>
      </c>
      <c r="M1099">
        <f t="shared" si="35"/>
        <v>7</v>
      </c>
    </row>
    <row r="1100" spans="1:13" x14ac:dyDescent="0.25">
      <c r="A1100" s="2" t="s">
        <v>1173</v>
      </c>
      <c r="B1100" s="3">
        <v>45868</v>
      </c>
      <c r="C1100" s="2" t="s">
        <v>25</v>
      </c>
      <c r="D1100" s="2" t="s">
        <v>25</v>
      </c>
      <c r="E1100" s="2" t="s">
        <v>26</v>
      </c>
      <c r="F1100" s="2" t="s">
        <v>20</v>
      </c>
      <c r="G1100" s="2" t="s">
        <v>21</v>
      </c>
      <c r="H1100" s="2">
        <v>5</v>
      </c>
      <c r="I1100" s="4">
        <v>20.2</v>
      </c>
      <c r="J1100" s="2" t="s">
        <v>16</v>
      </c>
      <c r="K1100">
        <f>H1100*I1100</f>
        <v>101</v>
      </c>
      <c r="L1100" t="str">
        <f t="shared" si="34"/>
        <v>Jul</v>
      </c>
      <c r="M1100">
        <f t="shared" si="35"/>
        <v>7</v>
      </c>
    </row>
    <row r="1101" spans="1:13" x14ac:dyDescent="0.25">
      <c r="A1101" s="2" t="s">
        <v>1174</v>
      </c>
      <c r="B1101" s="3">
        <v>45868</v>
      </c>
      <c r="C1101" s="2" t="s">
        <v>108</v>
      </c>
      <c r="D1101" s="2" t="s">
        <v>109</v>
      </c>
      <c r="E1101" s="2" t="s">
        <v>13</v>
      </c>
      <c r="F1101" s="2" t="s">
        <v>14</v>
      </c>
      <c r="G1101" s="2" t="s">
        <v>110</v>
      </c>
      <c r="H1101" s="2">
        <v>1</v>
      </c>
      <c r="I1101" s="4">
        <v>62.62</v>
      </c>
      <c r="J1101" s="2" t="s">
        <v>16</v>
      </c>
      <c r="K1101">
        <f>H1101*I1101</f>
        <v>62.62</v>
      </c>
      <c r="L1101" t="str">
        <f t="shared" si="34"/>
        <v>Jul</v>
      </c>
      <c r="M1101">
        <f t="shared" si="35"/>
        <v>7</v>
      </c>
    </row>
    <row r="1102" spans="1:13" x14ac:dyDescent="0.25">
      <c r="A1102" s="2" t="s">
        <v>1175</v>
      </c>
      <c r="B1102" s="3">
        <v>45869</v>
      </c>
      <c r="C1102" s="2" t="s">
        <v>75</v>
      </c>
      <c r="D1102" s="2" t="s">
        <v>75</v>
      </c>
      <c r="E1102" s="2" t="s">
        <v>76</v>
      </c>
      <c r="F1102" s="2" t="s">
        <v>20</v>
      </c>
      <c r="G1102" s="2" t="s">
        <v>21</v>
      </c>
      <c r="H1102" s="2">
        <v>6</v>
      </c>
      <c r="I1102" s="4">
        <v>12.12</v>
      </c>
      <c r="J1102" s="2" t="s">
        <v>16</v>
      </c>
      <c r="K1102">
        <f>H1102*I1102</f>
        <v>72.72</v>
      </c>
      <c r="L1102" t="str">
        <f t="shared" si="34"/>
        <v>Jul</v>
      </c>
      <c r="M1102">
        <f t="shared" si="35"/>
        <v>7</v>
      </c>
    </row>
    <row r="1103" spans="1:13" x14ac:dyDescent="0.25">
      <c r="A1103" s="2" t="s">
        <v>1176</v>
      </c>
      <c r="B1103" s="3">
        <v>45869</v>
      </c>
      <c r="C1103" s="2" t="s">
        <v>102</v>
      </c>
      <c r="D1103" s="2" t="s">
        <v>102</v>
      </c>
      <c r="E1103" s="2" t="s">
        <v>36</v>
      </c>
      <c r="F1103" s="2" t="s">
        <v>20</v>
      </c>
      <c r="G1103" s="2" t="s">
        <v>21</v>
      </c>
      <c r="H1103" s="2">
        <v>6</v>
      </c>
      <c r="I1103" s="4">
        <v>35</v>
      </c>
      <c r="J1103" s="2" t="s">
        <v>16</v>
      </c>
      <c r="K1103">
        <f>H1103*I1103</f>
        <v>210</v>
      </c>
      <c r="L1103" t="str">
        <f t="shared" si="34"/>
        <v>Jul</v>
      </c>
      <c r="M1103">
        <f t="shared" si="35"/>
        <v>7</v>
      </c>
    </row>
    <row r="1104" spans="1:13" x14ac:dyDescent="0.25">
      <c r="A1104" s="2" t="s">
        <v>1177</v>
      </c>
      <c r="B1104" s="3">
        <v>45869</v>
      </c>
      <c r="C1104" s="2" t="s">
        <v>190</v>
      </c>
      <c r="D1104" s="2" t="s">
        <v>40</v>
      </c>
      <c r="E1104" s="2" t="s">
        <v>19</v>
      </c>
      <c r="F1104" s="2" t="s">
        <v>14</v>
      </c>
      <c r="G1104" s="2" t="s">
        <v>191</v>
      </c>
      <c r="H1104" s="2">
        <v>1</v>
      </c>
      <c r="I1104" s="4">
        <v>143.41999999999999</v>
      </c>
      <c r="J1104" s="2" t="s">
        <v>16</v>
      </c>
      <c r="K1104">
        <f>H1104*I1104</f>
        <v>143.41999999999999</v>
      </c>
      <c r="L1104" t="str">
        <f t="shared" si="34"/>
        <v>Jul</v>
      </c>
      <c r="M1104">
        <f t="shared" si="35"/>
        <v>7</v>
      </c>
    </row>
    <row r="1105" spans="1:13" x14ac:dyDescent="0.25">
      <c r="A1105" s="2" t="s">
        <v>1178</v>
      </c>
      <c r="B1105" s="3">
        <v>45869</v>
      </c>
      <c r="C1105" s="2" t="s">
        <v>97</v>
      </c>
      <c r="D1105" s="2" t="s">
        <v>98</v>
      </c>
      <c r="E1105" s="2" t="s">
        <v>99</v>
      </c>
      <c r="F1105" s="2" t="s">
        <v>14</v>
      </c>
      <c r="G1105" s="2" t="s">
        <v>37</v>
      </c>
      <c r="H1105" s="2">
        <v>5</v>
      </c>
      <c r="I1105" s="4">
        <v>183.82</v>
      </c>
      <c r="J1105" s="2" t="s">
        <v>16</v>
      </c>
      <c r="K1105">
        <f>H1105*I1105</f>
        <v>919.09999999999991</v>
      </c>
      <c r="L1105" t="str">
        <f t="shared" si="34"/>
        <v>Jul</v>
      </c>
      <c r="M1105">
        <f t="shared" si="35"/>
        <v>7</v>
      </c>
    </row>
    <row r="1106" spans="1:13" x14ac:dyDescent="0.25">
      <c r="A1106" s="2" t="s">
        <v>1179</v>
      </c>
      <c r="B1106" s="3">
        <v>45870</v>
      </c>
      <c r="C1106" s="2" t="s">
        <v>48</v>
      </c>
      <c r="D1106" s="2" t="s">
        <v>48</v>
      </c>
      <c r="E1106" s="2" t="s">
        <v>49</v>
      </c>
      <c r="F1106" s="2" t="s">
        <v>20</v>
      </c>
      <c r="G1106" s="2" t="s">
        <v>21</v>
      </c>
      <c r="H1106" s="2">
        <v>2</v>
      </c>
      <c r="I1106" s="4">
        <v>55</v>
      </c>
      <c r="J1106" s="2" t="s">
        <v>38</v>
      </c>
      <c r="K1106">
        <f>H1106*I1106</f>
        <v>110</v>
      </c>
      <c r="L1106" t="str">
        <f t="shared" si="34"/>
        <v>Aug</v>
      </c>
      <c r="M1106">
        <f t="shared" si="35"/>
        <v>8</v>
      </c>
    </row>
    <row r="1107" spans="1:13" x14ac:dyDescent="0.25">
      <c r="A1107" s="2" t="s">
        <v>1180</v>
      </c>
      <c r="B1107" s="3">
        <v>45870</v>
      </c>
      <c r="C1107" s="2" t="s">
        <v>119</v>
      </c>
      <c r="D1107" s="2" t="s">
        <v>120</v>
      </c>
      <c r="E1107" s="2" t="s">
        <v>76</v>
      </c>
      <c r="F1107" s="2" t="s">
        <v>14</v>
      </c>
      <c r="G1107" s="2" t="s">
        <v>121</v>
      </c>
      <c r="H1107" s="2">
        <v>6</v>
      </c>
      <c r="I1107" s="4">
        <v>190</v>
      </c>
      <c r="J1107" s="2" t="s">
        <v>38</v>
      </c>
      <c r="K1107">
        <f>H1107*I1107</f>
        <v>1140</v>
      </c>
      <c r="L1107" t="str">
        <f t="shared" si="34"/>
        <v>Aug</v>
      </c>
      <c r="M1107">
        <f t="shared" si="35"/>
        <v>8</v>
      </c>
    </row>
    <row r="1108" spans="1:13" x14ac:dyDescent="0.25">
      <c r="A1108" s="2" t="s">
        <v>1181</v>
      </c>
      <c r="B1108" s="3">
        <v>45870</v>
      </c>
      <c r="C1108" s="2" t="s">
        <v>101</v>
      </c>
      <c r="D1108" s="2" t="s">
        <v>102</v>
      </c>
      <c r="E1108" s="2" t="s">
        <v>36</v>
      </c>
      <c r="F1108" s="2" t="s">
        <v>14</v>
      </c>
      <c r="G1108" s="2" t="s">
        <v>103</v>
      </c>
      <c r="H1108" s="2">
        <v>3</v>
      </c>
      <c r="I1108" s="4">
        <v>92.92</v>
      </c>
      <c r="J1108" s="2" t="s">
        <v>16</v>
      </c>
      <c r="K1108">
        <f>H1108*I1108</f>
        <v>278.76</v>
      </c>
      <c r="L1108" t="str">
        <f t="shared" si="34"/>
        <v>Aug</v>
      </c>
      <c r="M1108">
        <f t="shared" si="35"/>
        <v>8</v>
      </c>
    </row>
    <row r="1109" spans="1:13" x14ac:dyDescent="0.25">
      <c r="A1109" s="2" t="s">
        <v>1182</v>
      </c>
      <c r="B1109" s="3">
        <v>45870</v>
      </c>
      <c r="C1109" s="2" t="s">
        <v>40</v>
      </c>
      <c r="D1109" s="2" t="s">
        <v>40</v>
      </c>
      <c r="E1109" s="2" t="s">
        <v>19</v>
      </c>
      <c r="F1109" s="2" t="s">
        <v>20</v>
      </c>
      <c r="G1109" s="2" t="s">
        <v>21</v>
      </c>
      <c r="H1109" s="2">
        <v>6</v>
      </c>
      <c r="I1109" s="4">
        <v>46.46</v>
      </c>
      <c r="J1109" s="2" t="s">
        <v>22</v>
      </c>
      <c r="K1109">
        <f>H1109*I1109</f>
        <v>278.76</v>
      </c>
      <c r="L1109" t="str">
        <f t="shared" si="34"/>
        <v>Aug</v>
      </c>
      <c r="M1109">
        <f t="shared" si="35"/>
        <v>8</v>
      </c>
    </row>
    <row r="1110" spans="1:13" x14ac:dyDescent="0.25">
      <c r="A1110" s="2" t="s">
        <v>1183</v>
      </c>
      <c r="B1110" s="3">
        <v>45870</v>
      </c>
      <c r="C1110" s="2" t="s">
        <v>52</v>
      </c>
      <c r="D1110" s="2" t="s">
        <v>30</v>
      </c>
      <c r="E1110" s="2" t="s">
        <v>13</v>
      </c>
      <c r="F1110" s="2" t="s">
        <v>14</v>
      </c>
      <c r="G1110" s="2" t="s">
        <v>53</v>
      </c>
      <c r="H1110" s="2">
        <v>1</v>
      </c>
      <c r="I1110" s="4">
        <v>42.42</v>
      </c>
      <c r="J1110" s="2" t="s">
        <v>38</v>
      </c>
      <c r="K1110">
        <f>H1110*I1110</f>
        <v>42.42</v>
      </c>
      <c r="L1110" t="str">
        <f t="shared" si="34"/>
        <v>Aug</v>
      </c>
      <c r="M1110">
        <f t="shared" si="35"/>
        <v>8</v>
      </c>
    </row>
    <row r="1111" spans="1:13" x14ac:dyDescent="0.25">
      <c r="A1111" s="2" t="s">
        <v>1184</v>
      </c>
      <c r="B1111" s="3">
        <v>45871</v>
      </c>
      <c r="C1111" s="2" t="s">
        <v>86</v>
      </c>
      <c r="D1111" s="2" t="s">
        <v>48</v>
      </c>
      <c r="E1111" s="2" t="s">
        <v>49</v>
      </c>
      <c r="F1111" s="2" t="s">
        <v>14</v>
      </c>
      <c r="G1111" s="2" t="s">
        <v>87</v>
      </c>
      <c r="H1111" s="2">
        <v>3</v>
      </c>
      <c r="I1111" s="4">
        <v>126.25</v>
      </c>
      <c r="J1111" s="2" t="s">
        <v>31</v>
      </c>
      <c r="K1111">
        <f>H1111*I1111</f>
        <v>378.75</v>
      </c>
      <c r="L1111" t="str">
        <f t="shared" si="34"/>
        <v>Aug</v>
      </c>
      <c r="M1111">
        <f t="shared" si="35"/>
        <v>8</v>
      </c>
    </row>
    <row r="1112" spans="1:13" x14ac:dyDescent="0.25">
      <c r="A1112" s="2" t="s">
        <v>1185</v>
      </c>
      <c r="B1112" s="3">
        <v>45871</v>
      </c>
      <c r="C1112" s="2" t="s">
        <v>86</v>
      </c>
      <c r="D1112" s="2" t="s">
        <v>48</v>
      </c>
      <c r="E1112" s="2" t="s">
        <v>49</v>
      </c>
      <c r="F1112" s="2" t="s">
        <v>14</v>
      </c>
      <c r="G1112" s="2" t="s">
        <v>87</v>
      </c>
      <c r="H1112" s="2">
        <v>4</v>
      </c>
      <c r="I1112" s="4">
        <v>126.25</v>
      </c>
      <c r="J1112" s="2" t="s">
        <v>16</v>
      </c>
      <c r="K1112">
        <f>H1112*I1112</f>
        <v>505</v>
      </c>
      <c r="L1112" t="str">
        <f t="shared" si="34"/>
        <v>Aug</v>
      </c>
      <c r="M1112">
        <f t="shared" si="35"/>
        <v>8</v>
      </c>
    </row>
    <row r="1113" spans="1:13" x14ac:dyDescent="0.25">
      <c r="A1113" s="2" t="s">
        <v>1186</v>
      </c>
      <c r="B1113" s="3">
        <v>45871</v>
      </c>
      <c r="C1113" s="2" t="s">
        <v>75</v>
      </c>
      <c r="D1113" s="2" t="s">
        <v>75</v>
      </c>
      <c r="E1113" s="2" t="s">
        <v>76</v>
      </c>
      <c r="F1113" s="2" t="s">
        <v>20</v>
      </c>
      <c r="G1113" s="2" t="s">
        <v>21</v>
      </c>
      <c r="H1113" s="2">
        <v>6</v>
      </c>
      <c r="I1113" s="4">
        <v>12</v>
      </c>
      <c r="J1113" s="2" t="s">
        <v>16</v>
      </c>
      <c r="K1113">
        <f>H1113*I1113</f>
        <v>72</v>
      </c>
      <c r="L1113" t="str">
        <f t="shared" si="34"/>
        <v>Aug</v>
      </c>
      <c r="M1113">
        <f t="shared" si="35"/>
        <v>8</v>
      </c>
    </row>
    <row r="1114" spans="1:13" x14ac:dyDescent="0.25">
      <c r="A1114" s="2" t="s">
        <v>1187</v>
      </c>
      <c r="B1114" s="3">
        <v>45871</v>
      </c>
      <c r="C1114" s="2" t="s">
        <v>120</v>
      </c>
      <c r="D1114" s="2" t="s">
        <v>120</v>
      </c>
      <c r="E1114" s="2" t="s">
        <v>76</v>
      </c>
      <c r="F1114" s="2" t="s">
        <v>20</v>
      </c>
      <c r="G1114" s="2" t="s">
        <v>21</v>
      </c>
      <c r="H1114" s="2">
        <v>6</v>
      </c>
      <c r="I1114" s="4">
        <v>42.42</v>
      </c>
      <c r="J1114" s="2" t="s">
        <v>38</v>
      </c>
      <c r="K1114">
        <f>H1114*I1114</f>
        <v>254.52</v>
      </c>
      <c r="L1114" t="str">
        <f t="shared" si="34"/>
        <v>Aug</v>
      </c>
      <c r="M1114">
        <f t="shared" si="35"/>
        <v>8</v>
      </c>
    </row>
    <row r="1115" spans="1:13" x14ac:dyDescent="0.25">
      <c r="A1115" s="2" t="s">
        <v>1188</v>
      </c>
      <c r="B1115" s="3">
        <v>45871</v>
      </c>
      <c r="C1115" s="2" t="s">
        <v>190</v>
      </c>
      <c r="D1115" s="2" t="s">
        <v>40</v>
      </c>
      <c r="E1115" s="2" t="s">
        <v>19</v>
      </c>
      <c r="F1115" s="2" t="s">
        <v>14</v>
      </c>
      <c r="G1115" s="2" t="s">
        <v>191</v>
      </c>
      <c r="H1115" s="2">
        <v>3</v>
      </c>
      <c r="I1115" s="4">
        <v>143.41999999999999</v>
      </c>
      <c r="J1115" s="2" t="s">
        <v>38</v>
      </c>
      <c r="K1115">
        <f>H1115*I1115</f>
        <v>430.26</v>
      </c>
      <c r="L1115" t="str">
        <f t="shared" si="34"/>
        <v>Aug</v>
      </c>
      <c r="M1115">
        <f t="shared" si="35"/>
        <v>8</v>
      </c>
    </row>
    <row r="1116" spans="1:13" x14ac:dyDescent="0.25">
      <c r="A1116" s="2" t="s">
        <v>1189</v>
      </c>
      <c r="B1116" s="3">
        <v>45871</v>
      </c>
      <c r="C1116" s="2" t="s">
        <v>79</v>
      </c>
      <c r="D1116" s="2" t="s">
        <v>80</v>
      </c>
      <c r="E1116" s="2" t="s">
        <v>26</v>
      </c>
      <c r="F1116" s="2" t="s">
        <v>14</v>
      </c>
      <c r="G1116" s="2" t="s">
        <v>81</v>
      </c>
      <c r="H1116" s="2">
        <v>3</v>
      </c>
      <c r="I1116" s="4">
        <v>152</v>
      </c>
      <c r="J1116" s="2" t="s">
        <v>22</v>
      </c>
      <c r="K1116">
        <f>H1116*I1116</f>
        <v>456</v>
      </c>
      <c r="L1116" t="str">
        <f t="shared" si="34"/>
        <v>Aug</v>
      </c>
      <c r="M1116">
        <f t="shared" si="35"/>
        <v>8</v>
      </c>
    </row>
    <row r="1117" spans="1:13" x14ac:dyDescent="0.25">
      <c r="A1117" s="2" t="s">
        <v>1190</v>
      </c>
      <c r="B1117" s="3">
        <v>45871</v>
      </c>
      <c r="C1117" s="2" t="s">
        <v>25</v>
      </c>
      <c r="D1117" s="2" t="s">
        <v>25</v>
      </c>
      <c r="E1117" s="2" t="s">
        <v>26</v>
      </c>
      <c r="F1117" s="2" t="s">
        <v>20</v>
      </c>
      <c r="G1117" s="2" t="s">
        <v>21</v>
      </c>
      <c r="H1117" s="2">
        <v>1</v>
      </c>
      <c r="I1117" s="4">
        <v>20.2</v>
      </c>
      <c r="J1117" s="2" t="s">
        <v>38</v>
      </c>
      <c r="K1117">
        <f>H1117*I1117</f>
        <v>20.2</v>
      </c>
      <c r="L1117" t="str">
        <f t="shared" si="34"/>
        <v>Aug</v>
      </c>
      <c r="M1117">
        <f t="shared" si="35"/>
        <v>8</v>
      </c>
    </row>
    <row r="1118" spans="1:13" x14ac:dyDescent="0.25">
      <c r="A1118" s="2" t="s">
        <v>1191</v>
      </c>
      <c r="B1118" s="3">
        <v>45872</v>
      </c>
      <c r="C1118" s="2" t="s">
        <v>48</v>
      </c>
      <c r="D1118" s="2" t="s">
        <v>48</v>
      </c>
      <c r="E1118" s="2" t="s">
        <v>49</v>
      </c>
      <c r="F1118" s="2" t="s">
        <v>20</v>
      </c>
      <c r="G1118" s="2" t="s">
        <v>21</v>
      </c>
      <c r="H1118" s="2">
        <v>1</v>
      </c>
      <c r="I1118" s="4">
        <v>55</v>
      </c>
      <c r="J1118" s="2" t="s">
        <v>22</v>
      </c>
      <c r="K1118">
        <f>H1118*I1118</f>
        <v>55</v>
      </c>
      <c r="L1118" t="str">
        <f t="shared" si="34"/>
        <v>Aug</v>
      </c>
      <c r="M1118">
        <f t="shared" si="35"/>
        <v>8</v>
      </c>
    </row>
    <row r="1119" spans="1:13" x14ac:dyDescent="0.25">
      <c r="A1119" s="2" t="s">
        <v>1192</v>
      </c>
      <c r="B1119" s="3">
        <v>45872</v>
      </c>
      <c r="C1119" s="2" t="s">
        <v>34</v>
      </c>
      <c r="D1119" s="2" t="s">
        <v>35</v>
      </c>
      <c r="E1119" s="2" t="s">
        <v>36</v>
      </c>
      <c r="F1119" s="2" t="s">
        <v>14</v>
      </c>
      <c r="G1119" s="2" t="s">
        <v>37</v>
      </c>
      <c r="H1119" s="2">
        <v>3</v>
      </c>
      <c r="I1119" s="4">
        <v>165</v>
      </c>
      <c r="J1119" s="2" t="s">
        <v>22</v>
      </c>
      <c r="K1119">
        <f>H1119*I1119</f>
        <v>495</v>
      </c>
      <c r="L1119" t="str">
        <f t="shared" si="34"/>
        <v>Aug</v>
      </c>
      <c r="M1119">
        <f t="shared" si="35"/>
        <v>8</v>
      </c>
    </row>
    <row r="1120" spans="1:13" x14ac:dyDescent="0.25">
      <c r="A1120" s="2" t="s">
        <v>1193</v>
      </c>
      <c r="B1120" s="3">
        <v>45873</v>
      </c>
      <c r="C1120" s="2" t="s">
        <v>11</v>
      </c>
      <c r="D1120" s="2" t="s">
        <v>12</v>
      </c>
      <c r="E1120" s="2" t="s">
        <v>13</v>
      </c>
      <c r="F1120" s="2" t="s">
        <v>14</v>
      </c>
      <c r="G1120" s="2" t="s">
        <v>15</v>
      </c>
      <c r="H1120" s="2">
        <v>4</v>
      </c>
      <c r="I1120" s="4">
        <v>32</v>
      </c>
      <c r="J1120" s="2" t="s">
        <v>22</v>
      </c>
      <c r="K1120">
        <f>H1120*I1120</f>
        <v>128</v>
      </c>
      <c r="L1120" t="str">
        <f t="shared" si="34"/>
        <v>Aug</v>
      </c>
      <c r="M1120">
        <f t="shared" si="35"/>
        <v>8</v>
      </c>
    </row>
    <row r="1121" spans="1:13" x14ac:dyDescent="0.25">
      <c r="A1121" s="2" t="s">
        <v>1194</v>
      </c>
      <c r="B1121" s="3">
        <v>45873</v>
      </c>
      <c r="C1121" s="2" t="s">
        <v>11</v>
      </c>
      <c r="D1121" s="2" t="s">
        <v>12</v>
      </c>
      <c r="E1121" s="2" t="s">
        <v>13</v>
      </c>
      <c r="F1121" s="2" t="s">
        <v>14</v>
      </c>
      <c r="G1121" s="2" t="s">
        <v>15</v>
      </c>
      <c r="H1121" s="2">
        <v>4</v>
      </c>
      <c r="I1121" s="4">
        <v>32.32</v>
      </c>
      <c r="J1121" s="2" t="s">
        <v>38</v>
      </c>
      <c r="K1121">
        <f>H1121*I1121</f>
        <v>129.28</v>
      </c>
      <c r="L1121" t="str">
        <f t="shared" si="34"/>
        <v>Aug</v>
      </c>
      <c r="M1121">
        <f t="shared" si="35"/>
        <v>8</v>
      </c>
    </row>
    <row r="1122" spans="1:13" x14ac:dyDescent="0.25">
      <c r="A1122" s="2" t="s">
        <v>1195</v>
      </c>
      <c r="B1122" s="3">
        <v>45873</v>
      </c>
      <c r="C1122" s="2" t="s">
        <v>52</v>
      </c>
      <c r="D1122" s="2" t="s">
        <v>30</v>
      </c>
      <c r="E1122" s="2" t="s">
        <v>13</v>
      </c>
      <c r="F1122" s="2" t="s">
        <v>14</v>
      </c>
      <c r="G1122" s="2" t="s">
        <v>53</v>
      </c>
      <c r="H1122" s="2">
        <v>1</v>
      </c>
      <c r="I1122" s="4">
        <v>42.42</v>
      </c>
      <c r="J1122" s="2" t="s">
        <v>22</v>
      </c>
      <c r="K1122">
        <f>H1122*I1122</f>
        <v>42.42</v>
      </c>
      <c r="L1122" t="str">
        <f t="shared" si="34"/>
        <v>Aug</v>
      </c>
      <c r="M1122">
        <f t="shared" si="35"/>
        <v>8</v>
      </c>
    </row>
    <row r="1123" spans="1:13" x14ac:dyDescent="0.25">
      <c r="A1123" s="2" t="s">
        <v>1196</v>
      </c>
      <c r="B1123" s="3">
        <v>45874</v>
      </c>
      <c r="C1123" s="2" t="s">
        <v>12</v>
      </c>
      <c r="D1123" s="2" t="s">
        <v>12</v>
      </c>
      <c r="E1123" s="2" t="s">
        <v>13</v>
      </c>
      <c r="F1123" s="2" t="s">
        <v>20</v>
      </c>
      <c r="G1123" s="2" t="s">
        <v>21</v>
      </c>
      <c r="H1123" s="2">
        <v>1</v>
      </c>
      <c r="I1123" s="4">
        <v>14.14</v>
      </c>
      <c r="J1123" s="2" t="s">
        <v>31</v>
      </c>
      <c r="K1123">
        <f>H1123*I1123</f>
        <v>14.14</v>
      </c>
      <c r="L1123" t="str">
        <f t="shared" si="34"/>
        <v>Aug</v>
      </c>
      <c r="M1123">
        <f t="shared" si="35"/>
        <v>8</v>
      </c>
    </row>
    <row r="1124" spans="1:13" x14ac:dyDescent="0.25">
      <c r="A1124" s="2" t="s">
        <v>1197</v>
      </c>
      <c r="B1124" s="3">
        <v>45874</v>
      </c>
      <c r="C1124" s="2" t="s">
        <v>101</v>
      </c>
      <c r="D1124" s="2" t="s">
        <v>102</v>
      </c>
      <c r="E1124" s="2" t="s">
        <v>36</v>
      </c>
      <c r="F1124" s="2" t="s">
        <v>14</v>
      </c>
      <c r="G1124" s="2" t="s">
        <v>103</v>
      </c>
      <c r="H1124" s="2">
        <v>6</v>
      </c>
      <c r="I1124" s="4">
        <v>92.92</v>
      </c>
      <c r="J1124" s="2" t="s">
        <v>16</v>
      </c>
      <c r="K1124">
        <f>H1124*I1124</f>
        <v>557.52</v>
      </c>
      <c r="L1124" t="str">
        <f t="shared" si="34"/>
        <v>Aug</v>
      </c>
      <c r="M1124">
        <f t="shared" si="35"/>
        <v>8</v>
      </c>
    </row>
    <row r="1125" spans="1:13" x14ac:dyDescent="0.25">
      <c r="A1125" s="2" t="s">
        <v>1198</v>
      </c>
      <c r="B1125" s="3">
        <v>45874</v>
      </c>
      <c r="C1125" s="2" t="s">
        <v>124</v>
      </c>
      <c r="D1125" s="2" t="s">
        <v>18</v>
      </c>
      <c r="E1125" s="2" t="s">
        <v>19</v>
      </c>
      <c r="F1125" s="2" t="s">
        <v>14</v>
      </c>
      <c r="G1125" s="2" t="s">
        <v>125</v>
      </c>
      <c r="H1125" s="2">
        <v>6</v>
      </c>
      <c r="I1125" s="4">
        <v>45.45</v>
      </c>
      <c r="J1125" s="2" t="s">
        <v>16</v>
      </c>
      <c r="K1125">
        <f>H1125*I1125</f>
        <v>272.70000000000005</v>
      </c>
      <c r="L1125" t="str">
        <f t="shared" si="34"/>
        <v>Aug</v>
      </c>
      <c r="M1125">
        <f t="shared" si="35"/>
        <v>8</v>
      </c>
    </row>
    <row r="1126" spans="1:13" x14ac:dyDescent="0.25">
      <c r="A1126" s="2" t="s">
        <v>1199</v>
      </c>
      <c r="B1126" s="3">
        <v>45875</v>
      </c>
      <c r="C1126" s="2" t="s">
        <v>102</v>
      </c>
      <c r="D1126" s="2" t="s">
        <v>102</v>
      </c>
      <c r="E1126" s="2" t="s">
        <v>36</v>
      </c>
      <c r="F1126" s="2" t="s">
        <v>20</v>
      </c>
      <c r="G1126" s="2" t="s">
        <v>21</v>
      </c>
      <c r="H1126" s="2">
        <v>2</v>
      </c>
      <c r="I1126" s="4">
        <v>35.35</v>
      </c>
      <c r="J1126" s="2" t="s">
        <v>16</v>
      </c>
      <c r="K1126">
        <f>H1126*I1126</f>
        <v>70.7</v>
      </c>
      <c r="L1126" t="str">
        <f t="shared" si="34"/>
        <v>Aug</v>
      </c>
      <c r="M1126">
        <f t="shared" si="35"/>
        <v>8</v>
      </c>
    </row>
    <row r="1127" spans="1:13" x14ac:dyDescent="0.25">
      <c r="A1127" s="2" t="s">
        <v>1200</v>
      </c>
      <c r="B1127" s="3">
        <v>45875</v>
      </c>
      <c r="C1127" s="2" t="s">
        <v>18</v>
      </c>
      <c r="D1127" s="2" t="s">
        <v>18</v>
      </c>
      <c r="E1127" s="2" t="s">
        <v>19</v>
      </c>
      <c r="F1127" s="2" t="s">
        <v>20</v>
      </c>
      <c r="G1127" s="2" t="s">
        <v>21</v>
      </c>
      <c r="H1127" s="2">
        <v>12</v>
      </c>
      <c r="I1127" s="4">
        <v>15</v>
      </c>
      <c r="J1127" s="2" t="s">
        <v>16</v>
      </c>
      <c r="K1127">
        <f>H1127*I1127</f>
        <v>180</v>
      </c>
      <c r="L1127" t="str">
        <f t="shared" si="34"/>
        <v>Aug</v>
      </c>
      <c r="M1127">
        <f t="shared" si="35"/>
        <v>8</v>
      </c>
    </row>
    <row r="1128" spans="1:13" x14ac:dyDescent="0.25">
      <c r="A1128" s="2" t="s">
        <v>1201</v>
      </c>
      <c r="B1128" s="3">
        <v>45875</v>
      </c>
      <c r="C1128" s="2" t="s">
        <v>40</v>
      </c>
      <c r="D1128" s="2" t="s">
        <v>40</v>
      </c>
      <c r="E1128" s="2" t="s">
        <v>19</v>
      </c>
      <c r="F1128" s="2" t="s">
        <v>20</v>
      </c>
      <c r="G1128" s="2" t="s">
        <v>21</v>
      </c>
      <c r="H1128" s="2">
        <v>3</v>
      </c>
      <c r="I1128" s="4">
        <v>46.46</v>
      </c>
      <c r="J1128" s="2" t="s">
        <v>16</v>
      </c>
      <c r="K1128">
        <f>H1128*I1128</f>
        <v>139.38</v>
      </c>
      <c r="L1128" t="str">
        <f t="shared" si="34"/>
        <v>Aug</v>
      </c>
      <c r="M1128">
        <f t="shared" si="35"/>
        <v>8</v>
      </c>
    </row>
    <row r="1129" spans="1:13" x14ac:dyDescent="0.25">
      <c r="A1129" s="2" t="s">
        <v>1202</v>
      </c>
      <c r="B1129" s="3">
        <v>45875</v>
      </c>
      <c r="C1129" s="2" t="s">
        <v>40</v>
      </c>
      <c r="D1129" s="2" t="s">
        <v>40</v>
      </c>
      <c r="E1129" s="2" t="s">
        <v>19</v>
      </c>
      <c r="F1129" s="2" t="s">
        <v>20</v>
      </c>
      <c r="G1129" s="2" t="s">
        <v>21</v>
      </c>
      <c r="H1129" s="2">
        <v>6</v>
      </c>
      <c r="I1129" s="4">
        <v>46.46</v>
      </c>
      <c r="J1129" s="2" t="s">
        <v>16</v>
      </c>
      <c r="K1129">
        <f>H1129*I1129</f>
        <v>278.76</v>
      </c>
      <c r="L1129" t="str">
        <f t="shared" si="34"/>
        <v>Aug</v>
      </c>
      <c r="M1129">
        <f t="shared" si="35"/>
        <v>8</v>
      </c>
    </row>
    <row r="1130" spans="1:13" x14ac:dyDescent="0.25">
      <c r="A1130" s="2" t="s">
        <v>1203</v>
      </c>
      <c r="B1130" s="3">
        <v>45875</v>
      </c>
      <c r="C1130" s="2" t="s">
        <v>24</v>
      </c>
      <c r="D1130" s="2" t="s">
        <v>25</v>
      </c>
      <c r="E1130" s="2" t="s">
        <v>26</v>
      </c>
      <c r="F1130" s="2" t="s">
        <v>14</v>
      </c>
      <c r="G1130" s="2" t="s">
        <v>27</v>
      </c>
      <c r="H1130" s="2">
        <v>3</v>
      </c>
      <c r="I1130" s="4">
        <v>58.58</v>
      </c>
      <c r="J1130" s="2" t="s">
        <v>22</v>
      </c>
      <c r="K1130">
        <f>H1130*I1130</f>
        <v>175.74</v>
      </c>
      <c r="L1130" t="str">
        <f t="shared" si="34"/>
        <v>Aug</v>
      </c>
      <c r="M1130">
        <f t="shared" si="35"/>
        <v>8</v>
      </c>
    </row>
    <row r="1131" spans="1:13" x14ac:dyDescent="0.25">
      <c r="A1131" s="2" t="s">
        <v>1204</v>
      </c>
      <c r="B1131" s="3">
        <v>45875</v>
      </c>
      <c r="C1131" s="2" t="s">
        <v>25</v>
      </c>
      <c r="D1131" s="2" t="s">
        <v>25</v>
      </c>
      <c r="E1131" s="2" t="s">
        <v>26</v>
      </c>
      <c r="F1131" s="2" t="s">
        <v>20</v>
      </c>
      <c r="G1131" s="2" t="s">
        <v>21</v>
      </c>
      <c r="H1131" s="2">
        <v>4</v>
      </c>
      <c r="I1131" s="4">
        <v>20</v>
      </c>
      <c r="J1131" s="2" t="s">
        <v>16</v>
      </c>
      <c r="K1131">
        <f>H1131*I1131</f>
        <v>80</v>
      </c>
      <c r="L1131" t="str">
        <f t="shared" si="34"/>
        <v>Aug</v>
      </c>
      <c r="M1131">
        <f t="shared" si="35"/>
        <v>8</v>
      </c>
    </row>
    <row r="1132" spans="1:13" x14ac:dyDescent="0.25">
      <c r="A1132" s="2" t="s">
        <v>1205</v>
      </c>
      <c r="B1132" s="3">
        <v>45875</v>
      </c>
      <c r="C1132" s="2" t="s">
        <v>25</v>
      </c>
      <c r="D1132" s="2" t="s">
        <v>25</v>
      </c>
      <c r="E1132" s="2" t="s">
        <v>26</v>
      </c>
      <c r="F1132" s="2" t="s">
        <v>20</v>
      </c>
      <c r="G1132" s="2" t="s">
        <v>21</v>
      </c>
      <c r="H1132" s="2">
        <v>1</v>
      </c>
      <c r="I1132" s="4">
        <v>20.2</v>
      </c>
      <c r="J1132" s="2" t="s">
        <v>38</v>
      </c>
      <c r="K1132">
        <f>H1132*I1132</f>
        <v>20.2</v>
      </c>
      <c r="L1132" t="str">
        <f t="shared" si="34"/>
        <v>Aug</v>
      </c>
      <c r="M1132">
        <f t="shared" si="35"/>
        <v>8</v>
      </c>
    </row>
    <row r="1133" spans="1:13" x14ac:dyDescent="0.25">
      <c r="A1133" s="2" t="s">
        <v>1206</v>
      </c>
      <c r="B1133" s="3">
        <v>45876</v>
      </c>
      <c r="C1133" s="2" t="s">
        <v>124</v>
      </c>
      <c r="D1133" s="2" t="s">
        <v>18</v>
      </c>
      <c r="E1133" s="2" t="s">
        <v>19</v>
      </c>
      <c r="F1133" s="2" t="s">
        <v>14</v>
      </c>
      <c r="G1133" s="2" t="s">
        <v>125</v>
      </c>
      <c r="H1133" s="2">
        <v>3</v>
      </c>
      <c r="I1133" s="4">
        <v>45.45</v>
      </c>
      <c r="J1133" s="2" t="s">
        <v>16</v>
      </c>
      <c r="K1133">
        <f>H1133*I1133</f>
        <v>136.35000000000002</v>
      </c>
      <c r="L1133" t="str">
        <f t="shared" si="34"/>
        <v>Aug</v>
      </c>
      <c r="M1133">
        <f t="shared" si="35"/>
        <v>8</v>
      </c>
    </row>
    <row r="1134" spans="1:13" x14ac:dyDescent="0.25">
      <c r="A1134" s="2" t="s">
        <v>1207</v>
      </c>
      <c r="B1134" s="3">
        <v>45876</v>
      </c>
      <c r="C1134" s="2" t="s">
        <v>61</v>
      </c>
      <c r="D1134" s="2" t="s">
        <v>61</v>
      </c>
      <c r="E1134" s="2" t="s">
        <v>62</v>
      </c>
      <c r="F1134" s="2" t="s">
        <v>20</v>
      </c>
      <c r="G1134" s="2" t="s">
        <v>21</v>
      </c>
      <c r="H1134" s="2">
        <v>4</v>
      </c>
      <c r="I1134" s="4">
        <v>8</v>
      </c>
      <c r="J1134" s="2" t="s">
        <v>38</v>
      </c>
      <c r="K1134">
        <f>H1134*I1134</f>
        <v>32</v>
      </c>
      <c r="L1134" t="str">
        <f t="shared" si="34"/>
        <v>Aug</v>
      </c>
      <c r="M1134">
        <f t="shared" si="35"/>
        <v>8</v>
      </c>
    </row>
    <row r="1135" spans="1:13" x14ac:dyDescent="0.25">
      <c r="A1135" s="2" t="s">
        <v>1208</v>
      </c>
      <c r="B1135" s="3">
        <v>45876</v>
      </c>
      <c r="C1135" s="2" t="s">
        <v>52</v>
      </c>
      <c r="D1135" s="2" t="s">
        <v>30</v>
      </c>
      <c r="E1135" s="2" t="s">
        <v>13</v>
      </c>
      <c r="F1135" s="2" t="s">
        <v>14</v>
      </c>
      <c r="G1135" s="2" t="s">
        <v>53</v>
      </c>
      <c r="H1135" s="2">
        <v>3</v>
      </c>
      <c r="I1135" s="4">
        <v>42.42</v>
      </c>
      <c r="J1135" s="2" t="s">
        <v>16</v>
      </c>
      <c r="K1135">
        <f>H1135*I1135</f>
        <v>127.26</v>
      </c>
      <c r="L1135" t="str">
        <f t="shared" si="34"/>
        <v>Aug</v>
      </c>
      <c r="M1135">
        <f t="shared" si="35"/>
        <v>8</v>
      </c>
    </row>
    <row r="1136" spans="1:13" x14ac:dyDescent="0.25">
      <c r="A1136" s="2" t="s">
        <v>1209</v>
      </c>
      <c r="B1136" s="3">
        <v>45877</v>
      </c>
      <c r="C1136" s="2" t="s">
        <v>72</v>
      </c>
      <c r="D1136" s="2" t="s">
        <v>68</v>
      </c>
      <c r="E1136" s="2" t="s">
        <v>49</v>
      </c>
      <c r="F1136" s="2" t="s">
        <v>20</v>
      </c>
      <c r="G1136" s="2" t="s">
        <v>21</v>
      </c>
      <c r="H1136" s="2">
        <v>2</v>
      </c>
      <c r="I1136" s="4">
        <v>95.95</v>
      </c>
      <c r="J1136" s="2" t="s">
        <v>16</v>
      </c>
      <c r="K1136">
        <f>H1136*I1136</f>
        <v>191.9</v>
      </c>
      <c r="L1136" t="str">
        <f t="shared" si="34"/>
        <v>Aug</v>
      </c>
      <c r="M1136">
        <f t="shared" si="35"/>
        <v>8</v>
      </c>
    </row>
    <row r="1137" spans="1:13" x14ac:dyDescent="0.25">
      <c r="A1137" s="2" t="s">
        <v>1210</v>
      </c>
      <c r="B1137" s="3">
        <v>45877</v>
      </c>
      <c r="C1137" s="2" t="s">
        <v>124</v>
      </c>
      <c r="D1137" s="2" t="s">
        <v>18</v>
      </c>
      <c r="E1137" s="2" t="s">
        <v>19</v>
      </c>
      <c r="F1137" s="2" t="s">
        <v>14</v>
      </c>
      <c r="G1137" s="2" t="s">
        <v>125</v>
      </c>
      <c r="H1137" s="2">
        <v>2</v>
      </c>
      <c r="I1137" s="4">
        <v>45.45</v>
      </c>
      <c r="J1137" s="2" t="s">
        <v>22</v>
      </c>
      <c r="K1137">
        <f>H1137*I1137</f>
        <v>90.9</v>
      </c>
      <c r="L1137" t="str">
        <f t="shared" si="34"/>
        <v>Aug</v>
      </c>
      <c r="M1137">
        <f t="shared" si="35"/>
        <v>8</v>
      </c>
    </row>
    <row r="1138" spans="1:13" x14ac:dyDescent="0.25">
      <c r="A1138" s="2" t="s">
        <v>1211</v>
      </c>
      <c r="B1138" s="3">
        <v>45877</v>
      </c>
      <c r="C1138" s="2" t="s">
        <v>190</v>
      </c>
      <c r="D1138" s="2" t="s">
        <v>40</v>
      </c>
      <c r="E1138" s="2" t="s">
        <v>19</v>
      </c>
      <c r="F1138" s="2" t="s">
        <v>14</v>
      </c>
      <c r="G1138" s="2" t="s">
        <v>191</v>
      </c>
      <c r="H1138" s="2">
        <v>6</v>
      </c>
      <c r="I1138" s="4">
        <v>143.41999999999999</v>
      </c>
      <c r="J1138" s="2" t="s">
        <v>16</v>
      </c>
      <c r="K1138">
        <f>H1138*I1138</f>
        <v>860.52</v>
      </c>
      <c r="L1138" t="str">
        <f t="shared" si="34"/>
        <v>Aug</v>
      </c>
      <c r="M1138">
        <f t="shared" si="35"/>
        <v>8</v>
      </c>
    </row>
    <row r="1139" spans="1:13" x14ac:dyDescent="0.25">
      <c r="A1139" s="2" t="s">
        <v>1212</v>
      </c>
      <c r="B1139" s="3">
        <v>45877</v>
      </c>
      <c r="C1139" s="2" t="s">
        <v>60</v>
      </c>
      <c r="D1139" s="2" t="s">
        <v>61</v>
      </c>
      <c r="E1139" s="2" t="s">
        <v>62</v>
      </c>
      <c r="F1139" s="2" t="s">
        <v>14</v>
      </c>
      <c r="G1139" s="2" t="s">
        <v>63</v>
      </c>
      <c r="H1139" s="2">
        <v>4</v>
      </c>
      <c r="I1139" s="4">
        <v>26.26</v>
      </c>
      <c r="J1139" s="2" t="s">
        <v>16</v>
      </c>
      <c r="K1139">
        <f>H1139*I1139</f>
        <v>105.04</v>
      </c>
      <c r="L1139" t="str">
        <f t="shared" si="34"/>
        <v>Aug</v>
      </c>
      <c r="M1139">
        <f t="shared" si="35"/>
        <v>8</v>
      </c>
    </row>
    <row r="1140" spans="1:13" x14ac:dyDescent="0.25">
      <c r="A1140" s="2" t="s">
        <v>1213</v>
      </c>
      <c r="B1140" s="3">
        <v>45878</v>
      </c>
      <c r="C1140" s="2" t="s">
        <v>86</v>
      </c>
      <c r="D1140" s="2" t="s">
        <v>48</v>
      </c>
      <c r="E1140" s="2" t="s">
        <v>49</v>
      </c>
      <c r="F1140" s="2" t="s">
        <v>14</v>
      </c>
      <c r="G1140" s="2" t="s">
        <v>87</v>
      </c>
      <c r="H1140" s="2">
        <v>1</v>
      </c>
      <c r="I1140" s="4">
        <v>125</v>
      </c>
      <c r="J1140" s="2" t="s">
        <v>22</v>
      </c>
      <c r="K1140">
        <f>H1140*I1140</f>
        <v>125</v>
      </c>
      <c r="L1140" t="str">
        <f t="shared" si="34"/>
        <v>Aug</v>
      </c>
      <c r="M1140">
        <f t="shared" si="35"/>
        <v>8</v>
      </c>
    </row>
    <row r="1141" spans="1:13" x14ac:dyDescent="0.25">
      <c r="A1141" s="2" t="s">
        <v>1214</v>
      </c>
      <c r="B1141" s="3">
        <v>45878</v>
      </c>
      <c r="C1141" s="2" t="s">
        <v>74</v>
      </c>
      <c r="D1141" s="2" t="s">
        <v>75</v>
      </c>
      <c r="E1141" s="2" t="s">
        <v>76</v>
      </c>
      <c r="F1141" s="2" t="s">
        <v>14</v>
      </c>
      <c r="G1141" s="2" t="s">
        <v>77</v>
      </c>
      <c r="H1141" s="2">
        <v>6</v>
      </c>
      <c r="I1141" s="4">
        <v>32.32</v>
      </c>
      <c r="J1141" s="2" t="s">
        <v>31</v>
      </c>
      <c r="K1141">
        <f>H1141*I1141</f>
        <v>193.92000000000002</v>
      </c>
      <c r="L1141" t="str">
        <f t="shared" si="34"/>
        <v>Aug</v>
      </c>
      <c r="M1141">
        <f t="shared" si="35"/>
        <v>8</v>
      </c>
    </row>
    <row r="1142" spans="1:13" x14ac:dyDescent="0.25">
      <c r="A1142" s="2" t="s">
        <v>1215</v>
      </c>
      <c r="B1142" s="3">
        <v>45878</v>
      </c>
      <c r="C1142" s="2" t="s">
        <v>79</v>
      </c>
      <c r="D1142" s="2" t="s">
        <v>80</v>
      </c>
      <c r="E1142" s="2" t="s">
        <v>26</v>
      </c>
      <c r="F1142" s="2" t="s">
        <v>14</v>
      </c>
      <c r="G1142" s="2" t="s">
        <v>81</v>
      </c>
      <c r="H1142" s="2">
        <v>3</v>
      </c>
      <c r="I1142" s="4">
        <v>152</v>
      </c>
      <c r="J1142" s="2" t="s">
        <v>31</v>
      </c>
      <c r="K1142">
        <f>H1142*I1142</f>
        <v>456</v>
      </c>
      <c r="L1142" t="str">
        <f t="shared" si="34"/>
        <v>Aug</v>
      </c>
      <c r="M1142">
        <f t="shared" si="35"/>
        <v>8</v>
      </c>
    </row>
    <row r="1143" spans="1:13" x14ac:dyDescent="0.25">
      <c r="A1143" s="2" t="s">
        <v>1216</v>
      </c>
      <c r="B1143" s="3">
        <v>45878</v>
      </c>
      <c r="C1143" s="2" t="s">
        <v>24</v>
      </c>
      <c r="D1143" s="2" t="s">
        <v>25</v>
      </c>
      <c r="E1143" s="2" t="s">
        <v>26</v>
      </c>
      <c r="F1143" s="2" t="s">
        <v>14</v>
      </c>
      <c r="G1143" s="2" t="s">
        <v>27</v>
      </c>
      <c r="H1143" s="2">
        <v>2</v>
      </c>
      <c r="I1143" s="4">
        <v>58</v>
      </c>
      <c r="J1143" s="2" t="s">
        <v>16</v>
      </c>
      <c r="K1143">
        <f>H1143*I1143</f>
        <v>116</v>
      </c>
      <c r="L1143" t="str">
        <f t="shared" si="34"/>
        <v>Aug</v>
      </c>
      <c r="M1143">
        <f t="shared" si="35"/>
        <v>8</v>
      </c>
    </row>
    <row r="1144" spans="1:13" x14ac:dyDescent="0.25">
      <c r="A1144" s="2" t="s">
        <v>1217</v>
      </c>
      <c r="B1144" s="3">
        <v>45878</v>
      </c>
      <c r="C1144" s="2" t="s">
        <v>60</v>
      </c>
      <c r="D1144" s="2" t="s">
        <v>61</v>
      </c>
      <c r="E1144" s="2" t="s">
        <v>62</v>
      </c>
      <c r="F1144" s="2" t="s">
        <v>14</v>
      </c>
      <c r="G1144" s="2" t="s">
        <v>63</v>
      </c>
      <c r="H1144" s="2">
        <v>1</v>
      </c>
      <c r="I1144" s="4">
        <v>26.26</v>
      </c>
      <c r="J1144" s="2" t="s">
        <v>16</v>
      </c>
      <c r="K1144">
        <f>H1144*I1144</f>
        <v>26.26</v>
      </c>
      <c r="L1144" t="str">
        <f t="shared" si="34"/>
        <v>Aug</v>
      </c>
      <c r="M1144">
        <f t="shared" si="35"/>
        <v>8</v>
      </c>
    </row>
    <row r="1145" spans="1:13" x14ac:dyDescent="0.25">
      <c r="A1145" s="2" t="s">
        <v>1218</v>
      </c>
      <c r="B1145" s="3">
        <v>45878</v>
      </c>
      <c r="C1145" s="2" t="s">
        <v>52</v>
      </c>
      <c r="D1145" s="2" t="s">
        <v>30</v>
      </c>
      <c r="E1145" s="2" t="s">
        <v>13</v>
      </c>
      <c r="F1145" s="2" t="s">
        <v>14</v>
      </c>
      <c r="G1145" s="2" t="s">
        <v>53</v>
      </c>
      <c r="H1145" s="2">
        <v>5</v>
      </c>
      <c r="I1145" s="4">
        <v>42</v>
      </c>
      <c r="J1145" s="2" t="s">
        <v>31</v>
      </c>
      <c r="K1145">
        <f>H1145*I1145</f>
        <v>210</v>
      </c>
      <c r="L1145" t="str">
        <f t="shared" si="34"/>
        <v>Aug</v>
      </c>
      <c r="M1145">
        <f t="shared" si="35"/>
        <v>8</v>
      </c>
    </row>
    <row r="1146" spans="1:13" x14ac:dyDescent="0.25">
      <c r="A1146" s="2" t="s">
        <v>1219</v>
      </c>
      <c r="B1146" s="3">
        <v>45878</v>
      </c>
      <c r="C1146" s="2" t="s">
        <v>42</v>
      </c>
      <c r="D1146" s="2" t="s">
        <v>43</v>
      </c>
      <c r="E1146" s="2" t="s">
        <v>44</v>
      </c>
      <c r="F1146" s="2" t="s">
        <v>14</v>
      </c>
      <c r="G1146" s="2" t="s">
        <v>45</v>
      </c>
      <c r="H1146" s="2">
        <v>2</v>
      </c>
      <c r="I1146" s="4">
        <v>46.46</v>
      </c>
      <c r="J1146" s="2" t="s">
        <v>31</v>
      </c>
      <c r="K1146">
        <f>H1146*I1146</f>
        <v>92.92</v>
      </c>
      <c r="L1146" t="str">
        <f t="shared" si="34"/>
        <v>Aug</v>
      </c>
      <c r="M1146">
        <f t="shared" si="35"/>
        <v>8</v>
      </c>
    </row>
    <row r="1147" spans="1:13" x14ac:dyDescent="0.25">
      <c r="A1147" s="2" t="s">
        <v>1220</v>
      </c>
      <c r="B1147" s="3">
        <v>45879</v>
      </c>
      <c r="C1147" s="2" t="s">
        <v>48</v>
      </c>
      <c r="D1147" s="2" t="s">
        <v>48</v>
      </c>
      <c r="E1147" s="2" t="s">
        <v>49</v>
      </c>
      <c r="F1147" s="2" t="s">
        <v>20</v>
      </c>
      <c r="G1147" s="2" t="s">
        <v>21</v>
      </c>
      <c r="H1147" s="2">
        <v>5</v>
      </c>
      <c r="I1147" s="4">
        <v>55</v>
      </c>
      <c r="J1147" s="2" t="s">
        <v>22</v>
      </c>
      <c r="K1147">
        <f>H1147*I1147</f>
        <v>275</v>
      </c>
      <c r="L1147" t="str">
        <f t="shared" si="34"/>
        <v>Aug</v>
      </c>
      <c r="M1147">
        <f t="shared" si="35"/>
        <v>8</v>
      </c>
    </row>
    <row r="1148" spans="1:13" x14ac:dyDescent="0.25">
      <c r="A1148" s="2" t="s">
        <v>1221</v>
      </c>
      <c r="B1148" s="3">
        <v>45879</v>
      </c>
      <c r="C1148" s="2" t="s">
        <v>74</v>
      </c>
      <c r="D1148" s="2" t="s">
        <v>75</v>
      </c>
      <c r="E1148" s="2" t="s">
        <v>76</v>
      </c>
      <c r="F1148" s="2" t="s">
        <v>14</v>
      </c>
      <c r="G1148" s="2" t="s">
        <v>77</v>
      </c>
      <c r="H1148" s="2">
        <v>2</v>
      </c>
      <c r="I1148" s="4">
        <v>32.32</v>
      </c>
      <c r="J1148" s="2" t="s">
        <v>16</v>
      </c>
      <c r="K1148">
        <f>H1148*I1148</f>
        <v>64.64</v>
      </c>
      <c r="L1148" t="str">
        <f t="shared" si="34"/>
        <v>Aug</v>
      </c>
      <c r="M1148">
        <f t="shared" si="35"/>
        <v>8</v>
      </c>
    </row>
    <row r="1149" spans="1:13" x14ac:dyDescent="0.25">
      <c r="A1149" s="2" t="s">
        <v>1222</v>
      </c>
      <c r="B1149" s="3">
        <v>45879</v>
      </c>
      <c r="C1149" s="2" t="s">
        <v>101</v>
      </c>
      <c r="D1149" s="2" t="s">
        <v>102</v>
      </c>
      <c r="E1149" s="2" t="s">
        <v>36</v>
      </c>
      <c r="F1149" s="2" t="s">
        <v>14</v>
      </c>
      <c r="G1149" s="2" t="s">
        <v>103</v>
      </c>
      <c r="H1149" s="2">
        <v>3</v>
      </c>
      <c r="I1149" s="4">
        <v>92.92</v>
      </c>
      <c r="J1149" s="2" t="s">
        <v>22</v>
      </c>
      <c r="K1149">
        <f>H1149*I1149</f>
        <v>278.76</v>
      </c>
      <c r="L1149" t="str">
        <f t="shared" si="34"/>
        <v>Aug</v>
      </c>
      <c r="M1149">
        <f t="shared" si="35"/>
        <v>8</v>
      </c>
    </row>
    <row r="1150" spans="1:13" x14ac:dyDescent="0.25">
      <c r="A1150" s="2" t="s">
        <v>1223</v>
      </c>
      <c r="B1150" s="3">
        <v>45879</v>
      </c>
      <c r="C1150" s="2" t="s">
        <v>52</v>
      </c>
      <c r="D1150" s="2" t="s">
        <v>30</v>
      </c>
      <c r="E1150" s="2" t="s">
        <v>13</v>
      </c>
      <c r="F1150" s="2" t="s">
        <v>14</v>
      </c>
      <c r="G1150" s="2" t="s">
        <v>53</v>
      </c>
      <c r="H1150" s="2">
        <v>4</v>
      </c>
      <c r="I1150" s="4">
        <v>42.42</v>
      </c>
      <c r="J1150" s="2" t="s">
        <v>16</v>
      </c>
      <c r="K1150">
        <f>H1150*I1150</f>
        <v>169.68</v>
      </c>
      <c r="L1150" t="str">
        <f t="shared" si="34"/>
        <v>Aug</v>
      </c>
      <c r="M1150">
        <f t="shared" si="35"/>
        <v>8</v>
      </c>
    </row>
    <row r="1151" spans="1:13" x14ac:dyDescent="0.25">
      <c r="A1151" s="2" t="s">
        <v>1224</v>
      </c>
      <c r="B1151" s="3">
        <v>45880</v>
      </c>
      <c r="C1151" s="2" t="s">
        <v>67</v>
      </c>
      <c r="D1151" s="2" t="s">
        <v>68</v>
      </c>
      <c r="E1151" s="2" t="s">
        <v>49</v>
      </c>
      <c r="F1151" s="2" t="s">
        <v>14</v>
      </c>
      <c r="G1151" s="2" t="s">
        <v>69</v>
      </c>
      <c r="H1151" s="2">
        <v>2</v>
      </c>
      <c r="I1151" s="4">
        <v>205</v>
      </c>
      <c r="J1151" s="2" t="s">
        <v>38</v>
      </c>
      <c r="K1151">
        <f>H1151*I1151</f>
        <v>410</v>
      </c>
      <c r="L1151" t="str">
        <f t="shared" si="34"/>
        <v>Aug</v>
      </c>
      <c r="M1151">
        <f t="shared" si="35"/>
        <v>8</v>
      </c>
    </row>
    <row r="1152" spans="1:13" x14ac:dyDescent="0.25">
      <c r="A1152" s="2" t="s">
        <v>1225</v>
      </c>
      <c r="B1152" s="3">
        <v>45880</v>
      </c>
      <c r="C1152" s="2" t="s">
        <v>18</v>
      </c>
      <c r="D1152" s="2" t="s">
        <v>18</v>
      </c>
      <c r="E1152" s="2" t="s">
        <v>19</v>
      </c>
      <c r="F1152" s="2" t="s">
        <v>20</v>
      </c>
      <c r="G1152" s="2" t="s">
        <v>21</v>
      </c>
      <c r="H1152" s="2">
        <v>3</v>
      </c>
      <c r="I1152" s="4">
        <v>15.15</v>
      </c>
      <c r="J1152" s="2" t="s">
        <v>16</v>
      </c>
      <c r="K1152">
        <f>H1152*I1152</f>
        <v>45.45</v>
      </c>
      <c r="L1152" t="str">
        <f t="shared" si="34"/>
        <v>Aug</v>
      </c>
      <c r="M1152">
        <f t="shared" si="35"/>
        <v>8</v>
      </c>
    </row>
    <row r="1153" spans="1:13" x14ac:dyDescent="0.25">
      <c r="A1153" s="2" t="s">
        <v>1226</v>
      </c>
      <c r="B1153" s="3">
        <v>45881</v>
      </c>
      <c r="C1153" s="2" t="s">
        <v>11</v>
      </c>
      <c r="D1153" s="2" t="s">
        <v>12</v>
      </c>
      <c r="E1153" s="2" t="s">
        <v>13</v>
      </c>
      <c r="F1153" s="2" t="s">
        <v>14</v>
      </c>
      <c r="G1153" s="2" t="s">
        <v>15</v>
      </c>
      <c r="H1153" s="2">
        <v>5</v>
      </c>
      <c r="I1153" s="4">
        <v>32</v>
      </c>
      <c r="J1153" s="2" t="s">
        <v>31</v>
      </c>
      <c r="K1153">
        <f>H1153*I1153</f>
        <v>160</v>
      </c>
      <c r="L1153" t="str">
        <f t="shared" si="34"/>
        <v>Aug</v>
      </c>
      <c r="M1153">
        <f t="shared" si="35"/>
        <v>8</v>
      </c>
    </row>
    <row r="1154" spans="1:13" x14ac:dyDescent="0.25">
      <c r="A1154" s="2" t="s">
        <v>1227</v>
      </c>
      <c r="B1154" s="3">
        <v>45881</v>
      </c>
      <c r="C1154" s="2" t="s">
        <v>11</v>
      </c>
      <c r="D1154" s="2" t="s">
        <v>12</v>
      </c>
      <c r="E1154" s="2" t="s">
        <v>13</v>
      </c>
      <c r="F1154" s="2" t="s">
        <v>14</v>
      </c>
      <c r="G1154" s="2" t="s">
        <v>15</v>
      </c>
      <c r="H1154" s="2">
        <v>2</v>
      </c>
      <c r="I1154" s="4">
        <v>32.32</v>
      </c>
      <c r="J1154" s="2" t="s">
        <v>38</v>
      </c>
      <c r="K1154">
        <f>H1154*I1154</f>
        <v>64.64</v>
      </c>
      <c r="L1154" t="str">
        <f t="shared" si="34"/>
        <v>Aug</v>
      </c>
      <c r="M1154">
        <f t="shared" si="35"/>
        <v>8</v>
      </c>
    </row>
    <row r="1155" spans="1:13" x14ac:dyDescent="0.25">
      <c r="A1155" s="2" t="s">
        <v>1228</v>
      </c>
      <c r="B1155" s="3">
        <v>45881</v>
      </c>
      <c r="C1155" s="2" t="s">
        <v>11</v>
      </c>
      <c r="D1155" s="2" t="s">
        <v>12</v>
      </c>
      <c r="E1155" s="2" t="s">
        <v>13</v>
      </c>
      <c r="F1155" s="2" t="s">
        <v>14</v>
      </c>
      <c r="G1155" s="2" t="s">
        <v>15</v>
      </c>
      <c r="H1155" s="2">
        <v>1</v>
      </c>
      <c r="I1155" s="4">
        <v>32</v>
      </c>
      <c r="J1155" s="2" t="s">
        <v>16</v>
      </c>
      <c r="K1155">
        <f>H1155*I1155</f>
        <v>32</v>
      </c>
      <c r="L1155" t="str">
        <f t="shared" ref="L1155:L1218" si="36">TEXT(B1155,"mmm")</f>
        <v>Aug</v>
      </c>
      <c r="M1155">
        <f t="shared" ref="M1155:M1218" si="37">MONTH(B1155)</f>
        <v>8</v>
      </c>
    </row>
    <row r="1156" spans="1:13" x14ac:dyDescent="0.25">
      <c r="A1156" s="2" t="s">
        <v>1229</v>
      </c>
      <c r="B1156" s="3">
        <v>45881</v>
      </c>
      <c r="C1156" s="2" t="s">
        <v>74</v>
      </c>
      <c r="D1156" s="2" t="s">
        <v>75</v>
      </c>
      <c r="E1156" s="2" t="s">
        <v>76</v>
      </c>
      <c r="F1156" s="2" t="s">
        <v>14</v>
      </c>
      <c r="G1156" s="2" t="s">
        <v>77</v>
      </c>
      <c r="H1156" s="2">
        <v>3</v>
      </c>
      <c r="I1156" s="4">
        <v>32.32</v>
      </c>
      <c r="J1156" s="2" t="s">
        <v>38</v>
      </c>
      <c r="K1156">
        <f>H1156*I1156</f>
        <v>96.960000000000008</v>
      </c>
      <c r="L1156" t="str">
        <f t="shared" si="36"/>
        <v>Aug</v>
      </c>
      <c r="M1156">
        <f t="shared" si="37"/>
        <v>8</v>
      </c>
    </row>
    <row r="1157" spans="1:13" x14ac:dyDescent="0.25">
      <c r="A1157" s="2" t="s">
        <v>1230</v>
      </c>
      <c r="B1157" s="3">
        <v>45881</v>
      </c>
      <c r="C1157" s="2" t="s">
        <v>80</v>
      </c>
      <c r="D1157" s="2" t="s">
        <v>80</v>
      </c>
      <c r="E1157" s="2" t="s">
        <v>26</v>
      </c>
      <c r="F1157" s="2" t="s">
        <v>20</v>
      </c>
      <c r="G1157" s="2" t="s">
        <v>21</v>
      </c>
      <c r="H1157" s="2">
        <v>3</v>
      </c>
      <c r="I1157" s="4">
        <v>50.5</v>
      </c>
      <c r="J1157" s="2" t="s">
        <v>16</v>
      </c>
      <c r="K1157">
        <f>H1157*I1157</f>
        <v>151.5</v>
      </c>
      <c r="L1157" t="str">
        <f t="shared" si="36"/>
        <v>Aug</v>
      </c>
      <c r="M1157">
        <f t="shared" si="37"/>
        <v>8</v>
      </c>
    </row>
    <row r="1158" spans="1:13" x14ac:dyDescent="0.25">
      <c r="A1158" s="2" t="s">
        <v>1231</v>
      </c>
      <c r="B1158" s="3">
        <v>45881</v>
      </c>
      <c r="C1158" s="2" t="s">
        <v>194</v>
      </c>
      <c r="D1158" s="2" t="s">
        <v>98</v>
      </c>
      <c r="E1158" s="2" t="s">
        <v>99</v>
      </c>
      <c r="F1158" s="2" t="s">
        <v>20</v>
      </c>
      <c r="G1158" s="2" t="s">
        <v>21</v>
      </c>
      <c r="H1158" s="2">
        <v>1</v>
      </c>
      <c r="I1158" s="4">
        <v>70.7</v>
      </c>
      <c r="J1158" s="2" t="s">
        <v>38</v>
      </c>
      <c r="K1158">
        <f>H1158*I1158</f>
        <v>70.7</v>
      </c>
      <c r="L1158" t="str">
        <f t="shared" si="36"/>
        <v>Aug</v>
      </c>
      <c r="M1158">
        <f t="shared" si="37"/>
        <v>8</v>
      </c>
    </row>
    <row r="1159" spans="1:13" x14ac:dyDescent="0.25">
      <c r="A1159" s="2" t="s">
        <v>1232</v>
      </c>
      <c r="B1159" s="3">
        <v>45882</v>
      </c>
      <c r="C1159" s="2" t="s">
        <v>67</v>
      </c>
      <c r="D1159" s="2" t="s">
        <v>68</v>
      </c>
      <c r="E1159" s="2" t="s">
        <v>49</v>
      </c>
      <c r="F1159" s="2" t="s">
        <v>14</v>
      </c>
      <c r="G1159" s="2" t="s">
        <v>69</v>
      </c>
      <c r="H1159" s="2">
        <v>1</v>
      </c>
      <c r="I1159" s="4">
        <v>207.05</v>
      </c>
      <c r="J1159" s="2" t="s">
        <v>16</v>
      </c>
      <c r="K1159">
        <f>H1159*I1159</f>
        <v>207.05</v>
      </c>
      <c r="L1159" t="str">
        <f t="shared" si="36"/>
        <v>Aug</v>
      </c>
      <c r="M1159">
        <f t="shared" si="37"/>
        <v>8</v>
      </c>
    </row>
    <row r="1160" spans="1:13" x14ac:dyDescent="0.25">
      <c r="A1160" s="2" t="s">
        <v>1233</v>
      </c>
      <c r="B1160" s="3">
        <v>45882</v>
      </c>
      <c r="C1160" s="2" t="s">
        <v>79</v>
      </c>
      <c r="D1160" s="2" t="s">
        <v>80</v>
      </c>
      <c r="E1160" s="2" t="s">
        <v>26</v>
      </c>
      <c r="F1160" s="2" t="s">
        <v>14</v>
      </c>
      <c r="G1160" s="2" t="s">
        <v>81</v>
      </c>
      <c r="H1160" s="2">
        <v>5</v>
      </c>
      <c r="I1160" s="4">
        <v>153.52000000000001</v>
      </c>
      <c r="J1160" s="2" t="s">
        <v>31</v>
      </c>
      <c r="K1160">
        <f>H1160*I1160</f>
        <v>767.6</v>
      </c>
      <c r="L1160" t="str">
        <f t="shared" si="36"/>
        <v>Aug</v>
      </c>
      <c r="M1160">
        <f t="shared" si="37"/>
        <v>8</v>
      </c>
    </row>
    <row r="1161" spans="1:13" x14ac:dyDescent="0.25">
      <c r="A1161" s="2" t="s">
        <v>1234</v>
      </c>
      <c r="B1161" s="3">
        <v>45882</v>
      </c>
      <c r="C1161" s="2" t="s">
        <v>80</v>
      </c>
      <c r="D1161" s="2" t="s">
        <v>80</v>
      </c>
      <c r="E1161" s="2" t="s">
        <v>26</v>
      </c>
      <c r="F1161" s="2" t="s">
        <v>20</v>
      </c>
      <c r="G1161" s="2" t="s">
        <v>21</v>
      </c>
      <c r="H1161" s="2">
        <v>2</v>
      </c>
      <c r="I1161" s="4">
        <v>50.5</v>
      </c>
      <c r="J1161" s="2" t="s">
        <v>16</v>
      </c>
      <c r="K1161">
        <f>H1161*I1161</f>
        <v>101</v>
      </c>
      <c r="L1161" t="str">
        <f t="shared" si="36"/>
        <v>Aug</v>
      </c>
      <c r="M1161">
        <f t="shared" si="37"/>
        <v>8</v>
      </c>
    </row>
    <row r="1162" spans="1:13" x14ac:dyDescent="0.25">
      <c r="A1162" s="2" t="s">
        <v>1235</v>
      </c>
      <c r="B1162" s="3">
        <v>45882</v>
      </c>
      <c r="C1162" s="2" t="s">
        <v>61</v>
      </c>
      <c r="D1162" s="2" t="s">
        <v>61</v>
      </c>
      <c r="E1162" s="2" t="s">
        <v>62</v>
      </c>
      <c r="F1162" s="2" t="s">
        <v>20</v>
      </c>
      <c r="G1162" s="2" t="s">
        <v>21</v>
      </c>
      <c r="H1162" s="2">
        <v>1</v>
      </c>
      <c r="I1162" s="4">
        <v>8</v>
      </c>
      <c r="J1162" s="2" t="s">
        <v>31</v>
      </c>
      <c r="K1162">
        <f>H1162*I1162</f>
        <v>8</v>
      </c>
      <c r="L1162" t="str">
        <f t="shared" si="36"/>
        <v>Aug</v>
      </c>
      <c r="M1162">
        <f t="shared" si="37"/>
        <v>8</v>
      </c>
    </row>
    <row r="1163" spans="1:13" x14ac:dyDescent="0.25">
      <c r="A1163" s="2" t="s">
        <v>1236</v>
      </c>
      <c r="B1163" s="3">
        <v>45883</v>
      </c>
      <c r="C1163" s="2" t="s">
        <v>11</v>
      </c>
      <c r="D1163" s="2" t="s">
        <v>12</v>
      </c>
      <c r="E1163" s="2" t="s">
        <v>13</v>
      </c>
      <c r="F1163" s="2" t="s">
        <v>14</v>
      </c>
      <c r="G1163" s="2" t="s">
        <v>15</v>
      </c>
      <c r="H1163" s="2">
        <v>2</v>
      </c>
      <c r="I1163" s="4">
        <v>32.32</v>
      </c>
      <c r="J1163" s="2" t="s">
        <v>16</v>
      </c>
      <c r="K1163">
        <f>H1163*I1163</f>
        <v>64.64</v>
      </c>
      <c r="L1163" t="str">
        <f t="shared" si="36"/>
        <v>Aug</v>
      </c>
      <c r="M1163">
        <f t="shared" si="37"/>
        <v>8</v>
      </c>
    </row>
    <row r="1164" spans="1:13" x14ac:dyDescent="0.25">
      <c r="A1164" s="2" t="s">
        <v>1237</v>
      </c>
      <c r="B1164" s="3">
        <v>45883</v>
      </c>
      <c r="C1164" s="2" t="s">
        <v>24</v>
      </c>
      <c r="D1164" s="2" t="s">
        <v>25</v>
      </c>
      <c r="E1164" s="2" t="s">
        <v>26</v>
      </c>
      <c r="F1164" s="2" t="s">
        <v>14</v>
      </c>
      <c r="G1164" s="2" t="s">
        <v>27</v>
      </c>
      <c r="H1164" s="2">
        <v>3</v>
      </c>
      <c r="I1164" s="4">
        <v>58.58</v>
      </c>
      <c r="J1164" s="2" t="s">
        <v>31</v>
      </c>
      <c r="K1164">
        <f>H1164*I1164</f>
        <v>175.74</v>
      </c>
      <c r="L1164" t="str">
        <f t="shared" si="36"/>
        <v>Aug</v>
      </c>
      <c r="M1164">
        <f t="shared" si="37"/>
        <v>8</v>
      </c>
    </row>
    <row r="1165" spans="1:13" x14ac:dyDescent="0.25">
      <c r="A1165" s="2" t="s">
        <v>1238</v>
      </c>
      <c r="B1165" s="3">
        <v>45883</v>
      </c>
      <c r="C1165" s="2" t="s">
        <v>30</v>
      </c>
      <c r="D1165" s="2" t="s">
        <v>30</v>
      </c>
      <c r="E1165" s="2" t="s">
        <v>13</v>
      </c>
      <c r="F1165" s="2" t="s">
        <v>20</v>
      </c>
      <c r="G1165" s="2" t="s">
        <v>21</v>
      </c>
      <c r="H1165" s="2">
        <v>2</v>
      </c>
      <c r="I1165" s="4">
        <v>15.15</v>
      </c>
      <c r="J1165" s="2" t="s">
        <v>38</v>
      </c>
      <c r="K1165">
        <f>H1165*I1165</f>
        <v>30.3</v>
      </c>
      <c r="L1165" t="str">
        <f t="shared" si="36"/>
        <v>Aug</v>
      </c>
      <c r="M1165">
        <f t="shared" si="37"/>
        <v>8</v>
      </c>
    </row>
    <row r="1166" spans="1:13" x14ac:dyDescent="0.25">
      <c r="A1166" s="2" t="s">
        <v>1239</v>
      </c>
      <c r="B1166" s="3">
        <v>45883</v>
      </c>
      <c r="C1166" s="2" t="s">
        <v>30</v>
      </c>
      <c r="D1166" s="2" t="s">
        <v>30</v>
      </c>
      <c r="E1166" s="2" t="s">
        <v>13</v>
      </c>
      <c r="F1166" s="2" t="s">
        <v>20</v>
      </c>
      <c r="G1166" s="2" t="s">
        <v>21</v>
      </c>
      <c r="H1166" s="2">
        <v>3</v>
      </c>
      <c r="I1166" s="4">
        <v>15.15</v>
      </c>
      <c r="J1166" s="2" t="s">
        <v>16</v>
      </c>
      <c r="K1166">
        <f>H1166*I1166</f>
        <v>45.45</v>
      </c>
      <c r="L1166" t="str">
        <f t="shared" si="36"/>
        <v>Aug</v>
      </c>
      <c r="M1166">
        <f t="shared" si="37"/>
        <v>8</v>
      </c>
    </row>
    <row r="1167" spans="1:13" x14ac:dyDescent="0.25">
      <c r="A1167" s="2" t="s">
        <v>1240</v>
      </c>
      <c r="B1167" s="3">
        <v>45884</v>
      </c>
      <c r="C1167" s="2" t="s">
        <v>67</v>
      </c>
      <c r="D1167" s="2" t="s">
        <v>68</v>
      </c>
      <c r="E1167" s="2" t="s">
        <v>49</v>
      </c>
      <c r="F1167" s="2" t="s">
        <v>14</v>
      </c>
      <c r="G1167" s="2" t="s">
        <v>69</v>
      </c>
      <c r="H1167" s="2">
        <v>1</v>
      </c>
      <c r="I1167" s="4">
        <v>205</v>
      </c>
      <c r="J1167" s="2" t="s">
        <v>16</v>
      </c>
      <c r="K1167">
        <f>H1167*I1167</f>
        <v>205</v>
      </c>
      <c r="L1167" t="str">
        <f t="shared" si="36"/>
        <v>Aug</v>
      </c>
      <c r="M1167">
        <f t="shared" si="37"/>
        <v>8</v>
      </c>
    </row>
    <row r="1168" spans="1:13" x14ac:dyDescent="0.25">
      <c r="A1168" s="2" t="s">
        <v>1241</v>
      </c>
      <c r="B1168" s="3">
        <v>45884</v>
      </c>
      <c r="C1168" s="2" t="s">
        <v>119</v>
      </c>
      <c r="D1168" s="2" t="s">
        <v>120</v>
      </c>
      <c r="E1168" s="2" t="s">
        <v>76</v>
      </c>
      <c r="F1168" s="2" t="s">
        <v>14</v>
      </c>
      <c r="G1168" s="2" t="s">
        <v>121</v>
      </c>
      <c r="H1168" s="2">
        <v>6</v>
      </c>
      <c r="I1168" s="4">
        <v>191.9</v>
      </c>
      <c r="J1168" s="2" t="s">
        <v>16</v>
      </c>
      <c r="K1168">
        <f>H1168*I1168</f>
        <v>1151.4000000000001</v>
      </c>
      <c r="L1168" t="str">
        <f t="shared" si="36"/>
        <v>Aug</v>
      </c>
      <c r="M1168">
        <f t="shared" si="37"/>
        <v>8</v>
      </c>
    </row>
    <row r="1169" spans="1:13" x14ac:dyDescent="0.25">
      <c r="A1169" s="2" t="s">
        <v>1242</v>
      </c>
      <c r="B1169" s="3">
        <v>45884</v>
      </c>
      <c r="C1169" s="2" t="s">
        <v>190</v>
      </c>
      <c r="D1169" s="2" t="s">
        <v>40</v>
      </c>
      <c r="E1169" s="2" t="s">
        <v>19</v>
      </c>
      <c r="F1169" s="2" t="s">
        <v>14</v>
      </c>
      <c r="G1169" s="2" t="s">
        <v>191</v>
      </c>
      <c r="H1169" s="2">
        <v>6</v>
      </c>
      <c r="I1169" s="4">
        <v>142</v>
      </c>
      <c r="J1169" s="2" t="s">
        <v>16</v>
      </c>
      <c r="K1169">
        <f>H1169*I1169</f>
        <v>852</v>
      </c>
      <c r="L1169" t="str">
        <f t="shared" si="36"/>
        <v>Aug</v>
      </c>
      <c r="M1169">
        <f t="shared" si="37"/>
        <v>8</v>
      </c>
    </row>
    <row r="1170" spans="1:13" x14ac:dyDescent="0.25">
      <c r="A1170" s="2" t="s">
        <v>1243</v>
      </c>
      <c r="B1170" s="3">
        <v>45884</v>
      </c>
      <c r="C1170" s="2" t="s">
        <v>80</v>
      </c>
      <c r="D1170" s="2" t="s">
        <v>80</v>
      </c>
      <c r="E1170" s="2" t="s">
        <v>26</v>
      </c>
      <c r="F1170" s="2" t="s">
        <v>20</v>
      </c>
      <c r="G1170" s="2" t="s">
        <v>21</v>
      </c>
      <c r="H1170" s="2">
        <v>1</v>
      </c>
      <c r="I1170" s="4">
        <v>50</v>
      </c>
      <c r="J1170" s="2" t="s">
        <v>31</v>
      </c>
      <c r="K1170">
        <f>H1170*I1170</f>
        <v>50</v>
      </c>
      <c r="L1170" t="str">
        <f t="shared" si="36"/>
        <v>Aug</v>
      </c>
      <c r="M1170">
        <f t="shared" si="37"/>
        <v>8</v>
      </c>
    </row>
    <row r="1171" spans="1:13" x14ac:dyDescent="0.25">
      <c r="A1171" s="2" t="s">
        <v>1244</v>
      </c>
      <c r="B1171" s="3">
        <v>45884</v>
      </c>
      <c r="C1171" s="2" t="s">
        <v>60</v>
      </c>
      <c r="D1171" s="2" t="s">
        <v>61</v>
      </c>
      <c r="E1171" s="2" t="s">
        <v>62</v>
      </c>
      <c r="F1171" s="2" t="s">
        <v>14</v>
      </c>
      <c r="G1171" s="2" t="s">
        <v>63</v>
      </c>
      <c r="H1171" s="2">
        <v>5</v>
      </c>
      <c r="I1171" s="4">
        <v>26.26</v>
      </c>
      <c r="J1171" s="2" t="s">
        <v>16</v>
      </c>
      <c r="K1171">
        <f>H1171*I1171</f>
        <v>131.30000000000001</v>
      </c>
      <c r="L1171" t="str">
        <f t="shared" si="36"/>
        <v>Aug</v>
      </c>
      <c r="M1171">
        <f t="shared" si="37"/>
        <v>8</v>
      </c>
    </row>
    <row r="1172" spans="1:13" x14ac:dyDescent="0.25">
      <c r="A1172" s="2" t="s">
        <v>1245</v>
      </c>
      <c r="B1172" s="3">
        <v>45884</v>
      </c>
      <c r="C1172" s="2" t="s">
        <v>109</v>
      </c>
      <c r="D1172" s="2" t="s">
        <v>109</v>
      </c>
      <c r="E1172" s="2" t="s">
        <v>13</v>
      </c>
      <c r="F1172" s="2" t="s">
        <v>20</v>
      </c>
      <c r="G1172" s="2" t="s">
        <v>21</v>
      </c>
      <c r="H1172" s="2">
        <v>1</v>
      </c>
      <c r="I1172" s="4">
        <v>20</v>
      </c>
      <c r="J1172" s="2" t="s">
        <v>16</v>
      </c>
      <c r="K1172">
        <f>H1172*I1172</f>
        <v>20</v>
      </c>
      <c r="L1172" t="str">
        <f t="shared" si="36"/>
        <v>Aug</v>
      </c>
      <c r="M1172">
        <f t="shared" si="37"/>
        <v>8</v>
      </c>
    </row>
    <row r="1173" spans="1:13" x14ac:dyDescent="0.25">
      <c r="A1173" s="2" t="s">
        <v>1246</v>
      </c>
      <c r="B1173" s="3">
        <v>45885</v>
      </c>
      <c r="C1173" s="2" t="s">
        <v>11</v>
      </c>
      <c r="D1173" s="2" t="s">
        <v>12</v>
      </c>
      <c r="E1173" s="2" t="s">
        <v>13</v>
      </c>
      <c r="F1173" s="2" t="s">
        <v>14</v>
      </c>
      <c r="G1173" s="2" t="s">
        <v>15</v>
      </c>
      <c r="H1173" s="2">
        <v>1</v>
      </c>
      <c r="I1173" s="4">
        <v>32.32</v>
      </c>
      <c r="J1173" s="2" t="s">
        <v>22</v>
      </c>
      <c r="K1173">
        <f>H1173*I1173</f>
        <v>32.32</v>
      </c>
      <c r="L1173" t="str">
        <f t="shared" si="36"/>
        <v>Aug</v>
      </c>
      <c r="M1173">
        <f t="shared" si="37"/>
        <v>8</v>
      </c>
    </row>
    <row r="1174" spans="1:13" x14ac:dyDescent="0.25">
      <c r="A1174" s="2" t="s">
        <v>1247</v>
      </c>
      <c r="B1174" s="3">
        <v>45885</v>
      </c>
      <c r="C1174" s="2" t="s">
        <v>190</v>
      </c>
      <c r="D1174" s="2" t="s">
        <v>40</v>
      </c>
      <c r="E1174" s="2" t="s">
        <v>19</v>
      </c>
      <c r="F1174" s="2" t="s">
        <v>14</v>
      </c>
      <c r="G1174" s="2" t="s">
        <v>191</v>
      </c>
      <c r="H1174" s="2">
        <v>6</v>
      </c>
      <c r="I1174" s="4">
        <v>143.41999999999999</v>
      </c>
      <c r="J1174" s="2" t="s">
        <v>16</v>
      </c>
      <c r="K1174">
        <f>H1174*I1174</f>
        <v>860.52</v>
      </c>
      <c r="L1174" t="str">
        <f t="shared" si="36"/>
        <v>Aug</v>
      </c>
      <c r="M1174">
        <f t="shared" si="37"/>
        <v>8</v>
      </c>
    </row>
    <row r="1175" spans="1:13" x14ac:dyDescent="0.25">
      <c r="A1175" s="2" t="s">
        <v>1248</v>
      </c>
      <c r="B1175" s="3">
        <v>45885</v>
      </c>
      <c r="C1175" s="2" t="s">
        <v>79</v>
      </c>
      <c r="D1175" s="2" t="s">
        <v>80</v>
      </c>
      <c r="E1175" s="2" t="s">
        <v>26</v>
      </c>
      <c r="F1175" s="2" t="s">
        <v>14</v>
      </c>
      <c r="G1175" s="2" t="s">
        <v>81</v>
      </c>
      <c r="H1175" s="2">
        <v>3</v>
      </c>
      <c r="I1175" s="4">
        <v>152</v>
      </c>
      <c r="J1175" s="2" t="s">
        <v>16</v>
      </c>
      <c r="K1175">
        <f>H1175*I1175</f>
        <v>456</v>
      </c>
      <c r="L1175" t="str">
        <f t="shared" si="36"/>
        <v>Aug</v>
      </c>
      <c r="M1175">
        <f t="shared" si="37"/>
        <v>8</v>
      </c>
    </row>
    <row r="1176" spans="1:13" x14ac:dyDescent="0.25">
      <c r="A1176" s="2" t="s">
        <v>1249</v>
      </c>
      <c r="B1176" s="3">
        <v>45885</v>
      </c>
      <c r="C1176" s="2" t="s">
        <v>25</v>
      </c>
      <c r="D1176" s="2" t="s">
        <v>25</v>
      </c>
      <c r="E1176" s="2" t="s">
        <v>26</v>
      </c>
      <c r="F1176" s="2" t="s">
        <v>20</v>
      </c>
      <c r="G1176" s="2" t="s">
        <v>21</v>
      </c>
      <c r="H1176" s="2">
        <v>5</v>
      </c>
      <c r="I1176" s="4">
        <v>20</v>
      </c>
      <c r="J1176" s="2" t="s">
        <v>38</v>
      </c>
      <c r="K1176">
        <f>H1176*I1176</f>
        <v>100</v>
      </c>
      <c r="L1176" t="str">
        <f t="shared" si="36"/>
        <v>Aug</v>
      </c>
      <c r="M1176">
        <f t="shared" si="37"/>
        <v>8</v>
      </c>
    </row>
    <row r="1177" spans="1:13" x14ac:dyDescent="0.25">
      <c r="A1177" s="2" t="s">
        <v>1250</v>
      </c>
      <c r="B1177" s="3">
        <v>45885</v>
      </c>
      <c r="C1177" s="2" t="s">
        <v>97</v>
      </c>
      <c r="D1177" s="2" t="s">
        <v>98</v>
      </c>
      <c r="E1177" s="2" t="s">
        <v>99</v>
      </c>
      <c r="F1177" s="2" t="s">
        <v>14</v>
      </c>
      <c r="G1177" s="2" t="s">
        <v>37</v>
      </c>
      <c r="H1177" s="2">
        <v>1</v>
      </c>
      <c r="I1177" s="4">
        <v>183.82</v>
      </c>
      <c r="J1177" s="2" t="s">
        <v>38</v>
      </c>
      <c r="K1177">
        <f>H1177*I1177</f>
        <v>183.82</v>
      </c>
      <c r="L1177" t="str">
        <f t="shared" si="36"/>
        <v>Aug</v>
      </c>
      <c r="M1177">
        <f t="shared" si="37"/>
        <v>8</v>
      </c>
    </row>
    <row r="1178" spans="1:13" x14ac:dyDescent="0.25">
      <c r="A1178" s="2" t="s">
        <v>1251</v>
      </c>
      <c r="B1178" s="3">
        <v>45885</v>
      </c>
      <c r="C1178" s="2" t="s">
        <v>42</v>
      </c>
      <c r="D1178" s="2" t="s">
        <v>43</v>
      </c>
      <c r="E1178" s="2" t="s">
        <v>44</v>
      </c>
      <c r="F1178" s="2" t="s">
        <v>14</v>
      </c>
      <c r="G1178" s="2" t="s">
        <v>45</v>
      </c>
      <c r="H1178" s="2">
        <v>4</v>
      </c>
      <c r="I1178" s="4">
        <v>46</v>
      </c>
      <c r="J1178" s="2" t="s">
        <v>31</v>
      </c>
      <c r="K1178">
        <f>H1178*I1178</f>
        <v>184</v>
      </c>
      <c r="L1178" t="str">
        <f t="shared" si="36"/>
        <v>Aug</v>
      </c>
      <c r="M1178">
        <f t="shared" si="37"/>
        <v>8</v>
      </c>
    </row>
    <row r="1179" spans="1:13" x14ac:dyDescent="0.25">
      <c r="A1179" s="2" t="s">
        <v>1252</v>
      </c>
      <c r="B1179" s="3">
        <v>45885</v>
      </c>
      <c r="C1179" s="2" t="s">
        <v>43</v>
      </c>
      <c r="D1179" s="2" t="s">
        <v>43</v>
      </c>
      <c r="E1179" s="2" t="s">
        <v>44</v>
      </c>
      <c r="F1179" s="2" t="s">
        <v>20</v>
      </c>
      <c r="G1179" s="2" t="s">
        <v>21</v>
      </c>
      <c r="H1179" s="2">
        <v>5</v>
      </c>
      <c r="I1179" s="4">
        <v>18</v>
      </c>
      <c r="J1179" s="2" t="s">
        <v>16</v>
      </c>
      <c r="K1179">
        <f>H1179*I1179</f>
        <v>90</v>
      </c>
      <c r="L1179" t="str">
        <f t="shared" si="36"/>
        <v>Aug</v>
      </c>
      <c r="M1179">
        <f t="shared" si="37"/>
        <v>8</v>
      </c>
    </row>
    <row r="1180" spans="1:13" x14ac:dyDescent="0.25">
      <c r="A1180" s="2" t="s">
        <v>1253</v>
      </c>
      <c r="B1180" s="3">
        <v>45886</v>
      </c>
      <c r="C1180" s="2" t="s">
        <v>11</v>
      </c>
      <c r="D1180" s="2" t="s">
        <v>12</v>
      </c>
      <c r="E1180" s="2" t="s">
        <v>13</v>
      </c>
      <c r="F1180" s="2" t="s">
        <v>14</v>
      </c>
      <c r="G1180" s="2" t="s">
        <v>15</v>
      </c>
      <c r="H1180" s="2">
        <v>1</v>
      </c>
      <c r="I1180" s="4">
        <v>32.32</v>
      </c>
      <c r="J1180" s="2" t="s">
        <v>16</v>
      </c>
      <c r="K1180">
        <f>H1180*I1180</f>
        <v>32.32</v>
      </c>
      <c r="L1180" t="str">
        <f t="shared" si="36"/>
        <v>Aug</v>
      </c>
      <c r="M1180">
        <f t="shared" si="37"/>
        <v>8</v>
      </c>
    </row>
    <row r="1181" spans="1:13" x14ac:dyDescent="0.25">
      <c r="A1181" s="2" t="s">
        <v>1254</v>
      </c>
      <c r="B1181" s="3">
        <v>45886</v>
      </c>
      <c r="C1181" s="2" t="s">
        <v>12</v>
      </c>
      <c r="D1181" s="2" t="s">
        <v>12</v>
      </c>
      <c r="E1181" s="2" t="s">
        <v>13</v>
      </c>
      <c r="F1181" s="2" t="s">
        <v>20</v>
      </c>
      <c r="G1181" s="2" t="s">
        <v>21</v>
      </c>
      <c r="H1181" s="2">
        <v>1</v>
      </c>
      <c r="I1181" s="4">
        <v>14</v>
      </c>
      <c r="J1181" s="2" t="s">
        <v>16</v>
      </c>
      <c r="K1181">
        <f>H1181*I1181</f>
        <v>14</v>
      </c>
      <c r="L1181" t="str">
        <f t="shared" si="36"/>
        <v>Aug</v>
      </c>
      <c r="M1181">
        <f t="shared" si="37"/>
        <v>8</v>
      </c>
    </row>
    <row r="1182" spans="1:13" x14ac:dyDescent="0.25">
      <c r="A1182" s="2" t="s">
        <v>1255</v>
      </c>
      <c r="B1182" s="3">
        <v>45886</v>
      </c>
      <c r="C1182" s="2" t="s">
        <v>72</v>
      </c>
      <c r="D1182" s="2" t="s">
        <v>68</v>
      </c>
      <c r="E1182" s="2" t="s">
        <v>49</v>
      </c>
      <c r="F1182" s="2" t="s">
        <v>20</v>
      </c>
      <c r="G1182" s="2" t="s">
        <v>21</v>
      </c>
      <c r="H1182" s="2">
        <v>1</v>
      </c>
      <c r="I1182" s="4">
        <v>95.95</v>
      </c>
      <c r="J1182" s="2" t="s">
        <v>38</v>
      </c>
      <c r="K1182">
        <f>H1182*I1182</f>
        <v>95.95</v>
      </c>
      <c r="L1182" t="str">
        <f t="shared" si="36"/>
        <v>Aug</v>
      </c>
      <c r="M1182">
        <f t="shared" si="37"/>
        <v>8</v>
      </c>
    </row>
    <row r="1183" spans="1:13" x14ac:dyDescent="0.25">
      <c r="A1183" s="2" t="s">
        <v>1256</v>
      </c>
      <c r="B1183" s="3">
        <v>45886</v>
      </c>
      <c r="C1183" s="2" t="s">
        <v>75</v>
      </c>
      <c r="D1183" s="2" t="s">
        <v>75</v>
      </c>
      <c r="E1183" s="2" t="s">
        <v>76</v>
      </c>
      <c r="F1183" s="2" t="s">
        <v>20</v>
      </c>
      <c r="G1183" s="2" t="s">
        <v>21</v>
      </c>
      <c r="H1183" s="2">
        <v>1</v>
      </c>
      <c r="I1183" s="4">
        <v>12</v>
      </c>
      <c r="J1183" s="2" t="s">
        <v>38</v>
      </c>
      <c r="K1183">
        <f>H1183*I1183</f>
        <v>12</v>
      </c>
      <c r="L1183" t="str">
        <f t="shared" si="36"/>
        <v>Aug</v>
      </c>
      <c r="M1183">
        <f t="shared" si="37"/>
        <v>8</v>
      </c>
    </row>
    <row r="1184" spans="1:13" x14ac:dyDescent="0.25">
      <c r="A1184" s="2" t="s">
        <v>1257</v>
      </c>
      <c r="B1184" s="3">
        <v>45886</v>
      </c>
      <c r="C1184" s="2" t="s">
        <v>61</v>
      </c>
      <c r="D1184" s="2" t="s">
        <v>61</v>
      </c>
      <c r="E1184" s="2" t="s">
        <v>62</v>
      </c>
      <c r="F1184" s="2" t="s">
        <v>20</v>
      </c>
      <c r="G1184" s="2" t="s">
        <v>21</v>
      </c>
      <c r="H1184" s="2">
        <v>2</v>
      </c>
      <c r="I1184" s="4">
        <v>8</v>
      </c>
      <c r="J1184" s="2" t="s">
        <v>22</v>
      </c>
      <c r="K1184">
        <f>H1184*I1184</f>
        <v>16</v>
      </c>
      <c r="L1184" t="str">
        <f t="shared" si="36"/>
        <v>Aug</v>
      </c>
      <c r="M1184">
        <f t="shared" si="37"/>
        <v>8</v>
      </c>
    </row>
    <row r="1185" spans="1:13" x14ac:dyDescent="0.25">
      <c r="A1185" s="2" t="s">
        <v>1258</v>
      </c>
      <c r="B1185" s="3">
        <v>45886</v>
      </c>
      <c r="C1185" s="2" t="s">
        <v>109</v>
      </c>
      <c r="D1185" s="2" t="s">
        <v>109</v>
      </c>
      <c r="E1185" s="2" t="s">
        <v>13</v>
      </c>
      <c r="F1185" s="2" t="s">
        <v>20</v>
      </c>
      <c r="G1185" s="2" t="s">
        <v>21</v>
      </c>
      <c r="H1185" s="2">
        <v>4</v>
      </c>
      <c r="I1185" s="4">
        <v>20.2</v>
      </c>
      <c r="J1185" s="2" t="s">
        <v>38</v>
      </c>
      <c r="K1185">
        <f>H1185*I1185</f>
        <v>80.8</v>
      </c>
      <c r="L1185" t="str">
        <f t="shared" si="36"/>
        <v>Aug</v>
      </c>
      <c r="M1185">
        <f t="shared" si="37"/>
        <v>8</v>
      </c>
    </row>
    <row r="1186" spans="1:13" x14ac:dyDescent="0.25">
      <c r="A1186" s="2" t="s">
        <v>1259</v>
      </c>
      <c r="B1186" s="3">
        <v>45887</v>
      </c>
      <c r="C1186" s="2" t="s">
        <v>11</v>
      </c>
      <c r="D1186" s="2" t="s">
        <v>12</v>
      </c>
      <c r="E1186" s="2" t="s">
        <v>13</v>
      </c>
      <c r="F1186" s="2" t="s">
        <v>14</v>
      </c>
      <c r="G1186" s="2" t="s">
        <v>15</v>
      </c>
      <c r="H1186" s="2">
        <v>5</v>
      </c>
      <c r="I1186" s="4">
        <v>32.32</v>
      </c>
      <c r="J1186" s="2" t="s">
        <v>22</v>
      </c>
      <c r="K1186">
        <f>H1186*I1186</f>
        <v>161.6</v>
      </c>
      <c r="L1186" t="str">
        <f t="shared" si="36"/>
        <v>Aug</v>
      </c>
      <c r="M1186">
        <f t="shared" si="37"/>
        <v>8</v>
      </c>
    </row>
    <row r="1187" spans="1:13" x14ac:dyDescent="0.25">
      <c r="A1187" s="2" t="s">
        <v>1260</v>
      </c>
      <c r="B1187" s="3">
        <v>45887</v>
      </c>
      <c r="C1187" s="2" t="s">
        <v>86</v>
      </c>
      <c r="D1187" s="2" t="s">
        <v>48</v>
      </c>
      <c r="E1187" s="2" t="s">
        <v>49</v>
      </c>
      <c r="F1187" s="2" t="s">
        <v>14</v>
      </c>
      <c r="G1187" s="2" t="s">
        <v>87</v>
      </c>
      <c r="H1187" s="2">
        <v>4</v>
      </c>
      <c r="I1187" s="4">
        <v>125</v>
      </c>
      <c r="J1187" s="2" t="s">
        <v>38</v>
      </c>
      <c r="K1187">
        <f>H1187*I1187</f>
        <v>500</v>
      </c>
      <c r="L1187" t="str">
        <f t="shared" si="36"/>
        <v>Aug</v>
      </c>
      <c r="M1187">
        <f t="shared" si="37"/>
        <v>8</v>
      </c>
    </row>
    <row r="1188" spans="1:13" x14ac:dyDescent="0.25">
      <c r="A1188" s="2" t="s">
        <v>1261</v>
      </c>
      <c r="B1188" s="3">
        <v>45887</v>
      </c>
      <c r="C1188" s="2" t="s">
        <v>67</v>
      </c>
      <c r="D1188" s="2" t="s">
        <v>68</v>
      </c>
      <c r="E1188" s="2" t="s">
        <v>49</v>
      </c>
      <c r="F1188" s="2" t="s">
        <v>14</v>
      </c>
      <c r="G1188" s="2" t="s">
        <v>69</v>
      </c>
      <c r="H1188" s="2">
        <v>2</v>
      </c>
      <c r="I1188" s="4">
        <v>205</v>
      </c>
      <c r="J1188" s="2" t="s">
        <v>16</v>
      </c>
      <c r="K1188">
        <f>H1188*I1188</f>
        <v>410</v>
      </c>
      <c r="L1188" t="str">
        <f t="shared" si="36"/>
        <v>Aug</v>
      </c>
      <c r="M1188">
        <f t="shared" si="37"/>
        <v>8</v>
      </c>
    </row>
    <row r="1189" spans="1:13" x14ac:dyDescent="0.25">
      <c r="A1189" s="2" t="s">
        <v>1262</v>
      </c>
      <c r="B1189" s="3">
        <v>45887</v>
      </c>
      <c r="C1189" s="2" t="s">
        <v>67</v>
      </c>
      <c r="D1189" s="2" t="s">
        <v>68</v>
      </c>
      <c r="E1189" s="2" t="s">
        <v>49</v>
      </c>
      <c r="F1189" s="2" t="s">
        <v>14</v>
      </c>
      <c r="G1189" s="2" t="s">
        <v>69</v>
      </c>
      <c r="H1189" s="2">
        <v>3</v>
      </c>
      <c r="I1189" s="4">
        <v>205</v>
      </c>
      <c r="J1189" s="2" t="s">
        <v>22</v>
      </c>
      <c r="K1189">
        <f>H1189*I1189</f>
        <v>615</v>
      </c>
      <c r="L1189" t="str">
        <f t="shared" si="36"/>
        <v>Aug</v>
      </c>
      <c r="M1189">
        <f t="shared" si="37"/>
        <v>8</v>
      </c>
    </row>
    <row r="1190" spans="1:13" x14ac:dyDescent="0.25">
      <c r="A1190" s="2" t="s">
        <v>1263</v>
      </c>
      <c r="B1190" s="3">
        <v>45887</v>
      </c>
      <c r="C1190" s="2" t="s">
        <v>72</v>
      </c>
      <c r="D1190" s="2" t="s">
        <v>68</v>
      </c>
      <c r="E1190" s="2" t="s">
        <v>49</v>
      </c>
      <c r="F1190" s="2" t="s">
        <v>20</v>
      </c>
      <c r="G1190" s="2" t="s">
        <v>21</v>
      </c>
      <c r="H1190" s="2">
        <v>4</v>
      </c>
      <c r="I1190" s="4">
        <v>95</v>
      </c>
      <c r="J1190" s="2" t="s">
        <v>16</v>
      </c>
      <c r="K1190">
        <f>H1190*I1190</f>
        <v>380</v>
      </c>
      <c r="L1190" t="str">
        <f t="shared" si="36"/>
        <v>Aug</v>
      </c>
      <c r="M1190">
        <f t="shared" si="37"/>
        <v>8</v>
      </c>
    </row>
    <row r="1191" spans="1:13" x14ac:dyDescent="0.25">
      <c r="A1191" s="2" t="s">
        <v>1264</v>
      </c>
      <c r="B1191" s="3">
        <v>45887</v>
      </c>
      <c r="C1191" s="2" t="s">
        <v>74</v>
      </c>
      <c r="D1191" s="2" t="s">
        <v>75</v>
      </c>
      <c r="E1191" s="2" t="s">
        <v>76</v>
      </c>
      <c r="F1191" s="2" t="s">
        <v>14</v>
      </c>
      <c r="G1191" s="2" t="s">
        <v>77</v>
      </c>
      <c r="H1191" s="2">
        <v>6</v>
      </c>
      <c r="I1191" s="4">
        <v>32</v>
      </c>
      <c r="J1191" s="2" t="s">
        <v>22</v>
      </c>
      <c r="K1191">
        <f>H1191*I1191</f>
        <v>192</v>
      </c>
      <c r="L1191" t="str">
        <f t="shared" si="36"/>
        <v>Aug</v>
      </c>
      <c r="M1191">
        <f t="shared" si="37"/>
        <v>8</v>
      </c>
    </row>
    <row r="1192" spans="1:13" x14ac:dyDescent="0.25">
      <c r="A1192" s="2" t="s">
        <v>1265</v>
      </c>
      <c r="B1192" s="3">
        <v>45887</v>
      </c>
      <c r="C1192" s="2" t="s">
        <v>75</v>
      </c>
      <c r="D1192" s="2" t="s">
        <v>75</v>
      </c>
      <c r="E1192" s="2" t="s">
        <v>76</v>
      </c>
      <c r="F1192" s="2" t="s">
        <v>20</v>
      </c>
      <c r="G1192" s="2" t="s">
        <v>21</v>
      </c>
      <c r="H1192" s="2">
        <v>2</v>
      </c>
      <c r="I1192" s="4">
        <v>12</v>
      </c>
      <c r="J1192" s="2" t="s">
        <v>16</v>
      </c>
      <c r="K1192">
        <f>H1192*I1192</f>
        <v>24</v>
      </c>
      <c r="L1192" t="str">
        <f t="shared" si="36"/>
        <v>Aug</v>
      </c>
      <c r="M1192">
        <f t="shared" si="37"/>
        <v>8</v>
      </c>
    </row>
    <row r="1193" spans="1:13" x14ac:dyDescent="0.25">
      <c r="A1193" s="2" t="s">
        <v>1266</v>
      </c>
      <c r="B1193" s="3">
        <v>45887</v>
      </c>
      <c r="C1193" s="2" t="s">
        <v>102</v>
      </c>
      <c r="D1193" s="2" t="s">
        <v>102</v>
      </c>
      <c r="E1193" s="2" t="s">
        <v>36</v>
      </c>
      <c r="F1193" s="2" t="s">
        <v>20</v>
      </c>
      <c r="G1193" s="2" t="s">
        <v>21</v>
      </c>
      <c r="H1193" s="2">
        <v>1</v>
      </c>
      <c r="I1193" s="4">
        <v>35</v>
      </c>
      <c r="J1193" s="2" t="s">
        <v>31</v>
      </c>
      <c r="K1193">
        <f>H1193*I1193</f>
        <v>35</v>
      </c>
      <c r="L1193" t="str">
        <f t="shared" si="36"/>
        <v>Aug</v>
      </c>
      <c r="M1193">
        <f t="shared" si="37"/>
        <v>8</v>
      </c>
    </row>
    <row r="1194" spans="1:13" x14ac:dyDescent="0.25">
      <c r="A1194" s="2" t="s">
        <v>1267</v>
      </c>
      <c r="B1194" s="3">
        <v>45887</v>
      </c>
      <c r="C1194" s="2" t="s">
        <v>108</v>
      </c>
      <c r="D1194" s="2" t="s">
        <v>109</v>
      </c>
      <c r="E1194" s="2" t="s">
        <v>13</v>
      </c>
      <c r="F1194" s="2" t="s">
        <v>14</v>
      </c>
      <c r="G1194" s="2" t="s">
        <v>110</v>
      </c>
      <c r="H1194" s="2">
        <v>5</v>
      </c>
      <c r="I1194" s="4">
        <v>62</v>
      </c>
      <c r="J1194" s="2" t="s">
        <v>16</v>
      </c>
      <c r="K1194">
        <f>H1194*I1194</f>
        <v>310</v>
      </c>
      <c r="L1194" t="str">
        <f t="shared" si="36"/>
        <v>Aug</v>
      </c>
      <c r="M1194">
        <f t="shared" si="37"/>
        <v>8</v>
      </c>
    </row>
    <row r="1195" spans="1:13" x14ac:dyDescent="0.25">
      <c r="A1195" s="2" t="s">
        <v>1268</v>
      </c>
      <c r="B1195" s="3">
        <v>45887</v>
      </c>
      <c r="C1195" s="2" t="s">
        <v>108</v>
      </c>
      <c r="D1195" s="2" t="s">
        <v>109</v>
      </c>
      <c r="E1195" s="2" t="s">
        <v>13</v>
      </c>
      <c r="F1195" s="2" t="s">
        <v>14</v>
      </c>
      <c r="G1195" s="2" t="s">
        <v>110</v>
      </c>
      <c r="H1195" s="2">
        <v>5</v>
      </c>
      <c r="I1195" s="4">
        <v>62.62</v>
      </c>
      <c r="J1195" s="2" t="s">
        <v>16</v>
      </c>
      <c r="K1195">
        <f>H1195*I1195</f>
        <v>313.09999999999997</v>
      </c>
      <c r="L1195" t="str">
        <f t="shared" si="36"/>
        <v>Aug</v>
      </c>
      <c r="M1195">
        <f t="shared" si="37"/>
        <v>8</v>
      </c>
    </row>
    <row r="1196" spans="1:13" x14ac:dyDescent="0.25">
      <c r="A1196" s="2" t="s">
        <v>1269</v>
      </c>
      <c r="B1196" s="3">
        <v>45888</v>
      </c>
      <c r="C1196" s="2" t="s">
        <v>12</v>
      </c>
      <c r="D1196" s="2" t="s">
        <v>12</v>
      </c>
      <c r="E1196" s="2" t="s">
        <v>13</v>
      </c>
      <c r="F1196" s="2" t="s">
        <v>20</v>
      </c>
      <c r="G1196" s="2" t="s">
        <v>21</v>
      </c>
      <c r="H1196" s="2">
        <v>4</v>
      </c>
      <c r="I1196" s="4">
        <v>14.14</v>
      </c>
      <c r="J1196" s="2" t="s">
        <v>22</v>
      </c>
      <c r="K1196">
        <f>H1196*I1196</f>
        <v>56.56</v>
      </c>
      <c r="L1196" t="str">
        <f t="shared" si="36"/>
        <v>Aug</v>
      </c>
      <c r="M1196">
        <f t="shared" si="37"/>
        <v>8</v>
      </c>
    </row>
    <row r="1197" spans="1:13" x14ac:dyDescent="0.25">
      <c r="A1197" s="2" t="s">
        <v>1270</v>
      </c>
      <c r="B1197" s="3">
        <v>45888</v>
      </c>
      <c r="C1197" s="2" t="s">
        <v>67</v>
      </c>
      <c r="D1197" s="2" t="s">
        <v>68</v>
      </c>
      <c r="E1197" s="2" t="s">
        <v>49</v>
      </c>
      <c r="F1197" s="2" t="s">
        <v>14</v>
      </c>
      <c r="G1197" s="2" t="s">
        <v>69</v>
      </c>
      <c r="H1197" s="2">
        <v>2</v>
      </c>
      <c r="I1197" s="4">
        <v>205</v>
      </c>
      <c r="J1197" s="2" t="s">
        <v>16</v>
      </c>
      <c r="K1197">
        <f>H1197*I1197</f>
        <v>410</v>
      </c>
      <c r="L1197" t="str">
        <f t="shared" si="36"/>
        <v>Aug</v>
      </c>
      <c r="M1197">
        <f t="shared" si="37"/>
        <v>8</v>
      </c>
    </row>
    <row r="1198" spans="1:13" x14ac:dyDescent="0.25">
      <c r="A1198" s="2" t="s">
        <v>1271</v>
      </c>
      <c r="B1198" s="3">
        <v>45888</v>
      </c>
      <c r="C1198" s="2" t="s">
        <v>102</v>
      </c>
      <c r="D1198" s="2" t="s">
        <v>102</v>
      </c>
      <c r="E1198" s="2" t="s">
        <v>36</v>
      </c>
      <c r="F1198" s="2" t="s">
        <v>20</v>
      </c>
      <c r="G1198" s="2" t="s">
        <v>21</v>
      </c>
      <c r="H1198" s="2">
        <v>3</v>
      </c>
      <c r="I1198" s="4">
        <v>35.35</v>
      </c>
      <c r="J1198" s="2" t="s">
        <v>38</v>
      </c>
      <c r="K1198">
        <f>H1198*I1198</f>
        <v>106.05000000000001</v>
      </c>
      <c r="L1198" t="str">
        <f t="shared" si="36"/>
        <v>Aug</v>
      </c>
      <c r="M1198">
        <f t="shared" si="37"/>
        <v>8</v>
      </c>
    </row>
    <row r="1199" spans="1:13" x14ac:dyDescent="0.25">
      <c r="A1199" s="2" t="s">
        <v>1272</v>
      </c>
      <c r="B1199" s="3">
        <v>45888</v>
      </c>
      <c r="C1199" s="2" t="s">
        <v>79</v>
      </c>
      <c r="D1199" s="2" t="s">
        <v>80</v>
      </c>
      <c r="E1199" s="2" t="s">
        <v>26</v>
      </c>
      <c r="F1199" s="2" t="s">
        <v>14</v>
      </c>
      <c r="G1199" s="2" t="s">
        <v>81</v>
      </c>
      <c r="H1199" s="2">
        <v>1</v>
      </c>
      <c r="I1199" s="4">
        <v>153.52000000000001</v>
      </c>
      <c r="J1199" s="2" t="s">
        <v>22</v>
      </c>
      <c r="K1199">
        <f>H1199*I1199</f>
        <v>153.52000000000001</v>
      </c>
      <c r="L1199" t="str">
        <f t="shared" si="36"/>
        <v>Aug</v>
      </c>
      <c r="M1199">
        <f t="shared" si="37"/>
        <v>8</v>
      </c>
    </row>
    <row r="1200" spans="1:13" x14ac:dyDescent="0.25">
      <c r="A1200" s="2" t="s">
        <v>1273</v>
      </c>
      <c r="B1200" s="3">
        <v>45888</v>
      </c>
      <c r="C1200" s="2" t="s">
        <v>80</v>
      </c>
      <c r="D1200" s="2" t="s">
        <v>80</v>
      </c>
      <c r="E1200" s="2" t="s">
        <v>26</v>
      </c>
      <c r="F1200" s="2" t="s">
        <v>20</v>
      </c>
      <c r="G1200" s="2" t="s">
        <v>21</v>
      </c>
      <c r="H1200" s="2">
        <v>1</v>
      </c>
      <c r="I1200" s="4">
        <v>50.5</v>
      </c>
      <c r="J1200" s="2" t="s">
        <v>16</v>
      </c>
      <c r="K1200">
        <f>H1200*I1200</f>
        <v>50.5</v>
      </c>
      <c r="L1200" t="str">
        <f t="shared" si="36"/>
        <v>Aug</v>
      </c>
      <c r="M1200">
        <f t="shared" si="37"/>
        <v>8</v>
      </c>
    </row>
    <row r="1201" spans="1:13" x14ac:dyDescent="0.25">
      <c r="A1201" s="2" t="s">
        <v>1274</v>
      </c>
      <c r="B1201" s="3">
        <v>45888</v>
      </c>
      <c r="C1201" s="2" t="s">
        <v>60</v>
      </c>
      <c r="D1201" s="2" t="s">
        <v>61</v>
      </c>
      <c r="E1201" s="2" t="s">
        <v>62</v>
      </c>
      <c r="F1201" s="2" t="s">
        <v>14</v>
      </c>
      <c r="G1201" s="2" t="s">
        <v>63</v>
      </c>
      <c r="H1201" s="2">
        <v>1</v>
      </c>
      <c r="I1201" s="4">
        <v>26</v>
      </c>
      <c r="J1201" s="2" t="s">
        <v>16</v>
      </c>
      <c r="K1201">
        <f>H1201*I1201</f>
        <v>26</v>
      </c>
      <c r="L1201" t="str">
        <f t="shared" si="36"/>
        <v>Aug</v>
      </c>
      <c r="M1201">
        <f t="shared" si="37"/>
        <v>8</v>
      </c>
    </row>
    <row r="1202" spans="1:13" x14ac:dyDescent="0.25">
      <c r="A1202" s="2" t="s">
        <v>1275</v>
      </c>
      <c r="B1202" s="3">
        <v>45888</v>
      </c>
      <c r="C1202" s="2" t="s">
        <v>61</v>
      </c>
      <c r="D1202" s="2" t="s">
        <v>61</v>
      </c>
      <c r="E1202" s="2" t="s">
        <v>62</v>
      </c>
      <c r="F1202" s="2" t="s">
        <v>20</v>
      </c>
      <c r="G1202" s="2" t="s">
        <v>21</v>
      </c>
      <c r="H1202" s="2">
        <v>1</v>
      </c>
      <c r="I1202" s="4">
        <v>8</v>
      </c>
      <c r="J1202" s="2" t="s">
        <v>16</v>
      </c>
      <c r="K1202">
        <f>H1202*I1202</f>
        <v>8</v>
      </c>
      <c r="L1202" t="str">
        <f t="shared" si="36"/>
        <v>Aug</v>
      </c>
      <c r="M1202">
        <f t="shared" si="37"/>
        <v>8</v>
      </c>
    </row>
    <row r="1203" spans="1:13" x14ac:dyDescent="0.25">
      <c r="A1203" s="2" t="s">
        <v>1276</v>
      </c>
      <c r="B1203" s="3">
        <v>45888</v>
      </c>
      <c r="C1203" s="2" t="s">
        <v>52</v>
      </c>
      <c r="D1203" s="2" t="s">
        <v>30</v>
      </c>
      <c r="E1203" s="2" t="s">
        <v>13</v>
      </c>
      <c r="F1203" s="2" t="s">
        <v>14</v>
      </c>
      <c r="G1203" s="2" t="s">
        <v>53</v>
      </c>
      <c r="H1203" s="2">
        <v>1</v>
      </c>
      <c r="I1203" s="4">
        <v>42.42</v>
      </c>
      <c r="J1203" s="2" t="s">
        <v>16</v>
      </c>
      <c r="K1203">
        <f>H1203*I1203</f>
        <v>42.42</v>
      </c>
      <c r="L1203" t="str">
        <f t="shared" si="36"/>
        <v>Aug</v>
      </c>
      <c r="M1203">
        <f t="shared" si="37"/>
        <v>8</v>
      </c>
    </row>
    <row r="1204" spans="1:13" x14ac:dyDescent="0.25">
      <c r="A1204" s="2" t="s">
        <v>1277</v>
      </c>
      <c r="B1204" s="3">
        <v>45888</v>
      </c>
      <c r="C1204" s="2" t="s">
        <v>108</v>
      </c>
      <c r="D1204" s="2" t="s">
        <v>109</v>
      </c>
      <c r="E1204" s="2" t="s">
        <v>13</v>
      </c>
      <c r="F1204" s="2" t="s">
        <v>14</v>
      </c>
      <c r="G1204" s="2" t="s">
        <v>110</v>
      </c>
      <c r="H1204" s="2">
        <v>3</v>
      </c>
      <c r="I1204" s="4">
        <v>62.62</v>
      </c>
      <c r="J1204" s="2" t="s">
        <v>16</v>
      </c>
      <c r="K1204">
        <f>H1204*I1204</f>
        <v>187.85999999999999</v>
      </c>
      <c r="L1204" t="str">
        <f t="shared" si="36"/>
        <v>Aug</v>
      </c>
      <c r="M1204">
        <f t="shared" si="37"/>
        <v>8</v>
      </c>
    </row>
    <row r="1205" spans="1:13" x14ac:dyDescent="0.25">
      <c r="A1205" s="2" t="s">
        <v>1278</v>
      </c>
      <c r="B1205" s="3">
        <v>45889</v>
      </c>
      <c r="C1205" s="2" t="s">
        <v>11</v>
      </c>
      <c r="D1205" s="2" t="s">
        <v>12</v>
      </c>
      <c r="E1205" s="2" t="s">
        <v>13</v>
      </c>
      <c r="F1205" s="2" t="s">
        <v>14</v>
      </c>
      <c r="G1205" s="2" t="s">
        <v>15</v>
      </c>
      <c r="H1205" s="2">
        <v>2</v>
      </c>
      <c r="I1205" s="4">
        <v>32</v>
      </c>
      <c r="J1205" s="2" t="s">
        <v>31</v>
      </c>
      <c r="K1205">
        <f>H1205*I1205</f>
        <v>64</v>
      </c>
      <c r="L1205" t="str">
        <f t="shared" si="36"/>
        <v>Aug</v>
      </c>
      <c r="M1205">
        <f t="shared" si="37"/>
        <v>8</v>
      </c>
    </row>
    <row r="1206" spans="1:13" x14ac:dyDescent="0.25">
      <c r="A1206" s="2" t="s">
        <v>1279</v>
      </c>
      <c r="B1206" s="3">
        <v>45889</v>
      </c>
      <c r="C1206" s="2" t="s">
        <v>11</v>
      </c>
      <c r="D1206" s="2" t="s">
        <v>12</v>
      </c>
      <c r="E1206" s="2" t="s">
        <v>13</v>
      </c>
      <c r="F1206" s="2" t="s">
        <v>14</v>
      </c>
      <c r="G1206" s="2" t="s">
        <v>15</v>
      </c>
      <c r="H1206" s="2">
        <v>3</v>
      </c>
      <c r="I1206" s="4">
        <v>32.32</v>
      </c>
      <c r="J1206" s="2" t="s">
        <v>16</v>
      </c>
      <c r="K1206">
        <f>H1206*I1206</f>
        <v>96.960000000000008</v>
      </c>
      <c r="L1206" t="str">
        <f t="shared" si="36"/>
        <v>Aug</v>
      </c>
      <c r="M1206">
        <f t="shared" si="37"/>
        <v>8</v>
      </c>
    </row>
    <row r="1207" spans="1:13" x14ac:dyDescent="0.25">
      <c r="A1207" s="2" t="s">
        <v>1280</v>
      </c>
      <c r="B1207" s="3">
        <v>45889</v>
      </c>
      <c r="C1207" s="2" t="s">
        <v>11</v>
      </c>
      <c r="D1207" s="2" t="s">
        <v>12</v>
      </c>
      <c r="E1207" s="2" t="s">
        <v>13</v>
      </c>
      <c r="F1207" s="2" t="s">
        <v>14</v>
      </c>
      <c r="G1207" s="2" t="s">
        <v>15</v>
      </c>
      <c r="H1207" s="2">
        <v>2</v>
      </c>
      <c r="I1207" s="4">
        <v>32.32</v>
      </c>
      <c r="J1207" s="2" t="s">
        <v>38</v>
      </c>
      <c r="K1207">
        <f>H1207*I1207</f>
        <v>64.64</v>
      </c>
      <c r="L1207" t="str">
        <f t="shared" si="36"/>
        <v>Aug</v>
      </c>
      <c r="M1207">
        <f t="shared" si="37"/>
        <v>8</v>
      </c>
    </row>
    <row r="1208" spans="1:13" x14ac:dyDescent="0.25">
      <c r="A1208" s="2" t="s">
        <v>1281</v>
      </c>
      <c r="B1208" s="3">
        <v>45889</v>
      </c>
      <c r="C1208" s="2" t="s">
        <v>12</v>
      </c>
      <c r="D1208" s="2" t="s">
        <v>12</v>
      </c>
      <c r="E1208" s="2" t="s">
        <v>13</v>
      </c>
      <c r="F1208" s="2" t="s">
        <v>20</v>
      </c>
      <c r="G1208" s="2" t="s">
        <v>21</v>
      </c>
      <c r="H1208" s="2">
        <v>2</v>
      </c>
      <c r="I1208" s="4">
        <v>14.14</v>
      </c>
      <c r="J1208" s="2" t="s">
        <v>16</v>
      </c>
      <c r="K1208">
        <f>H1208*I1208</f>
        <v>28.28</v>
      </c>
      <c r="L1208" t="str">
        <f t="shared" si="36"/>
        <v>Aug</v>
      </c>
      <c r="M1208">
        <f t="shared" si="37"/>
        <v>8</v>
      </c>
    </row>
    <row r="1209" spans="1:13" x14ac:dyDescent="0.25">
      <c r="A1209" s="2" t="s">
        <v>1282</v>
      </c>
      <c r="B1209" s="3">
        <v>45889</v>
      </c>
      <c r="C1209" s="2" t="s">
        <v>86</v>
      </c>
      <c r="D1209" s="2" t="s">
        <v>48</v>
      </c>
      <c r="E1209" s="2" t="s">
        <v>49</v>
      </c>
      <c r="F1209" s="2" t="s">
        <v>14</v>
      </c>
      <c r="G1209" s="2" t="s">
        <v>87</v>
      </c>
      <c r="H1209" s="2">
        <v>2</v>
      </c>
      <c r="I1209" s="4">
        <v>126.25</v>
      </c>
      <c r="J1209" s="2" t="s">
        <v>22</v>
      </c>
      <c r="K1209">
        <f>H1209*I1209</f>
        <v>252.5</v>
      </c>
      <c r="L1209" t="str">
        <f t="shared" si="36"/>
        <v>Aug</v>
      </c>
      <c r="M1209">
        <f t="shared" si="37"/>
        <v>8</v>
      </c>
    </row>
    <row r="1210" spans="1:13" x14ac:dyDescent="0.25">
      <c r="A1210" s="2" t="s">
        <v>1283</v>
      </c>
      <c r="B1210" s="3">
        <v>45889</v>
      </c>
      <c r="C1210" s="2" t="s">
        <v>124</v>
      </c>
      <c r="D1210" s="2" t="s">
        <v>18</v>
      </c>
      <c r="E1210" s="2" t="s">
        <v>19</v>
      </c>
      <c r="F1210" s="2" t="s">
        <v>14</v>
      </c>
      <c r="G1210" s="2" t="s">
        <v>125</v>
      </c>
      <c r="H1210" s="2">
        <v>6</v>
      </c>
      <c r="I1210" s="4">
        <v>45.45</v>
      </c>
      <c r="J1210" s="2" t="s">
        <v>38</v>
      </c>
      <c r="K1210">
        <f>H1210*I1210</f>
        <v>272.70000000000005</v>
      </c>
      <c r="L1210" t="str">
        <f t="shared" si="36"/>
        <v>Aug</v>
      </c>
      <c r="M1210">
        <f t="shared" si="37"/>
        <v>8</v>
      </c>
    </row>
    <row r="1211" spans="1:13" x14ac:dyDescent="0.25">
      <c r="A1211" s="2" t="s">
        <v>1284</v>
      </c>
      <c r="B1211" s="3">
        <v>45889</v>
      </c>
      <c r="C1211" s="2" t="s">
        <v>60</v>
      </c>
      <c r="D1211" s="2" t="s">
        <v>61</v>
      </c>
      <c r="E1211" s="2" t="s">
        <v>62</v>
      </c>
      <c r="F1211" s="2" t="s">
        <v>14</v>
      </c>
      <c r="G1211" s="2" t="s">
        <v>63</v>
      </c>
      <c r="H1211" s="2">
        <v>1</v>
      </c>
      <c r="I1211" s="4">
        <v>26.26</v>
      </c>
      <c r="J1211" s="2" t="s">
        <v>22</v>
      </c>
      <c r="K1211">
        <f>H1211*I1211</f>
        <v>26.26</v>
      </c>
      <c r="L1211" t="str">
        <f t="shared" si="36"/>
        <v>Aug</v>
      </c>
      <c r="M1211">
        <f t="shared" si="37"/>
        <v>8</v>
      </c>
    </row>
    <row r="1212" spans="1:13" x14ac:dyDescent="0.25">
      <c r="A1212" s="2" t="s">
        <v>1285</v>
      </c>
      <c r="B1212" s="3">
        <v>45889</v>
      </c>
      <c r="C1212" s="2" t="s">
        <v>42</v>
      </c>
      <c r="D1212" s="2" t="s">
        <v>43</v>
      </c>
      <c r="E1212" s="2" t="s">
        <v>44</v>
      </c>
      <c r="F1212" s="2" t="s">
        <v>14</v>
      </c>
      <c r="G1212" s="2" t="s">
        <v>45</v>
      </c>
      <c r="H1212" s="2">
        <v>1</v>
      </c>
      <c r="I1212" s="4">
        <v>46.46</v>
      </c>
      <c r="J1212" s="2" t="s">
        <v>16</v>
      </c>
      <c r="K1212">
        <f>H1212*I1212</f>
        <v>46.46</v>
      </c>
      <c r="L1212" t="str">
        <f t="shared" si="36"/>
        <v>Aug</v>
      </c>
      <c r="M1212">
        <f t="shared" si="37"/>
        <v>8</v>
      </c>
    </row>
    <row r="1213" spans="1:13" x14ac:dyDescent="0.25">
      <c r="A1213" s="2" t="s">
        <v>1286</v>
      </c>
      <c r="B1213" s="3">
        <v>45890</v>
      </c>
      <c r="C1213" s="2" t="s">
        <v>34</v>
      </c>
      <c r="D1213" s="2" t="s">
        <v>35</v>
      </c>
      <c r="E1213" s="2" t="s">
        <v>36</v>
      </c>
      <c r="F1213" s="2" t="s">
        <v>14</v>
      </c>
      <c r="G1213" s="2" t="s">
        <v>37</v>
      </c>
      <c r="H1213" s="2">
        <v>3</v>
      </c>
      <c r="I1213" s="4">
        <v>166.65</v>
      </c>
      <c r="J1213" s="2" t="s">
        <v>22</v>
      </c>
      <c r="K1213">
        <f>H1213*I1213</f>
        <v>499.95000000000005</v>
      </c>
      <c r="L1213" t="str">
        <f t="shared" si="36"/>
        <v>Aug</v>
      </c>
      <c r="M1213">
        <f t="shared" si="37"/>
        <v>8</v>
      </c>
    </row>
    <row r="1214" spans="1:13" x14ac:dyDescent="0.25">
      <c r="A1214" s="2" t="s">
        <v>1287</v>
      </c>
      <c r="B1214" s="3">
        <v>45890</v>
      </c>
      <c r="C1214" s="2" t="s">
        <v>35</v>
      </c>
      <c r="D1214" s="2" t="s">
        <v>35</v>
      </c>
      <c r="E1214" s="2" t="s">
        <v>36</v>
      </c>
      <c r="F1214" s="2" t="s">
        <v>20</v>
      </c>
      <c r="G1214" s="2" t="s">
        <v>21</v>
      </c>
      <c r="H1214" s="2">
        <v>1</v>
      </c>
      <c r="I1214" s="4">
        <v>58.58</v>
      </c>
      <c r="J1214" s="2" t="s">
        <v>38</v>
      </c>
      <c r="K1214">
        <f>H1214*I1214</f>
        <v>58.58</v>
      </c>
      <c r="L1214" t="str">
        <f t="shared" si="36"/>
        <v>Aug</v>
      </c>
      <c r="M1214">
        <f t="shared" si="37"/>
        <v>8</v>
      </c>
    </row>
    <row r="1215" spans="1:13" x14ac:dyDescent="0.25">
      <c r="A1215" s="2" t="s">
        <v>1288</v>
      </c>
      <c r="B1215" s="3">
        <v>45891</v>
      </c>
      <c r="C1215" s="2" t="s">
        <v>11</v>
      </c>
      <c r="D1215" s="2" t="s">
        <v>12</v>
      </c>
      <c r="E1215" s="2" t="s">
        <v>13</v>
      </c>
      <c r="F1215" s="2" t="s">
        <v>14</v>
      </c>
      <c r="G1215" s="2" t="s">
        <v>15</v>
      </c>
      <c r="H1215" s="2">
        <v>1</v>
      </c>
      <c r="I1215" s="4">
        <v>32.32</v>
      </c>
      <c r="J1215" s="2" t="s">
        <v>31</v>
      </c>
      <c r="K1215">
        <f>H1215*I1215</f>
        <v>32.32</v>
      </c>
      <c r="L1215" t="str">
        <f t="shared" si="36"/>
        <v>Aug</v>
      </c>
      <c r="M1215">
        <f t="shared" si="37"/>
        <v>8</v>
      </c>
    </row>
    <row r="1216" spans="1:13" x14ac:dyDescent="0.25">
      <c r="A1216" s="2" t="s">
        <v>1289</v>
      </c>
      <c r="B1216" s="3">
        <v>45891</v>
      </c>
      <c r="C1216" s="2" t="s">
        <v>48</v>
      </c>
      <c r="D1216" s="2" t="s">
        <v>48</v>
      </c>
      <c r="E1216" s="2" t="s">
        <v>49</v>
      </c>
      <c r="F1216" s="2" t="s">
        <v>20</v>
      </c>
      <c r="G1216" s="2" t="s">
        <v>21</v>
      </c>
      <c r="H1216" s="2">
        <v>3</v>
      </c>
      <c r="I1216" s="4">
        <v>55.55</v>
      </c>
      <c r="J1216" s="2" t="s">
        <v>31</v>
      </c>
      <c r="K1216">
        <f>H1216*I1216</f>
        <v>166.64999999999998</v>
      </c>
      <c r="L1216" t="str">
        <f t="shared" si="36"/>
        <v>Aug</v>
      </c>
      <c r="M1216">
        <f t="shared" si="37"/>
        <v>8</v>
      </c>
    </row>
    <row r="1217" spans="1:13" x14ac:dyDescent="0.25">
      <c r="A1217" s="2" t="s">
        <v>1290</v>
      </c>
      <c r="B1217" s="3">
        <v>45891</v>
      </c>
      <c r="C1217" s="2" t="s">
        <v>75</v>
      </c>
      <c r="D1217" s="2" t="s">
        <v>75</v>
      </c>
      <c r="E1217" s="2" t="s">
        <v>76</v>
      </c>
      <c r="F1217" s="2" t="s">
        <v>20</v>
      </c>
      <c r="G1217" s="2" t="s">
        <v>21</v>
      </c>
      <c r="H1217" s="2">
        <v>6</v>
      </c>
      <c r="I1217" s="4">
        <v>12.12</v>
      </c>
      <c r="J1217" s="2" t="s">
        <v>16</v>
      </c>
      <c r="K1217">
        <f>H1217*I1217</f>
        <v>72.72</v>
      </c>
      <c r="L1217" t="str">
        <f t="shared" si="36"/>
        <v>Aug</v>
      </c>
      <c r="M1217">
        <f t="shared" si="37"/>
        <v>8</v>
      </c>
    </row>
    <row r="1218" spans="1:13" x14ac:dyDescent="0.25">
      <c r="A1218" s="2" t="s">
        <v>1291</v>
      </c>
      <c r="B1218" s="3">
        <v>45891</v>
      </c>
      <c r="C1218" s="2" t="s">
        <v>34</v>
      </c>
      <c r="D1218" s="2" t="s">
        <v>35</v>
      </c>
      <c r="E1218" s="2" t="s">
        <v>36</v>
      </c>
      <c r="F1218" s="2" t="s">
        <v>14</v>
      </c>
      <c r="G1218" s="2" t="s">
        <v>37</v>
      </c>
      <c r="H1218" s="2">
        <v>3</v>
      </c>
      <c r="I1218" s="4">
        <v>166.65</v>
      </c>
      <c r="J1218" s="2" t="s">
        <v>16</v>
      </c>
      <c r="K1218">
        <f>H1218*I1218</f>
        <v>499.95000000000005</v>
      </c>
      <c r="L1218" t="str">
        <f t="shared" si="36"/>
        <v>Aug</v>
      </c>
      <c r="M1218">
        <f t="shared" si="37"/>
        <v>8</v>
      </c>
    </row>
    <row r="1219" spans="1:13" x14ac:dyDescent="0.25">
      <c r="A1219" s="2" t="s">
        <v>1292</v>
      </c>
      <c r="B1219" s="3">
        <v>45891</v>
      </c>
      <c r="C1219" s="2" t="s">
        <v>79</v>
      </c>
      <c r="D1219" s="2" t="s">
        <v>80</v>
      </c>
      <c r="E1219" s="2" t="s">
        <v>26</v>
      </c>
      <c r="F1219" s="2" t="s">
        <v>14</v>
      </c>
      <c r="G1219" s="2" t="s">
        <v>81</v>
      </c>
      <c r="H1219" s="2">
        <v>2</v>
      </c>
      <c r="I1219" s="4">
        <v>153.52000000000001</v>
      </c>
      <c r="J1219" s="2" t="s">
        <v>16</v>
      </c>
      <c r="K1219">
        <f>H1219*I1219</f>
        <v>307.04000000000002</v>
      </c>
      <c r="L1219" t="str">
        <f t="shared" ref="L1219:L1282" si="38">TEXT(B1219,"mmm")</f>
        <v>Aug</v>
      </c>
      <c r="M1219">
        <f t="shared" ref="M1219:M1282" si="39">MONTH(B1219)</f>
        <v>8</v>
      </c>
    </row>
    <row r="1220" spans="1:13" x14ac:dyDescent="0.25">
      <c r="A1220" s="2" t="s">
        <v>1293</v>
      </c>
      <c r="B1220" s="3">
        <v>45891</v>
      </c>
      <c r="C1220" s="2" t="s">
        <v>60</v>
      </c>
      <c r="D1220" s="2" t="s">
        <v>61</v>
      </c>
      <c r="E1220" s="2" t="s">
        <v>62</v>
      </c>
      <c r="F1220" s="2" t="s">
        <v>14</v>
      </c>
      <c r="G1220" s="2" t="s">
        <v>63</v>
      </c>
      <c r="H1220" s="2">
        <v>2</v>
      </c>
      <c r="I1220" s="4">
        <v>26</v>
      </c>
      <c r="J1220" s="2" t="s">
        <v>16</v>
      </c>
      <c r="K1220">
        <f>H1220*I1220</f>
        <v>52</v>
      </c>
      <c r="L1220" t="str">
        <f t="shared" si="38"/>
        <v>Aug</v>
      </c>
      <c r="M1220">
        <f t="shared" si="39"/>
        <v>8</v>
      </c>
    </row>
    <row r="1221" spans="1:13" x14ac:dyDescent="0.25">
      <c r="A1221" s="2" t="s">
        <v>1294</v>
      </c>
      <c r="B1221" s="3">
        <v>45891</v>
      </c>
      <c r="C1221" s="2" t="s">
        <v>61</v>
      </c>
      <c r="D1221" s="2" t="s">
        <v>61</v>
      </c>
      <c r="E1221" s="2" t="s">
        <v>62</v>
      </c>
      <c r="F1221" s="2" t="s">
        <v>20</v>
      </c>
      <c r="G1221" s="2" t="s">
        <v>21</v>
      </c>
      <c r="H1221" s="2">
        <v>3</v>
      </c>
      <c r="I1221" s="4">
        <v>8.08</v>
      </c>
      <c r="J1221" s="2" t="s">
        <v>38</v>
      </c>
      <c r="K1221">
        <f>H1221*I1221</f>
        <v>24.240000000000002</v>
      </c>
      <c r="L1221" t="str">
        <f t="shared" si="38"/>
        <v>Aug</v>
      </c>
      <c r="M1221">
        <f t="shared" si="39"/>
        <v>8</v>
      </c>
    </row>
    <row r="1222" spans="1:13" x14ac:dyDescent="0.25">
      <c r="A1222" s="2" t="s">
        <v>1295</v>
      </c>
      <c r="B1222" s="3">
        <v>45891</v>
      </c>
      <c r="C1222" s="2" t="s">
        <v>97</v>
      </c>
      <c r="D1222" s="2" t="s">
        <v>98</v>
      </c>
      <c r="E1222" s="2" t="s">
        <v>99</v>
      </c>
      <c r="F1222" s="2" t="s">
        <v>14</v>
      </c>
      <c r="G1222" s="2" t="s">
        <v>37</v>
      </c>
      <c r="H1222" s="2">
        <v>1</v>
      </c>
      <c r="I1222" s="4">
        <v>183.82</v>
      </c>
      <c r="J1222" s="2" t="s">
        <v>38</v>
      </c>
      <c r="K1222">
        <f>H1222*I1222</f>
        <v>183.82</v>
      </c>
      <c r="L1222" t="str">
        <f t="shared" si="38"/>
        <v>Aug</v>
      </c>
      <c r="M1222">
        <f t="shared" si="39"/>
        <v>8</v>
      </c>
    </row>
    <row r="1223" spans="1:13" x14ac:dyDescent="0.25">
      <c r="A1223" s="2" t="s">
        <v>1296</v>
      </c>
      <c r="B1223" s="3">
        <v>45891</v>
      </c>
      <c r="C1223" s="2" t="s">
        <v>30</v>
      </c>
      <c r="D1223" s="2" t="s">
        <v>30</v>
      </c>
      <c r="E1223" s="2" t="s">
        <v>13</v>
      </c>
      <c r="F1223" s="2" t="s">
        <v>20</v>
      </c>
      <c r="G1223" s="2" t="s">
        <v>21</v>
      </c>
      <c r="H1223" s="2">
        <v>4</v>
      </c>
      <c r="I1223" s="4">
        <v>15</v>
      </c>
      <c r="J1223" s="2" t="s">
        <v>16</v>
      </c>
      <c r="K1223">
        <f>H1223*I1223</f>
        <v>60</v>
      </c>
      <c r="L1223" t="str">
        <f t="shared" si="38"/>
        <v>Aug</v>
      </c>
      <c r="M1223">
        <f t="shared" si="39"/>
        <v>8</v>
      </c>
    </row>
    <row r="1224" spans="1:13" x14ac:dyDescent="0.25">
      <c r="A1224" s="2" t="s">
        <v>1297</v>
      </c>
      <c r="B1224" s="3">
        <v>45891</v>
      </c>
      <c r="C1224" s="2" t="s">
        <v>42</v>
      </c>
      <c r="D1224" s="2" t="s">
        <v>43</v>
      </c>
      <c r="E1224" s="2" t="s">
        <v>44</v>
      </c>
      <c r="F1224" s="2" t="s">
        <v>14</v>
      </c>
      <c r="G1224" s="2" t="s">
        <v>45</v>
      </c>
      <c r="H1224" s="2">
        <v>1</v>
      </c>
      <c r="I1224" s="4">
        <v>46</v>
      </c>
      <c r="J1224" s="2" t="s">
        <v>16</v>
      </c>
      <c r="K1224">
        <f>H1224*I1224</f>
        <v>46</v>
      </c>
      <c r="L1224" t="str">
        <f t="shared" si="38"/>
        <v>Aug</v>
      </c>
      <c r="M1224">
        <f t="shared" si="39"/>
        <v>8</v>
      </c>
    </row>
    <row r="1225" spans="1:13" x14ac:dyDescent="0.25">
      <c r="A1225" s="2" t="s">
        <v>1298</v>
      </c>
      <c r="B1225" s="3">
        <v>45892</v>
      </c>
      <c r="C1225" s="2" t="s">
        <v>11</v>
      </c>
      <c r="D1225" s="2" t="s">
        <v>12</v>
      </c>
      <c r="E1225" s="2" t="s">
        <v>13</v>
      </c>
      <c r="F1225" s="2" t="s">
        <v>14</v>
      </c>
      <c r="G1225" s="2" t="s">
        <v>15</v>
      </c>
      <c r="H1225" s="2">
        <v>1</v>
      </c>
      <c r="I1225" s="4">
        <v>32.32</v>
      </c>
      <c r="J1225" s="2" t="s">
        <v>16</v>
      </c>
      <c r="K1225">
        <f>H1225*I1225</f>
        <v>32.32</v>
      </c>
      <c r="L1225" t="str">
        <f t="shared" si="38"/>
        <v>Aug</v>
      </c>
      <c r="M1225">
        <f t="shared" si="39"/>
        <v>8</v>
      </c>
    </row>
    <row r="1226" spans="1:13" x14ac:dyDescent="0.25">
      <c r="A1226" s="2" t="s">
        <v>1299</v>
      </c>
      <c r="B1226" s="3">
        <v>45892</v>
      </c>
      <c r="C1226" s="2" t="s">
        <v>12</v>
      </c>
      <c r="D1226" s="2" t="s">
        <v>12</v>
      </c>
      <c r="E1226" s="2" t="s">
        <v>13</v>
      </c>
      <c r="F1226" s="2" t="s">
        <v>20</v>
      </c>
      <c r="G1226" s="2" t="s">
        <v>21</v>
      </c>
      <c r="H1226" s="2">
        <v>2</v>
      </c>
      <c r="I1226" s="4">
        <v>14</v>
      </c>
      <c r="J1226" s="2" t="s">
        <v>16</v>
      </c>
      <c r="K1226">
        <f>H1226*I1226</f>
        <v>28</v>
      </c>
      <c r="L1226" t="str">
        <f t="shared" si="38"/>
        <v>Aug</v>
      </c>
      <c r="M1226">
        <f t="shared" si="39"/>
        <v>8</v>
      </c>
    </row>
    <row r="1227" spans="1:13" x14ac:dyDescent="0.25">
      <c r="A1227" s="2" t="s">
        <v>1300</v>
      </c>
      <c r="B1227" s="3">
        <v>45892</v>
      </c>
      <c r="C1227" s="2" t="s">
        <v>12</v>
      </c>
      <c r="D1227" s="2" t="s">
        <v>12</v>
      </c>
      <c r="E1227" s="2" t="s">
        <v>13</v>
      </c>
      <c r="F1227" s="2" t="s">
        <v>20</v>
      </c>
      <c r="G1227" s="2" t="s">
        <v>21</v>
      </c>
      <c r="H1227" s="2">
        <v>3</v>
      </c>
      <c r="I1227" s="4">
        <v>14.14</v>
      </c>
      <c r="J1227" s="2" t="s">
        <v>31</v>
      </c>
      <c r="K1227">
        <f>H1227*I1227</f>
        <v>42.42</v>
      </c>
      <c r="L1227" t="str">
        <f t="shared" si="38"/>
        <v>Aug</v>
      </c>
      <c r="M1227">
        <f t="shared" si="39"/>
        <v>8</v>
      </c>
    </row>
    <row r="1228" spans="1:13" x14ac:dyDescent="0.25">
      <c r="A1228" s="2" t="s">
        <v>1301</v>
      </c>
      <c r="B1228" s="3">
        <v>45892</v>
      </c>
      <c r="C1228" s="2" t="s">
        <v>48</v>
      </c>
      <c r="D1228" s="2" t="s">
        <v>48</v>
      </c>
      <c r="E1228" s="2" t="s">
        <v>49</v>
      </c>
      <c r="F1228" s="2" t="s">
        <v>20</v>
      </c>
      <c r="G1228" s="2" t="s">
        <v>21</v>
      </c>
      <c r="H1228" s="2">
        <v>3</v>
      </c>
      <c r="I1228" s="4">
        <v>55.55</v>
      </c>
      <c r="J1228" s="2" t="s">
        <v>38</v>
      </c>
      <c r="K1228">
        <f>H1228*I1228</f>
        <v>166.64999999999998</v>
      </c>
      <c r="L1228" t="str">
        <f t="shared" si="38"/>
        <v>Aug</v>
      </c>
      <c r="M1228">
        <f t="shared" si="39"/>
        <v>8</v>
      </c>
    </row>
    <row r="1229" spans="1:13" x14ac:dyDescent="0.25">
      <c r="A1229" s="2" t="s">
        <v>1302</v>
      </c>
      <c r="B1229" s="3">
        <v>45892</v>
      </c>
      <c r="C1229" s="2" t="s">
        <v>75</v>
      </c>
      <c r="D1229" s="2" t="s">
        <v>75</v>
      </c>
      <c r="E1229" s="2" t="s">
        <v>76</v>
      </c>
      <c r="F1229" s="2" t="s">
        <v>20</v>
      </c>
      <c r="G1229" s="2" t="s">
        <v>21</v>
      </c>
      <c r="H1229" s="2">
        <v>3</v>
      </c>
      <c r="I1229" s="4">
        <v>12</v>
      </c>
      <c r="J1229" s="2" t="s">
        <v>31</v>
      </c>
      <c r="K1229">
        <f>H1229*I1229</f>
        <v>36</v>
      </c>
      <c r="L1229" t="str">
        <f t="shared" si="38"/>
        <v>Aug</v>
      </c>
      <c r="M1229">
        <f t="shared" si="39"/>
        <v>8</v>
      </c>
    </row>
    <row r="1230" spans="1:13" x14ac:dyDescent="0.25">
      <c r="A1230" s="2" t="s">
        <v>1303</v>
      </c>
      <c r="B1230" s="3">
        <v>45892</v>
      </c>
      <c r="C1230" s="2" t="s">
        <v>43</v>
      </c>
      <c r="D1230" s="2" t="s">
        <v>43</v>
      </c>
      <c r="E1230" s="2" t="s">
        <v>44</v>
      </c>
      <c r="F1230" s="2" t="s">
        <v>20</v>
      </c>
      <c r="G1230" s="2" t="s">
        <v>21</v>
      </c>
      <c r="H1230" s="2">
        <v>1</v>
      </c>
      <c r="I1230" s="4">
        <v>18</v>
      </c>
      <c r="J1230" s="2" t="s">
        <v>22</v>
      </c>
      <c r="K1230">
        <f>H1230*I1230</f>
        <v>18</v>
      </c>
      <c r="L1230" t="str">
        <f t="shared" si="38"/>
        <v>Aug</v>
      </c>
      <c r="M1230">
        <f t="shared" si="39"/>
        <v>8</v>
      </c>
    </row>
    <row r="1231" spans="1:13" x14ac:dyDescent="0.25">
      <c r="A1231" s="2" t="s">
        <v>1304</v>
      </c>
      <c r="B1231" s="3">
        <v>45893</v>
      </c>
      <c r="C1231" s="2" t="s">
        <v>11</v>
      </c>
      <c r="D1231" s="2" t="s">
        <v>12</v>
      </c>
      <c r="E1231" s="2" t="s">
        <v>13</v>
      </c>
      <c r="F1231" s="2" t="s">
        <v>14</v>
      </c>
      <c r="G1231" s="2" t="s">
        <v>15</v>
      </c>
      <c r="H1231" s="2">
        <v>4</v>
      </c>
      <c r="I1231" s="4">
        <v>32</v>
      </c>
      <c r="J1231" s="2" t="s">
        <v>16</v>
      </c>
      <c r="K1231">
        <f>H1231*I1231</f>
        <v>128</v>
      </c>
      <c r="L1231" t="str">
        <f t="shared" si="38"/>
        <v>Aug</v>
      </c>
      <c r="M1231">
        <f t="shared" si="39"/>
        <v>8</v>
      </c>
    </row>
    <row r="1232" spans="1:13" x14ac:dyDescent="0.25">
      <c r="A1232" s="2" t="s">
        <v>1305</v>
      </c>
      <c r="B1232" s="3">
        <v>45893</v>
      </c>
      <c r="C1232" s="2" t="s">
        <v>48</v>
      </c>
      <c r="D1232" s="2" t="s">
        <v>48</v>
      </c>
      <c r="E1232" s="2" t="s">
        <v>49</v>
      </c>
      <c r="F1232" s="2" t="s">
        <v>20</v>
      </c>
      <c r="G1232" s="2" t="s">
        <v>21</v>
      </c>
      <c r="H1232" s="2">
        <v>2</v>
      </c>
      <c r="I1232" s="4">
        <v>55.55</v>
      </c>
      <c r="J1232" s="2" t="s">
        <v>16</v>
      </c>
      <c r="K1232">
        <f>H1232*I1232</f>
        <v>111.1</v>
      </c>
      <c r="L1232" t="str">
        <f t="shared" si="38"/>
        <v>Aug</v>
      </c>
      <c r="M1232">
        <f t="shared" si="39"/>
        <v>8</v>
      </c>
    </row>
    <row r="1233" spans="1:13" x14ac:dyDescent="0.25">
      <c r="A1233" s="2" t="s">
        <v>1306</v>
      </c>
      <c r="B1233" s="3">
        <v>45893</v>
      </c>
      <c r="C1233" s="2" t="s">
        <v>75</v>
      </c>
      <c r="D1233" s="2" t="s">
        <v>75</v>
      </c>
      <c r="E1233" s="2" t="s">
        <v>76</v>
      </c>
      <c r="F1233" s="2" t="s">
        <v>20</v>
      </c>
      <c r="G1233" s="2" t="s">
        <v>21</v>
      </c>
      <c r="H1233" s="2">
        <v>6</v>
      </c>
      <c r="I1233" s="4">
        <v>12</v>
      </c>
      <c r="J1233" s="2" t="s">
        <v>16</v>
      </c>
      <c r="K1233">
        <f>H1233*I1233</f>
        <v>72</v>
      </c>
      <c r="L1233" t="str">
        <f t="shared" si="38"/>
        <v>Aug</v>
      </c>
      <c r="M1233">
        <f t="shared" si="39"/>
        <v>8</v>
      </c>
    </row>
    <row r="1234" spans="1:13" x14ac:dyDescent="0.25">
      <c r="A1234" s="2" t="s">
        <v>1307</v>
      </c>
      <c r="B1234" s="3">
        <v>45893</v>
      </c>
      <c r="C1234" s="2" t="s">
        <v>120</v>
      </c>
      <c r="D1234" s="2" t="s">
        <v>120</v>
      </c>
      <c r="E1234" s="2" t="s">
        <v>76</v>
      </c>
      <c r="F1234" s="2" t="s">
        <v>20</v>
      </c>
      <c r="G1234" s="2" t="s">
        <v>21</v>
      </c>
      <c r="H1234" s="2">
        <v>3</v>
      </c>
      <c r="I1234" s="4">
        <v>42.42</v>
      </c>
      <c r="J1234" s="2" t="s">
        <v>38</v>
      </c>
      <c r="K1234">
        <f>H1234*I1234</f>
        <v>127.26</v>
      </c>
      <c r="L1234" t="str">
        <f t="shared" si="38"/>
        <v>Aug</v>
      </c>
      <c r="M1234">
        <f t="shared" si="39"/>
        <v>8</v>
      </c>
    </row>
    <row r="1235" spans="1:13" x14ac:dyDescent="0.25">
      <c r="A1235" s="2" t="s">
        <v>1308</v>
      </c>
      <c r="B1235" s="3">
        <v>45893</v>
      </c>
      <c r="C1235" s="2" t="s">
        <v>102</v>
      </c>
      <c r="D1235" s="2" t="s">
        <v>102</v>
      </c>
      <c r="E1235" s="2" t="s">
        <v>36</v>
      </c>
      <c r="F1235" s="2" t="s">
        <v>20</v>
      </c>
      <c r="G1235" s="2" t="s">
        <v>21</v>
      </c>
      <c r="H1235" s="2">
        <v>6</v>
      </c>
      <c r="I1235" s="4">
        <v>35</v>
      </c>
      <c r="J1235" s="2" t="s">
        <v>16</v>
      </c>
      <c r="K1235">
        <f>H1235*I1235</f>
        <v>210</v>
      </c>
      <c r="L1235" t="str">
        <f t="shared" si="38"/>
        <v>Aug</v>
      </c>
      <c r="M1235">
        <f t="shared" si="39"/>
        <v>8</v>
      </c>
    </row>
    <row r="1236" spans="1:13" x14ac:dyDescent="0.25">
      <c r="A1236" s="2" t="s">
        <v>1309</v>
      </c>
      <c r="B1236" s="3">
        <v>45893</v>
      </c>
      <c r="C1236" s="2" t="s">
        <v>18</v>
      </c>
      <c r="D1236" s="2" t="s">
        <v>18</v>
      </c>
      <c r="E1236" s="2" t="s">
        <v>19</v>
      </c>
      <c r="F1236" s="2" t="s">
        <v>20</v>
      </c>
      <c r="G1236" s="2" t="s">
        <v>21</v>
      </c>
      <c r="H1236" s="2">
        <v>6</v>
      </c>
      <c r="I1236" s="4">
        <v>15.15</v>
      </c>
      <c r="J1236" s="2" t="s">
        <v>31</v>
      </c>
      <c r="K1236">
        <f>H1236*I1236</f>
        <v>90.9</v>
      </c>
      <c r="L1236" t="str">
        <f t="shared" si="38"/>
        <v>Aug</v>
      </c>
      <c r="M1236">
        <f t="shared" si="39"/>
        <v>8</v>
      </c>
    </row>
    <row r="1237" spans="1:13" x14ac:dyDescent="0.25">
      <c r="A1237" s="2" t="s">
        <v>1310</v>
      </c>
      <c r="B1237" s="3">
        <v>45894</v>
      </c>
      <c r="C1237" s="2" t="s">
        <v>11</v>
      </c>
      <c r="D1237" s="2" t="s">
        <v>12</v>
      </c>
      <c r="E1237" s="2" t="s">
        <v>13</v>
      </c>
      <c r="F1237" s="2" t="s">
        <v>14</v>
      </c>
      <c r="G1237" s="2" t="s">
        <v>15</v>
      </c>
      <c r="H1237" s="2">
        <v>2</v>
      </c>
      <c r="I1237" s="4">
        <v>32</v>
      </c>
      <c r="J1237" s="2" t="s">
        <v>16</v>
      </c>
      <c r="K1237">
        <f>H1237*I1237</f>
        <v>64</v>
      </c>
      <c r="L1237" t="str">
        <f t="shared" si="38"/>
        <v>Aug</v>
      </c>
      <c r="M1237">
        <f t="shared" si="39"/>
        <v>8</v>
      </c>
    </row>
    <row r="1238" spans="1:13" x14ac:dyDescent="0.25">
      <c r="A1238" s="2" t="s">
        <v>1311</v>
      </c>
      <c r="B1238" s="3">
        <v>45894</v>
      </c>
      <c r="C1238" s="2" t="s">
        <v>12</v>
      </c>
      <c r="D1238" s="2" t="s">
        <v>12</v>
      </c>
      <c r="E1238" s="2" t="s">
        <v>13</v>
      </c>
      <c r="F1238" s="2" t="s">
        <v>20</v>
      </c>
      <c r="G1238" s="2" t="s">
        <v>21</v>
      </c>
      <c r="H1238" s="2">
        <v>3</v>
      </c>
      <c r="I1238" s="4">
        <v>14.14</v>
      </c>
      <c r="J1238" s="2" t="s">
        <v>16</v>
      </c>
      <c r="K1238">
        <f>H1238*I1238</f>
        <v>42.42</v>
      </c>
      <c r="L1238" t="str">
        <f t="shared" si="38"/>
        <v>Aug</v>
      </c>
      <c r="M1238">
        <f t="shared" si="39"/>
        <v>8</v>
      </c>
    </row>
    <row r="1239" spans="1:13" x14ac:dyDescent="0.25">
      <c r="A1239" s="2" t="s">
        <v>1312</v>
      </c>
      <c r="B1239" s="3">
        <v>45894</v>
      </c>
      <c r="C1239" s="2" t="s">
        <v>86</v>
      </c>
      <c r="D1239" s="2" t="s">
        <v>48</v>
      </c>
      <c r="E1239" s="2" t="s">
        <v>49</v>
      </c>
      <c r="F1239" s="2" t="s">
        <v>14</v>
      </c>
      <c r="G1239" s="2" t="s">
        <v>87</v>
      </c>
      <c r="H1239" s="2">
        <v>1</v>
      </c>
      <c r="I1239" s="4">
        <v>126.25</v>
      </c>
      <c r="J1239" s="2" t="s">
        <v>22</v>
      </c>
      <c r="K1239">
        <f>H1239*I1239</f>
        <v>126.25</v>
      </c>
      <c r="L1239" t="str">
        <f t="shared" si="38"/>
        <v>Aug</v>
      </c>
      <c r="M1239">
        <f t="shared" si="39"/>
        <v>8</v>
      </c>
    </row>
    <row r="1240" spans="1:13" x14ac:dyDescent="0.25">
      <c r="A1240" s="2" t="s">
        <v>1313</v>
      </c>
      <c r="B1240" s="3">
        <v>45894</v>
      </c>
      <c r="C1240" s="2" t="s">
        <v>67</v>
      </c>
      <c r="D1240" s="2" t="s">
        <v>68</v>
      </c>
      <c r="E1240" s="2" t="s">
        <v>49</v>
      </c>
      <c r="F1240" s="2" t="s">
        <v>14</v>
      </c>
      <c r="G1240" s="2" t="s">
        <v>69</v>
      </c>
      <c r="H1240" s="2">
        <v>2</v>
      </c>
      <c r="I1240" s="4">
        <v>207.05</v>
      </c>
      <c r="J1240" s="2" t="s">
        <v>38</v>
      </c>
      <c r="K1240">
        <f>H1240*I1240</f>
        <v>414.1</v>
      </c>
      <c r="L1240" t="str">
        <f t="shared" si="38"/>
        <v>Aug</v>
      </c>
      <c r="M1240">
        <f t="shared" si="39"/>
        <v>8</v>
      </c>
    </row>
    <row r="1241" spans="1:13" x14ac:dyDescent="0.25">
      <c r="A1241" s="2" t="s">
        <v>1314</v>
      </c>
      <c r="B1241" s="3">
        <v>45894</v>
      </c>
      <c r="C1241" s="2" t="s">
        <v>18</v>
      </c>
      <c r="D1241" s="2" t="s">
        <v>18</v>
      </c>
      <c r="E1241" s="2" t="s">
        <v>19</v>
      </c>
      <c r="F1241" s="2" t="s">
        <v>20</v>
      </c>
      <c r="G1241" s="2" t="s">
        <v>21</v>
      </c>
      <c r="H1241" s="2">
        <v>3</v>
      </c>
      <c r="I1241" s="4">
        <v>15.15</v>
      </c>
      <c r="J1241" s="2" t="s">
        <v>31</v>
      </c>
      <c r="K1241">
        <f>H1241*I1241</f>
        <v>45.45</v>
      </c>
      <c r="L1241" t="str">
        <f t="shared" si="38"/>
        <v>Aug</v>
      </c>
      <c r="M1241">
        <f t="shared" si="39"/>
        <v>8</v>
      </c>
    </row>
    <row r="1242" spans="1:13" x14ac:dyDescent="0.25">
      <c r="A1242" s="2" t="s">
        <v>1315</v>
      </c>
      <c r="B1242" s="3">
        <v>45894</v>
      </c>
      <c r="C1242" s="2" t="s">
        <v>79</v>
      </c>
      <c r="D1242" s="2" t="s">
        <v>80</v>
      </c>
      <c r="E1242" s="2" t="s">
        <v>26</v>
      </c>
      <c r="F1242" s="2" t="s">
        <v>14</v>
      </c>
      <c r="G1242" s="2" t="s">
        <v>81</v>
      </c>
      <c r="H1242" s="2">
        <v>5</v>
      </c>
      <c r="I1242" s="4">
        <v>152</v>
      </c>
      <c r="J1242" s="2" t="s">
        <v>31</v>
      </c>
      <c r="K1242">
        <f>H1242*I1242</f>
        <v>760</v>
      </c>
      <c r="L1242" t="str">
        <f t="shared" si="38"/>
        <v>Aug</v>
      </c>
      <c r="M1242">
        <f t="shared" si="39"/>
        <v>8</v>
      </c>
    </row>
    <row r="1243" spans="1:13" x14ac:dyDescent="0.25">
      <c r="A1243" s="2" t="s">
        <v>1316</v>
      </c>
      <c r="B1243" s="3">
        <v>45894</v>
      </c>
      <c r="C1243" s="2" t="s">
        <v>97</v>
      </c>
      <c r="D1243" s="2" t="s">
        <v>98</v>
      </c>
      <c r="E1243" s="2" t="s">
        <v>99</v>
      </c>
      <c r="F1243" s="2" t="s">
        <v>14</v>
      </c>
      <c r="G1243" s="2" t="s">
        <v>37</v>
      </c>
      <c r="H1243" s="2">
        <v>1</v>
      </c>
      <c r="I1243" s="4">
        <v>182</v>
      </c>
      <c r="J1243" s="2" t="s">
        <v>16</v>
      </c>
      <c r="K1243">
        <f>H1243*I1243</f>
        <v>182</v>
      </c>
      <c r="L1243" t="str">
        <f t="shared" si="38"/>
        <v>Aug</v>
      </c>
      <c r="M1243">
        <f t="shared" si="39"/>
        <v>8</v>
      </c>
    </row>
    <row r="1244" spans="1:13" x14ac:dyDescent="0.25">
      <c r="A1244" s="2" t="s">
        <v>1317</v>
      </c>
      <c r="B1244" s="3">
        <v>45895</v>
      </c>
      <c r="C1244" s="2" t="s">
        <v>11</v>
      </c>
      <c r="D1244" s="2" t="s">
        <v>12</v>
      </c>
      <c r="E1244" s="2" t="s">
        <v>13</v>
      </c>
      <c r="F1244" s="2" t="s">
        <v>14</v>
      </c>
      <c r="G1244" s="2" t="s">
        <v>15</v>
      </c>
      <c r="H1244" s="2">
        <v>1</v>
      </c>
      <c r="I1244" s="4">
        <v>32</v>
      </c>
      <c r="J1244" s="2" t="s">
        <v>16</v>
      </c>
      <c r="K1244">
        <f>H1244*I1244</f>
        <v>32</v>
      </c>
      <c r="L1244" t="str">
        <f t="shared" si="38"/>
        <v>Aug</v>
      </c>
      <c r="M1244">
        <f t="shared" si="39"/>
        <v>8</v>
      </c>
    </row>
    <row r="1245" spans="1:13" x14ac:dyDescent="0.25">
      <c r="A1245" s="2" t="s">
        <v>1318</v>
      </c>
      <c r="B1245" s="3">
        <v>45895</v>
      </c>
      <c r="C1245" s="2" t="s">
        <v>86</v>
      </c>
      <c r="D1245" s="2" t="s">
        <v>48</v>
      </c>
      <c r="E1245" s="2" t="s">
        <v>49</v>
      </c>
      <c r="F1245" s="2" t="s">
        <v>14</v>
      </c>
      <c r="G1245" s="2" t="s">
        <v>87</v>
      </c>
      <c r="H1245" s="2">
        <v>2</v>
      </c>
      <c r="I1245" s="4">
        <v>125</v>
      </c>
      <c r="J1245" s="2" t="s">
        <v>38</v>
      </c>
      <c r="K1245">
        <f>H1245*I1245</f>
        <v>250</v>
      </c>
      <c r="L1245" t="str">
        <f t="shared" si="38"/>
        <v>Aug</v>
      </c>
      <c r="M1245">
        <f t="shared" si="39"/>
        <v>8</v>
      </c>
    </row>
    <row r="1246" spans="1:13" x14ac:dyDescent="0.25">
      <c r="A1246" s="2" t="s">
        <v>1319</v>
      </c>
      <c r="B1246" s="3">
        <v>45895</v>
      </c>
      <c r="C1246" s="2" t="s">
        <v>86</v>
      </c>
      <c r="D1246" s="2" t="s">
        <v>48</v>
      </c>
      <c r="E1246" s="2" t="s">
        <v>49</v>
      </c>
      <c r="F1246" s="2" t="s">
        <v>14</v>
      </c>
      <c r="G1246" s="2" t="s">
        <v>87</v>
      </c>
      <c r="H1246" s="2">
        <v>2</v>
      </c>
      <c r="I1246" s="4">
        <v>126.25</v>
      </c>
      <c r="J1246" s="2" t="s">
        <v>22</v>
      </c>
      <c r="K1246">
        <f>H1246*I1246</f>
        <v>252.5</v>
      </c>
      <c r="L1246" t="str">
        <f t="shared" si="38"/>
        <v>Aug</v>
      </c>
      <c r="M1246">
        <f t="shared" si="39"/>
        <v>8</v>
      </c>
    </row>
    <row r="1247" spans="1:13" x14ac:dyDescent="0.25">
      <c r="A1247" s="2" t="s">
        <v>1320</v>
      </c>
      <c r="B1247" s="3">
        <v>45895</v>
      </c>
      <c r="C1247" s="2" t="s">
        <v>119</v>
      </c>
      <c r="D1247" s="2" t="s">
        <v>120</v>
      </c>
      <c r="E1247" s="2" t="s">
        <v>76</v>
      </c>
      <c r="F1247" s="2" t="s">
        <v>14</v>
      </c>
      <c r="G1247" s="2" t="s">
        <v>121</v>
      </c>
      <c r="H1247" s="2">
        <v>6</v>
      </c>
      <c r="I1247" s="4">
        <v>190</v>
      </c>
      <c r="J1247" s="2" t="s">
        <v>38</v>
      </c>
      <c r="K1247">
        <f>H1247*I1247</f>
        <v>1140</v>
      </c>
      <c r="L1247" t="str">
        <f t="shared" si="38"/>
        <v>Aug</v>
      </c>
      <c r="M1247">
        <f t="shared" si="39"/>
        <v>8</v>
      </c>
    </row>
    <row r="1248" spans="1:13" x14ac:dyDescent="0.25">
      <c r="A1248" s="2" t="s">
        <v>1321</v>
      </c>
      <c r="B1248" s="3">
        <v>45895</v>
      </c>
      <c r="C1248" s="2" t="s">
        <v>101</v>
      </c>
      <c r="D1248" s="2" t="s">
        <v>102</v>
      </c>
      <c r="E1248" s="2" t="s">
        <v>36</v>
      </c>
      <c r="F1248" s="2" t="s">
        <v>14</v>
      </c>
      <c r="G1248" s="2" t="s">
        <v>103</v>
      </c>
      <c r="H1248" s="2">
        <v>6</v>
      </c>
      <c r="I1248" s="4">
        <v>92.92</v>
      </c>
      <c r="J1248" s="2" t="s">
        <v>31</v>
      </c>
      <c r="K1248">
        <f>H1248*I1248</f>
        <v>557.52</v>
      </c>
      <c r="L1248" t="str">
        <f t="shared" si="38"/>
        <v>Aug</v>
      </c>
      <c r="M1248">
        <f t="shared" si="39"/>
        <v>8</v>
      </c>
    </row>
    <row r="1249" spans="1:13" x14ac:dyDescent="0.25">
      <c r="A1249" s="2" t="s">
        <v>1322</v>
      </c>
      <c r="B1249" s="3">
        <v>45896</v>
      </c>
      <c r="C1249" s="2" t="s">
        <v>11</v>
      </c>
      <c r="D1249" s="2" t="s">
        <v>12</v>
      </c>
      <c r="E1249" s="2" t="s">
        <v>13</v>
      </c>
      <c r="F1249" s="2" t="s">
        <v>14</v>
      </c>
      <c r="G1249" s="2" t="s">
        <v>15</v>
      </c>
      <c r="H1249" s="2">
        <v>2</v>
      </c>
      <c r="I1249" s="4">
        <v>32.32</v>
      </c>
      <c r="J1249" s="2" t="s">
        <v>16</v>
      </c>
      <c r="K1249">
        <f>H1249*I1249</f>
        <v>64.64</v>
      </c>
      <c r="L1249" t="str">
        <f t="shared" si="38"/>
        <v>Aug</v>
      </c>
      <c r="M1249">
        <f t="shared" si="39"/>
        <v>8</v>
      </c>
    </row>
    <row r="1250" spans="1:13" x14ac:dyDescent="0.25">
      <c r="A1250" s="2" t="s">
        <v>1323</v>
      </c>
      <c r="B1250" s="3">
        <v>45896</v>
      </c>
      <c r="C1250" s="2" t="s">
        <v>11</v>
      </c>
      <c r="D1250" s="2" t="s">
        <v>12</v>
      </c>
      <c r="E1250" s="2" t="s">
        <v>13</v>
      </c>
      <c r="F1250" s="2" t="s">
        <v>14</v>
      </c>
      <c r="G1250" s="2" t="s">
        <v>15</v>
      </c>
      <c r="H1250" s="2">
        <v>2</v>
      </c>
      <c r="I1250" s="4">
        <v>32.32</v>
      </c>
      <c r="J1250" s="2" t="s">
        <v>16</v>
      </c>
      <c r="K1250">
        <f>H1250*I1250</f>
        <v>64.64</v>
      </c>
      <c r="L1250" t="str">
        <f t="shared" si="38"/>
        <v>Aug</v>
      </c>
      <c r="M1250">
        <f t="shared" si="39"/>
        <v>8</v>
      </c>
    </row>
    <row r="1251" spans="1:13" x14ac:dyDescent="0.25">
      <c r="A1251" s="2" t="s">
        <v>1324</v>
      </c>
      <c r="B1251" s="3">
        <v>45896</v>
      </c>
      <c r="C1251" s="2" t="s">
        <v>11</v>
      </c>
      <c r="D1251" s="2" t="s">
        <v>12</v>
      </c>
      <c r="E1251" s="2" t="s">
        <v>13</v>
      </c>
      <c r="F1251" s="2" t="s">
        <v>14</v>
      </c>
      <c r="G1251" s="2" t="s">
        <v>15</v>
      </c>
      <c r="H1251" s="2">
        <v>1</v>
      </c>
      <c r="I1251" s="4">
        <v>32.32</v>
      </c>
      <c r="J1251" s="2" t="s">
        <v>16</v>
      </c>
      <c r="K1251">
        <f>H1251*I1251</f>
        <v>32.32</v>
      </c>
      <c r="L1251" t="str">
        <f t="shared" si="38"/>
        <v>Aug</v>
      </c>
      <c r="M1251">
        <f t="shared" si="39"/>
        <v>8</v>
      </c>
    </row>
    <row r="1252" spans="1:13" x14ac:dyDescent="0.25">
      <c r="A1252" s="2" t="s">
        <v>1325</v>
      </c>
      <c r="B1252" s="3">
        <v>45896</v>
      </c>
      <c r="C1252" s="2" t="s">
        <v>11</v>
      </c>
      <c r="D1252" s="2" t="s">
        <v>12</v>
      </c>
      <c r="E1252" s="2" t="s">
        <v>13</v>
      </c>
      <c r="F1252" s="2" t="s">
        <v>14</v>
      </c>
      <c r="G1252" s="2" t="s">
        <v>15</v>
      </c>
      <c r="H1252" s="2">
        <v>5</v>
      </c>
      <c r="I1252" s="4">
        <v>32.32</v>
      </c>
      <c r="J1252" s="2" t="s">
        <v>16</v>
      </c>
      <c r="K1252">
        <f>H1252*I1252</f>
        <v>161.6</v>
      </c>
      <c r="L1252" t="str">
        <f t="shared" si="38"/>
        <v>Aug</v>
      </c>
      <c r="M1252">
        <f t="shared" si="39"/>
        <v>8</v>
      </c>
    </row>
    <row r="1253" spans="1:13" x14ac:dyDescent="0.25">
      <c r="A1253" s="2" t="s">
        <v>1326</v>
      </c>
      <c r="B1253" s="3">
        <v>45896</v>
      </c>
      <c r="C1253" s="2" t="s">
        <v>75</v>
      </c>
      <c r="D1253" s="2" t="s">
        <v>75</v>
      </c>
      <c r="E1253" s="2" t="s">
        <v>76</v>
      </c>
      <c r="F1253" s="2" t="s">
        <v>20</v>
      </c>
      <c r="G1253" s="2" t="s">
        <v>21</v>
      </c>
      <c r="H1253" s="2">
        <v>1</v>
      </c>
      <c r="I1253" s="4">
        <v>12.12</v>
      </c>
      <c r="J1253" s="2" t="s">
        <v>22</v>
      </c>
      <c r="K1253">
        <f>H1253*I1253</f>
        <v>12.12</v>
      </c>
      <c r="L1253" t="str">
        <f t="shared" si="38"/>
        <v>Aug</v>
      </c>
      <c r="M1253">
        <f t="shared" si="39"/>
        <v>8</v>
      </c>
    </row>
    <row r="1254" spans="1:13" x14ac:dyDescent="0.25">
      <c r="A1254" s="2" t="s">
        <v>1327</v>
      </c>
      <c r="B1254" s="3">
        <v>45896</v>
      </c>
      <c r="C1254" s="2" t="s">
        <v>119</v>
      </c>
      <c r="D1254" s="2" t="s">
        <v>120</v>
      </c>
      <c r="E1254" s="2" t="s">
        <v>76</v>
      </c>
      <c r="F1254" s="2" t="s">
        <v>14</v>
      </c>
      <c r="G1254" s="2" t="s">
        <v>121</v>
      </c>
      <c r="H1254" s="2">
        <v>1</v>
      </c>
      <c r="I1254" s="4">
        <v>191.9</v>
      </c>
      <c r="J1254" s="2" t="s">
        <v>16</v>
      </c>
      <c r="K1254">
        <f>H1254*I1254</f>
        <v>191.9</v>
      </c>
      <c r="L1254" t="str">
        <f t="shared" si="38"/>
        <v>Aug</v>
      </c>
      <c r="M1254">
        <f t="shared" si="39"/>
        <v>8</v>
      </c>
    </row>
    <row r="1255" spans="1:13" x14ac:dyDescent="0.25">
      <c r="A1255" s="2" t="s">
        <v>1328</v>
      </c>
      <c r="B1255" s="3">
        <v>45896</v>
      </c>
      <c r="C1255" s="2" t="s">
        <v>18</v>
      </c>
      <c r="D1255" s="2" t="s">
        <v>18</v>
      </c>
      <c r="E1255" s="2" t="s">
        <v>19</v>
      </c>
      <c r="F1255" s="2" t="s">
        <v>20</v>
      </c>
      <c r="G1255" s="2" t="s">
        <v>21</v>
      </c>
      <c r="H1255" s="2">
        <v>3</v>
      </c>
      <c r="I1255" s="4">
        <v>15.15</v>
      </c>
      <c r="J1255" s="2" t="s">
        <v>22</v>
      </c>
      <c r="K1255">
        <f>H1255*I1255</f>
        <v>45.45</v>
      </c>
      <c r="L1255" t="str">
        <f t="shared" si="38"/>
        <v>Aug</v>
      </c>
      <c r="M1255">
        <f t="shared" si="39"/>
        <v>8</v>
      </c>
    </row>
    <row r="1256" spans="1:13" x14ac:dyDescent="0.25">
      <c r="A1256" s="2" t="s">
        <v>1329</v>
      </c>
      <c r="B1256" s="3">
        <v>45896</v>
      </c>
      <c r="C1256" s="2" t="s">
        <v>18</v>
      </c>
      <c r="D1256" s="2" t="s">
        <v>18</v>
      </c>
      <c r="E1256" s="2" t="s">
        <v>19</v>
      </c>
      <c r="F1256" s="2" t="s">
        <v>20</v>
      </c>
      <c r="G1256" s="2" t="s">
        <v>21</v>
      </c>
      <c r="H1256" s="2">
        <v>6</v>
      </c>
      <c r="I1256" s="4">
        <v>15.15</v>
      </c>
      <c r="J1256" s="2" t="s">
        <v>38</v>
      </c>
      <c r="K1256">
        <f>H1256*I1256</f>
        <v>90.9</v>
      </c>
      <c r="L1256" t="str">
        <f t="shared" si="38"/>
        <v>Aug</v>
      </c>
      <c r="M1256">
        <f t="shared" si="39"/>
        <v>8</v>
      </c>
    </row>
    <row r="1257" spans="1:13" x14ac:dyDescent="0.25">
      <c r="A1257" s="2" t="s">
        <v>1330</v>
      </c>
      <c r="B1257" s="3">
        <v>45896</v>
      </c>
      <c r="C1257" s="2" t="s">
        <v>24</v>
      </c>
      <c r="D1257" s="2" t="s">
        <v>25</v>
      </c>
      <c r="E1257" s="2" t="s">
        <v>26</v>
      </c>
      <c r="F1257" s="2" t="s">
        <v>14</v>
      </c>
      <c r="G1257" s="2" t="s">
        <v>27</v>
      </c>
      <c r="H1257" s="2">
        <v>1</v>
      </c>
      <c r="I1257" s="4">
        <v>58.58</v>
      </c>
      <c r="J1257" s="2" t="s">
        <v>16</v>
      </c>
      <c r="K1257">
        <f>H1257*I1257</f>
        <v>58.58</v>
      </c>
      <c r="L1257" t="str">
        <f t="shared" si="38"/>
        <v>Aug</v>
      </c>
      <c r="M1257">
        <f t="shared" si="39"/>
        <v>8</v>
      </c>
    </row>
    <row r="1258" spans="1:13" x14ac:dyDescent="0.25">
      <c r="A1258" s="2" t="s">
        <v>1331</v>
      </c>
      <c r="B1258" s="3">
        <v>45896</v>
      </c>
      <c r="C1258" s="2" t="s">
        <v>61</v>
      </c>
      <c r="D1258" s="2" t="s">
        <v>61</v>
      </c>
      <c r="E1258" s="2" t="s">
        <v>62</v>
      </c>
      <c r="F1258" s="2" t="s">
        <v>20</v>
      </c>
      <c r="G1258" s="2" t="s">
        <v>21</v>
      </c>
      <c r="H1258" s="2">
        <v>1</v>
      </c>
      <c r="I1258" s="4">
        <v>8.08</v>
      </c>
      <c r="J1258" s="2" t="s">
        <v>22</v>
      </c>
      <c r="K1258">
        <f>H1258*I1258</f>
        <v>8.08</v>
      </c>
      <c r="L1258" t="str">
        <f t="shared" si="38"/>
        <v>Aug</v>
      </c>
      <c r="M1258">
        <f t="shared" si="39"/>
        <v>8</v>
      </c>
    </row>
    <row r="1259" spans="1:13" x14ac:dyDescent="0.25">
      <c r="A1259" s="2" t="s">
        <v>1332</v>
      </c>
      <c r="B1259" s="3">
        <v>45897</v>
      </c>
      <c r="C1259" s="2" t="s">
        <v>48</v>
      </c>
      <c r="D1259" s="2" t="s">
        <v>48</v>
      </c>
      <c r="E1259" s="2" t="s">
        <v>49</v>
      </c>
      <c r="F1259" s="2" t="s">
        <v>20</v>
      </c>
      <c r="G1259" s="2" t="s">
        <v>21</v>
      </c>
      <c r="H1259" s="2">
        <v>5</v>
      </c>
      <c r="I1259" s="4">
        <v>55</v>
      </c>
      <c r="J1259" s="2" t="s">
        <v>22</v>
      </c>
      <c r="K1259">
        <f>H1259*I1259</f>
        <v>275</v>
      </c>
      <c r="L1259" t="str">
        <f t="shared" si="38"/>
        <v>Aug</v>
      </c>
      <c r="M1259">
        <f t="shared" si="39"/>
        <v>8</v>
      </c>
    </row>
    <row r="1260" spans="1:13" x14ac:dyDescent="0.25">
      <c r="A1260" s="2" t="s">
        <v>1333</v>
      </c>
      <c r="B1260" s="3">
        <v>45897</v>
      </c>
      <c r="C1260" s="2" t="s">
        <v>18</v>
      </c>
      <c r="D1260" s="2" t="s">
        <v>18</v>
      </c>
      <c r="E1260" s="2" t="s">
        <v>19</v>
      </c>
      <c r="F1260" s="2" t="s">
        <v>20</v>
      </c>
      <c r="G1260" s="2" t="s">
        <v>21</v>
      </c>
      <c r="H1260" s="2">
        <v>2</v>
      </c>
      <c r="I1260" s="4">
        <v>15</v>
      </c>
      <c r="J1260" s="2" t="s">
        <v>16</v>
      </c>
      <c r="K1260">
        <f>H1260*I1260</f>
        <v>30</v>
      </c>
      <c r="L1260" t="str">
        <f t="shared" si="38"/>
        <v>Aug</v>
      </c>
      <c r="M1260">
        <f t="shared" si="39"/>
        <v>8</v>
      </c>
    </row>
    <row r="1261" spans="1:13" x14ac:dyDescent="0.25">
      <c r="A1261" s="2" t="s">
        <v>1334</v>
      </c>
      <c r="B1261" s="3">
        <v>45897</v>
      </c>
      <c r="C1261" s="2" t="s">
        <v>109</v>
      </c>
      <c r="D1261" s="2" t="s">
        <v>109</v>
      </c>
      <c r="E1261" s="2" t="s">
        <v>13</v>
      </c>
      <c r="F1261" s="2" t="s">
        <v>20</v>
      </c>
      <c r="G1261" s="2" t="s">
        <v>21</v>
      </c>
      <c r="H1261" s="2">
        <v>1</v>
      </c>
      <c r="I1261" s="4">
        <v>20.2</v>
      </c>
      <c r="J1261" s="2" t="s">
        <v>16</v>
      </c>
      <c r="K1261">
        <f>H1261*I1261</f>
        <v>20.2</v>
      </c>
      <c r="L1261" t="str">
        <f t="shared" si="38"/>
        <v>Aug</v>
      </c>
      <c r="M1261">
        <f t="shared" si="39"/>
        <v>8</v>
      </c>
    </row>
    <row r="1262" spans="1:13" x14ac:dyDescent="0.25">
      <c r="A1262" s="2" t="s">
        <v>1335</v>
      </c>
      <c r="B1262" s="3">
        <v>45898</v>
      </c>
      <c r="C1262" s="2" t="s">
        <v>12</v>
      </c>
      <c r="D1262" s="2" t="s">
        <v>12</v>
      </c>
      <c r="E1262" s="2" t="s">
        <v>13</v>
      </c>
      <c r="F1262" s="2" t="s">
        <v>20</v>
      </c>
      <c r="G1262" s="2" t="s">
        <v>21</v>
      </c>
      <c r="H1262" s="2">
        <v>2</v>
      </c>
      <c r="I1262" s="4">
        <v>14.14</v>
      </c>
      <c r="J1262" s="2" t="s">
        <v>31</v>
      </c>
      <c r="K1262">
        <f>H1262*I1262</f>
        <v>28.28</v>
      </c>
      <c r="L1262" t="str">
        <f t="shared" si="38"/>
        <v>Aug</v>
      </c>
      <c r="M1262">
        <f t="shared" si="39"/>
        <v>8</v>
      </c>
    </row>
    <row r="1263" spans="1:13" x14ac:dyDescent="0.25">
      <c r="A1263" s="2" t="s">
        <v>1336</v>
      </c>
      <c r="B1263" s="3">
        <v>45898</v>
      </c>
      <c r="C1263" s="2" t="s">
        <v>74</v>
      </c>
      <c r="D1263" s="2" t="s">
        <v>75</v>
      </c>
      <c r="E1263" s="2" t="s">
        <v>76</v>
      </c>
      <c r="F1263" s="2" t="s">
        <v>14</v>
      </c>
      <c r="G1263" s="2" t="s">
        <v>77</v>
      </c>
      <c r="H1263" s="2">
        <v>3</v>
      </c>
      <c r="I1263" s="4">
        <v>32</v>
      </c>
      <c r="J1263" s="2" t="s">
        <v>16</v>
      </c>
      <c r="K1263">
        <f>H1263*I1263</f>
        <v>96</v>
      </c>
      <c r="L1263" t="str">
        <f t="shared" si="38"/>
        <v>Aug</v>
      </c>
      <c r="M1263">
        <f t="shared" si="39"/>
        <v>8</v>
      </c>
    </row>
    <row r="1264" spans="1:13" x14ac:dyDescent="0.25">
      <c r="A1264" s="2" t="s">
        <v>1337</v>
      </c>
      <c r="B1264" s="3">
        <v>45898</v>
      </c>
      <c r="C1264" s="2" t="s">
        <v>75</v>
      </c>
      <c r="D1264" s="2" t="s">
        <v>75</v>
      </c>
      <c r="E1264" s="2" t="s">
        <v>76</v>
      </c>
      <c r="F1264" s="2" t="s">
        <v>20</v>
      </c>
      <c r="G1264" s="2" t="s">
        <v>21</v>
      </c>
      <c r="H1264" s="2">
        <v>6</v>
      </c>
      <c r="I1264" s="4">
        <v>12.12</v>
      </c>
      <c r="J1264" s="2" t="s">
        <v>31</v>
      </c>
      <c r="K1264">
        <f>H1264*I1264</f>
        <v>72.72</v>
      </c>
      <c r="L1264" t="str">
        <f t="shared" si="38"/>
        <v>Aug</v>
      </c>
      <c r="M1264">
        <f t="shared" si="39"/>
        <v>8</v>
      </c>
    </row>
    <row r="1265" spans="1:13" x14ac:dyDescent="0.25">
      <c r="A1265" s="2" t="s">
        <v>1338</v>
      </c>
      <c r="B1265" s="3">
        <v>45898</v>
      </c>
      <c r="C1265" s="2" t="s">
        <v>101</v>
      </c>
      <c r="D1265" s="2" t="s">
        <v>102</v>
      </c>
      <c r="E1265" s="2" t="s">
        <v>36</v>
      </c>
      <c r="F1265" s="2" t="s">
        <v>14</v>
      </c>
      <c r="G1265" s="2" t="s">
        <v>103</v>
      </c>
      <c r="H1265" s="2">
        <v>12</v>
      </c>
      <c r="I1265" s="4">
        <v>92.92</v>
      </c>
      <c r="J1265" s="2" t="s">
        <v>31</v>
      </c>
      <c r="K1265">
        <f>H1265*I1265</f>
        <v>1115.04</v>
      </c>
      <c r="L1265" t="str">
        <f t="shared" si="38"/>
        <v>Aug</v>
      </c>
      <c r="M1265">
        <f t="shared" si="39"/>
        <v>8</v>
      </c>
    </row>
    <row r="1266" spans="1:13" x14ac:dyDescent="0.25">
      <c r="A1266" s="2" t="s">
        <v>1339</v>
      </c>
      <c r="B1266" s="3">
        <v>45898</v>
      </c>
      <c r="C1266" s="2" t="s">
        <v>102</v>
      </c>
      <c r="D1266" s="2" t="s">
        <v>102</v>
      </c>
      <c r="E1266" s="2" t="s">
        <v>36</v>
      </c>
      <c r="F1266" s="2" t="s">
        <v>20</v>
      </c>
      <c r="G1266" s="2" t="s">
        <v>21</v>
      </c>
      <c r="H1266" s="2">
        <v>12</v>
      </c>
      <c r="I1266" s="4">
        <v>35</v>
      </c>
      <c r="J1266" s="2" t="s">
        <v>16</v>
      </c>
      <c r="K1266">
        <f>H1266*I1266</f>
        <v>420</v>
      </c>
      <c r="L1266" t="str">
        <f t="shared" si="38"/>
        <v>Aug</v>
      </c>
      <c r="M1266">
        <f t="shared" si="39"/>
        <v>8</v>
      </c>
    </row>
    <row r="1267" spans="1:13" x14ac:dyDescent="0.25">
      <c r="A1267" s="2" t="s">
        <v>1340</v>
      </c>
      <c r="B1267" s="3">
        <v>45898</v>
      </c>
      <c r="C1267" s="2" t="s">
        <v>18</v>
      </c>
      <c r="D1267" s="2" t="s">
        <v>18</v>
      </c>
      <c r="E1267" s="2" t="s">
        <v>19</v>
      </c>
      <c r="F1267" s="2" t="s">
        <v>20</v>
      </c>
      <c r="G1267" s="2" t="s">
        <v>21</v>
      </c>
      <c r="H1267" s="2">
        <v>2</v>
      </c>
      <c r="I1267" s="4">
        <v>15.15</v>
      </c>
      <c r="J1267" s="2" t="s">
        <v>31</v>
      </c>
      <c r="K1267">
        <f>H1267*I1267</f>
        <v>30.3</v>
      </c>
      <c r="L1267" t="str">
        <f t="shared" si="38"/>
        <v>Aug</v>
      </c>
      <c r="M1267">
        <f t="shared" si="39"/>
        <v>8</v>
      </c>
    </row>
    <row r="1268" spans="1:13" x14ac:dyDescent="0.25">
      <c r="A1268" s="2" t="s">
        <v>1341</v>
      </c>
      <c r="B1268" s="3">
        <v>45898</v>
      </c>
      <c r="C1268" s="2" t="s">
        <v>80</v>
      </c>
      <c r="D1268" s="2" t="s">
        <v>80</v>
      </c>
      <c r="E1268" s="2" t="s">
        <v>26</v>
      </c>
      <c r="F1268" s="2" t="s">
        <v>20</v>
      </c>
      <c r="G1268" s="2" t="s">
        <v>21</v>
      </c>
      <c r="H1268" s="2">
        <v>1</v>
      </c>
      <c r="I1268" s="4">
        <v>50.5</v>
      </c>
      <c r="J1268" s="2" t="s">
        <v>16</v>
      </c>
      <c r="K1268">
        <f>H1268*I1268</f>
        <v>50.5</v>
      </c>
      <c r="L1268" t="str">
        <f t="shared" si="38"/>
        <v>Aug</v>
      </c>
      <c r="M1268">
        <f t="shared" si="39"/>
        <v>8</v>
      </c>
    </row>
    <row r="1269" spans="1:13" x14ac:dyDescent="0.25">
      <c r="A1269" s="2" t="s">
        <v>1342</v>
      </c>
      <c r="B1269" s="3">
        <v>45898</v>
      </c>
      <c r="C1269" s="2" t="s">
        <v>194</v>
      </c>
      <c r="D1269" s="2" t="s">
        <v>98</v>
      </c>
      <c r="E1269" s="2" t="s">
        <v>99</v>
      </c>
      <c r="F1269" s="2" t="s">
        <v>20</v>
      </c>
      <c r="G1269" s="2" t="s">
        <v>21</v>
      </c>
      <c r="H1269" s="2">
        <v>4</v>
      </c>
      <c r="I1269" s="4">
        <v>70.7</v>
      </c>
      <c r="J1269" s="2" t="s">
        <v>16</v>
      </c>
      <c r="K1269">
        <f>H1269*I1269</f>
        <v>282.8</v>
      </c>
      <c r="L1269" t="str">
        <f t="shared" si="38"/>
        <v>Aug</v>
      </c>
      <c r="M1269">
        <f t="shared" si="39"/>
        <v>8</v>
      </c>
    </row>
    <row r="1270" spans="1:13" x14ac:dyDescent="0.25">
      <c r="A1270" s="2" t="s">
        <v>1343</v>
      </c>
      <c r="B1270" s="3">
        <v>45899</v>
      </c>
      <c r="C1270" s="2" t="s">
        <v>11</v>
      </c>
      <c r="D1270" s="2" t="s">
        <v>12</v>
      </c>
      <c r="E1270" s="2" t="s">
        <v>13</v>
      </c>
      <c r="F1270" s="2" t="s">
        <v>14</v>
      </c>
      <c r="G1270" s="2" t="s">
        <v>15</v>
      </c>
      <c r="H1270" s="2">
        <v>4</v>
      </c>
      <c r="I1270" s="4">
        <v>32</v>
      </c>
      <c r="J1270" s="2" t="s">
        <v>16</v>
      </c>
      <c r="K1270">
        <f>H1270*I1270</f>
        <v>128</v>
      </c>
      <c r="L1270" t="str">
        <f t="shared" si="38"/>
        <v>Aug</v>
      </c>
      <c r="M1270">
        <f t="shared" si="39"/>
        <v>8</v>
      </c>
    </row>
    <row r="1271" spans="1:13" x14ac:dyDescent="0.25">
      <c r="A1271" s="2" t="s">
        <v>1344</v>
      </c>
      <c r="B1271" s="3">
        <v>45899</v>
      </c>
      <c r="C1271" s="2" t="s">
        <v>12</v>
      </c>
      <c r="D1271" s="2" t="s">
        <v>12</v>
      </c>
      <c r="E1271" s="2" t="s">
        <v>13</v>
      </c>
      <c r="F1271" s="2" t="s">
        <v>20</v>
      </c>
      <c r="G1271" s="2" t="s">
        <v>21</v>
      </c>
      <c r="H1271" s="2">
        <v>1</v>
      </c>
      <c r="I1271" s="4">
        <v>14.14</v>
      </c>
      <c r="J1271" s="2" t="s">
        <v>22</v>
      </c>
      <c r="K1271">
        <f>H1271*I1271</f>
        <v>14.14</v>
      </c>
      <c r="L1271" t="str">
        <f t="shared" si="38"/>
        <v>Aug</v>
      </c>
      <c r="M1271">
        <f t="shared" si="39"/>
        <v>8</v>
      </c>
    </row>
    <row r="1272" spans="1:13" x14ac:dyDescent="0.25">
      <c r="A1272" s="2" t="s">
        <v>1345</v>
      </c>
      <c r="B1272" s="3">
        <v>45899</v>
      </c>
      <c r="C1272" s="2" t="s">
        <v>67</v>
      </c>
      <c r="D1272" s="2" t="s">
        <v>68</v>
      </c>
      <c r="E1272" s="2" t="s">
        <v>49</v>
      </c>
      <c r="F1272" s="2" t="s">
        <v>14</v>
      </c>
      <c r="G1272" s="2" t="s">
        <v>69</v>
      </c>
      <c r="H1272" s="2">
        <v>3</v>
      </c>
      <c r="I1272" s="4">
        <v>207.05</v>
      </c>
      <c r="J1272" s="2" t="s">
        <v>31</v>
      </c>
      <c r="K1272">
        <f>H1272*I1272</f>
        <v>621.15000000000009</v>
      </c>
      <c r="L1272" t="str">
        <f t="shared" si="38"/>
        <v>Aug</v>
      </c>
      <c r="M1272">
        <f t="shared" si="39"/>
        <v>8</v>
      </c>
    </row>
    <row r="1273" spans="1:13" x14ac:dyDescent="0.25">
      <c r="A1273" s="2" t="s">
        <v>1346</v>
      </c>
      <c r="B1273" s="3">
        <v>45899</v>
      </c>
      <c r="C1273" s="2" t="s">
        <v>74</v>
      </c>
      <c r="D1273" s="2" t="s">
        <v>75</v>
      </c>
      <c r="E1273" s="2" t="s">
        <v>76</v>
      </c>
      <c r="F1273" s="2" t="s">
        <v>14</v>
      </c>
      <c r="G1273" s="2" t="s">
        <v>77</v>
      </c>
      <c r="H1273" s="2">
        <v>3</v>
      </c>
      <c r="I1273" s="4">
        <v>32</v>
      </c>
      <c r="J1273" s="2" t="s">
        <v>22</v>
      </c>
      <c r="K1273">
        <f>H1273*I1273</f>
        <v>96</v>
      </c>
      <c r="L1273" t="str">
        <f t="shared" si="38"/>
        <v>Aug</v>
      </c>
      <c r="M1273">
        <f t="shared" si="39"/>
        <v>8</v>
      </c>
    </row>
    <row r="1274" spans="1:13" x14ac:dyDescent="0.25">
      <c r="A1274" s="2" t="s">
        <v>1347</v>
      </c>
      <c r="B1274" s="3">
        <v>45899</v>
      </c>
      <c r="C1274" s="2" t="s">
        <v>74</v>
      </c>
      <c r="D1274" s="2" t="s">
        <v>75</v>
      </c>
      <c r="E1274" s="2" t="s">
        <v>76</v>
      </c>
      <c r="F1274" s="2" t="s">
        <v>14</v>
      </c>
      <c r="G1274" s="2" t="s">
        <v>77</v>
      </c>
      <c r="H1274" s="2">
        <v>3</v>
      </c>
      <c r="I1274" s="4">
        <v>32.32</v>
      </c>
      <c r="J1274" s="2" t="s">
        <v>38</v>
      </c>
      <c r="K1274">
        <f>H1274*I1274</f>
        <v>96.960000000000008</v>
      </c>
      <c r="L1274" t="str">
        <f t="shared" si="38"/>
        <v>Aug</v>
      </c>
      <c r="M1274">
        <f t="shared" si="39"/>
        <v>8</v>
      </c>
    </row>
    <row r="1275" spans="1:13" x14ac:dyDescent="0.25">
      <c r="A1275" s="2" t="s">
        <v>1348</v>
      </c>
      <c r="B1275" s="3">
        <v>45899</v>
      </c>
      <c r="C1275" s="2" t="s">
        <v>42</v>
      </c>
      <c r="D1275" s="2" t="s">
        <v>43</v>
      </c>
      <c r="E1275" s="2" t="s">
        <v>44</v>
      </c>
      <c r="F1275" s="2" t="s">
        <v>14</v>
      </c>
      <c r="G1275" s="2" t="s">
        <v>45</v>
      </c>
      <c r="H1275" s="2">
        <v>4</v>
      </c>
      <c r="I1275" s="4">
        <v>46.46</v>
      </c>
      <c r="J1275" s="2" t="s">
        <v>22</v>
      </c>
      <c r="K1275">
        <f>H1275*I1275</f>
        <v>185.84</v>
      </c>
      <c r="L1275" t="str">
        <f t="shared" si="38"/>
        <v>Aug</v>
      </c>
      <c r="M1275">
        <f t="shared" si="39"/>
        <v>8</v>
      </c>
    </row>
    <row r="1276" spans="1:13" x14ac:dyDescent="0.25">
      <c r="A1276" s="2" t="s">
        <v>1349</v>
      </c>
      <c r="B1276" s="3">
        <v>45900</v>
      </c>
      <c r="C1276" s="2" t="s">
        <v>11</v>
      </c>
      <c r="D1276" s="2" t="s">
        <v>12</v>
      </c>
      <c r="E1276" s="2" t="s">
        <v>13</v>
      </c>
      <c r="F1276" s="2" t="s">
        <v>14</v>
      </c>
      <c r="G1276" s="2" t="s">
        <v>15</v>
      </c>
      <c r="H1276" s="2">
        <v>3</v>
      </c>
      <c r="I1276" s="4">
        <v>32.32</v>
      </c>
      <c r="J1276" s="2" t="s">
        <v>16</v>
      </c>
      <c r="K1276">
        <f>H1276*I1276</f>
        <v>96.960000000000008</v>
      </c>
      <c r="L1276" t="str">
        <f t="shared" si="38"/>
        <v>Aug</v>
      </c>
      <c r="M1276">
        <f t="shared" si="39"/>
        <v>8</v>
      </c>
    </row>
    <row r="1277" spans="1:13" x14ac:dyDescent="0.25">
      <c r="A1277" s="2" t="s">
        <v>1350</v>
      </c>
      <c r="B1277" s="3">
        <v>45900</v>
      </c>
      <c r="C1277" s="2" t="s">
        <v>12</v>
      </c>
      <c r="D1277" s="2" t="s">
        <v>12</v>
      </c>
      <c r="E1277" s="2" t="s">
        <v>13</v>
      </c>
      <c r="F1277" s="2" t="s">
        <v>20</v>
      </c>
      <c r="G1277" s="2" t="s">
        <v>21</v>
      </c>
      <c r="H1277" s="2">
        <v>1</v>
      </c>
      <c r="I1277" s="4">
        <v>14.14</v>
      </c>
      <c r="J1277" s="2" t="s">
        <v>38</v>
      </c>
      <c r="K1277">
        <f>H1277*I1277</f>
        <v>14.14</v>
      </c>
      <c r="L1277" t="str">
        <f t="shared" si="38"/>
        <v>Aug</v>
      </c>
      <c r="M1277">
        <f t="shared" si="39"/>
        <v>8</v>
      </c>
    </row>
    <row r="1278" spans="1:13" x14ac:dyDescent="0.25">
      <c r="A1278" s="2" t="s">
        <v>1351</v>
      </c>
      <c r="B1278" s="3">
        <v>45900</v>
      </c>
      <c r="C1278" s="2" t="s">
        <v>101</v>
      </c>
      <c r="D1278" s="2" t="s">
        <v>102</v>
      </c>
      <c r="E1278" s="2" t="s">
        <v>36</v>
      </c>
      <c r="F1278" s="2" t="s">
        <v>14</v>
      </c>
      <c r="G1278" s="2" t="s">
        <v>103</v>
      </c>
      <c r="H1278" s="2">
        <v>6</v>
      </c>
      <c r="I1278" s="4">
        <v>92.92</v>
      </c>
      <c r="J1278" s="2" t="s">
        <v>22</v>
      </c>
      <c r="K1278">
        <f>H1278*I1278</f>
        <v>557.52</v>
      </c>
      <c r="L1278" t="str">
        <f t="shared" si="38"/>
        <v>Aug</v>
      </c>
      <c r="M1278">
        <f t="shared" si="39"/>
        <v>8</v>
      </c>
    </row>
    <row r="1279" spans="1:13" x14ac:dyDescent="0.25">
      <c r="A1279" s="2" t="s">
        <v>1352</v>
      </c>
      <c r="B1279" s="3">
        <v>45900</v>
      </c>
      <c r="C1279" s="2" t="s">
        <v>102</v>
      </c>
      <c r="D1279" s="2" t="s">
        <v>102</v>
      </c>
      <c r="E1279" s="2" t="s">
        <v>36</v>
      </c>
      <c r="F1279" s="2" t="s">
        <v>20</v>
      </c>
      <c r="G1279" s="2" t="s">
        <v>21</v>
      </c>
      <c r="H1279" s="2">
        <v>1</v>
      </c>
      <c r="I1279" s="4">
        <v>35</v>
      </c>
      <c r="J1279" s="2" t="s">
        <v>22</v>
      </c>
      <c r="K1279">
        <f>H1279*I1279</f>
        <v>35</v>
      </c>
      <c r="L1279" t="str">
        <f t="shared" si="38"/>
        <v>Aug</v>
      </c>
      <c r="M1279">
        <f t="shared" si="39"/>
        <v>8</v>
      </c>
    </row>
    <row r="1280" spans="1:13" x14ac:dyDescent="0.25">
      <c r="A1280" s="2" t="s">
        <v>1353</v>
      </c>
      <c r="B1280" s="3">
        <v>45900</v>
      </c>
      <c r="C1280" s="2" t="s">
        <v>35</v>
      </c>
      <c r="D1280" s="2" t="s">
        <v>35</v>
      </c>
      <c r="E1280" s="2" t="s">
        <v>36</v>
      </c>
      <c r="F1280" s="2" t="s">
        <v>20</v>
      </c>
      <c r="G1280" s="2" t="s">
        <v>21</v>
      </c>
      <c r="H1280" s="2">
        <v>3</v>
      </c>
      <c r="I1280" s="4">
        <v>58</v>
      </c>
      <c r="J1280" s="2" t="s">
        <v>22</v>
      </c>
      <c r="K1280">
        <f>H1280*I1280</f>
        <v>174</v>
      </c>
      <c r="L1280" t="str">
        <f t="shared" si="38"/>
        <v>Aug</v>
      </c>
      <c r="M1280">
        <f t="shared" si="39"/>
        <v>8</v>
      </c>
    </row>
    <row r="1281" spans="1:13" x14ac:dyDescent="0.25">
      <c r="A1281" s="2" t="s">
        <v>1354</v>
      </c>
      <c r="B1281" s="3">
        <v>45900</v>
      </c>
      <c r="C1281" s="2" t="s">
        <v>124</v>
      </c>
      <c r="D1281" s="2" t="s">
        <v>18</v>
      </c>
      <c r="E1281" s="2" t="s">
        <v>19</v>
      </c>
      <c r="F1281" s="2" t="s">
        <v>14</v>
      </c>
      <c r="G1281" s="2" t="s">
        <v>125</v>
      </c>
      <c r="H1281" s="2">
        <v>3</v>
      </c>
      <c r="I1281" s="4">
        <v>45</v>
      </c>
      <c r="J1281" s="2" t="s">
        <v>16</v>
      </c>
      <c r="K1281">
        <f>H1281*I1281</f>
        <v>135</v>
      </c>
      <c r="L1281" t="str">
        <f t="shared" si="38"/>
        <v>Aug</v>
      </c>
      <c r="M1281">
        <f t="shared" si="39"/>
        <v>8</v>
      </c>
    </row>
    <row r="1282" spans="1:13" x14ac:dyDescent="0.25">
      <c r="A1282" s="2" t="s">
        <v>1355</v>
      </c>
      <c r="B1282" s="3">
        <v>45900</v>
      </c>
      <c r="C1282" s="2" t="s">
        <v>79</v>
      </c>
      <c r="D1282" s="2" t="s">
        <v>80</v>
      </c>
      <c r="E1282" s="2" t="s">
        <v>26</v>
      </c>
      <c r="F1282" s="2" t="s">
        <v>14</v>
      </c>
      <c r="G1282" s="2" t="s">
        <v>81</v>
      </c>
      <c r="H1282" s="2">
        <v>2</v>
      </c>
      <c r="I1282" s="4">
        <v>153.52000000000001</v>
      </c>
      <c r="J1282" s="2" t="s">
        <v>16</v>
      </c>
      <c r="K1282">
        <f>H1282*I1282</f>
        <v>307.04000000000002</v>
      </c>
      <c r="L1282" t="str">
        <f t="shared" si="38"/>
        <v>Aug</v>
      </c>
      <c r="M1282">
        <f t="shared" si="39"/>
        <v>8</v>
      </c>
    </row>
    <row r="1283" spans="1:13" x14ac:dyDescent="0.25">
      <c r="A1283" s="2" t="s">
        <v>1356</v>
      </c>
      <c r="B1283" s="3">
        <v>45900</v>
      </c>
      <c r="C1283" s="2" t="s">
        <v>52</v>
      </c>
      <c r="D1283" s="2" t="s">
        <v>30</v>
      </c>
      <c r="E1283" s="2" t="s">
        <v>13</v>
      </c>
      <c r="F1283" s="2" t="s">
        <v>14</v>
      </c>
      <c r="G1283" s="2" t="s">
        <v>53</v>
      </c>
      <c r="H1283" s="2">
        <v>5</v>
      </c>
      <c r="I1283" s="4">
        <v>42.42</v>
      </c>
      <c r="J1283" s="2" t="s">
        <v>16</v>
      </c>
      <c r="K1283">
        <f>H1283*I1283</f>
        <v>212.10000000000002</v>
      </c>
      <c r="L1283" t="str">
        <f t="shared" ref="L1283:L1346" si="40">TEXT(B1283,"mmm")</f>
        <v>Aug</v>
      </c>
      <c r="M1283">
        <f t="shared" ref="M1283:M1346" si="41">MONTH(B1283)</f>
        <v>8</v>
      </c>
    </row>
    <row r="1284" spans="1:13" x14ac:dyDescent="0.25">
      <c r="A1284" s="2" t="s">
        <v>1357</v>
      </c>
      <c r="B1284" s="3">
        <v>45900</v>
      </c>
      <c r="C1284" s="2" t="s">
        <v>42</v>
      </c>
      <c r="D1284" s="2" t="s">
        <v>43</v>
      </c>
      <c r="E1284" s="2" t="s">
        <v>44</v>
      </c>
      <c r="F1284" s="2" t="s">
        <v>14</v>
      </c>
      <c r="G1284" s="2" t="s">
        <v>45</v>
      </c>
      <c r="H1284" s="2">
        <v>1</v>
      </c>
      <c r="I1284" s="4">
        <v>46</v>
      </c>
      <c r="J1284" s="2" t="s">
        <v>16</v>
      </c>
      <c r="K1284">
        <f>H1284*I1284</f>
        <v>46</v>
      </c>
      <c r="L1284" t="str">
        <f t="shared" si="40"/>
        <v>Aug</v>
      </c>
      <c r="M1284">
        <f t="shared" si="41"/>
        <v>8</v>
      </c>
    </row>
    <row r="1285" spans="1:13" x14ac:dyDescent="0.25">
      <c r="A1285" s="2" t="s">
        <v>1358</v>
      </c>
      <c r="B1285" s="3">
        <v>45902</v>
      </c>
      <c r="C1285" s="2" t="s">
        <v>86</v>
      </c>
      <c r="D1285" s="2" t="s">
        <v>48</v>
      </c>
      <c r="E1285" s="2" t="s">
        <v>49</v>
      </c>
      <c r="F1285" s="2" t="s">
        <v>14</v>
      </c>
      <c r="G1285" s="2" t="s">
        <v>87</v>
      </c>
      <c r="H1285" s="2">
        <v>3</v>
      </c>
      <c r="I1285" s="4">
        <v>126.25</v>
      </c>
      <c r="J1285" s="2" t="s">
        <v>22</v>
      </c>
      <c r="K1285">
        <f>H1285*I1285</f>
        <v>378.75</v>
      </c>
      <c r="L1285" t="str">
        <f t="shared" si="40"/>
        <v>Sep</v>
      </c>
      <c r="M1285">
        <f t="shared" si="41"/>
        <v>9</v>
      </c>
    </row>
    <row r="1286" spans="1:13" x14ac:dyDescent="0.25">
      <c r="A1286" s="2" t="s">
        <v>1359</v>
      </c>
      <c r="B1286" s="3">
        <v>45902</v>
      </c>
      <c r="C1286" s="2" t="s">
        <v>18</v>
      </c>
      <c r="D1286" s="2" t="s">
        <v>18</v>
      </c>
      <c r="E1286" s="2" t="s">
        <v>19</v>
      </c>
      <c r="F1286" s="2" t="s">
        <v>20</v>
      </c>
      <c r="G1286" s="2" t="s">
        <v>21</v>
      </c>
      <c r="H1286" s="2">
        <v>3</v>
      </c>
      <c r="I1286" s="4">
        <v>15</v>
      </c>
      <c r="J1286" s="2" t="s">
        <v>38</v>
      </c>
      <c r="K1286">
        <f>H1286*I1286</f>
        <v>45</v>
      </c>
      <c r="L1286" t="str">
        <f t="shared" si="40"/>
        <v>Sep</v>
      </c>
      <c r="M1286">
        <f t="shared" si="41"/>
        <v>9</v>
      </c>
    </row>
    <row r="1287" spans="1:13" x14ac:dyDescent="0.25">
      <c r="A1287" s="2" t="s">
        <v>1360</v>
      </c>
      <c r="B1287" s="3">
        <v>45902</v>
      </c>
      <c r="C1287" s="2" t="s">
        <v>79</v>
      </c>
      <c r="D1287" s="2" t="s">
        <v>80</v>
      </c>
      <c r="E1287" s="2" t="s">
        <v>26</v>
      </c>
      <c r="F1287" s="2" t="s">
        <v>14</v>
      </c>
      <c r="G1287" s="2" t="s">
        <v>81</v>
      </c>
      <c r="H1287" s="2">
        <v>3</v>
      </c>
      <c r="I1287" s="4">
        <v>153.52000000000001</v>
      </c>
      <c r="J1287" s="2" t="s">
        <v>16</v>
      </c>
      <c r="K1287">
        <f>H1287*I1287</f>
        <v>460.56000000000006</v>
      </c>
      <c r="L1287" t="str">
        <f t="shared" si="40"/>
        <v>Sep</v>
      </c>
      <c r="M1287">
        <f t="shared" si="41"/>
        <v>9</v>
      </c>
    </row>
    <row r="1288" spans="1:13" x14ac:dyDescent="0.25">
      <c r="A1288" s="2" t="s">
        <v>1361</v>
      </c>
      <c r="B1288" s="3">
        <v>45902</v>
      </c>
      <c r="C1288" s="2" t="s">
        <v>97</v>
      </c>
      <c r="D1288" s="2" t="s">
        <v>98</v>
      </c>
      <c r="E1288" s="2" t="s">
        <v>99</v>
      </c>
      <c r="F1288" s="2" t="s">
        <v>14</v>
      </c>
      <c r="G1288" s="2" t="s">
        <v>37</v>
      </c>
      <c r="H1288" s="2">
        <v>2</v>
      </c>
      <c r="I1288" s="4">
        <v>183.82</v>
      </c>
      <c r="J1288" s="2" t="s">
        <v>31</v>
      </c>
      <c r="K1288">
        <f>H1288*I1288</f>
        <v>367.64</v>
      </c>
      <c r="L1288" t="str">
        <f t="shared" si="40"/>
        <v>Sep</v>
      </c>
      <c r="M1288">
        <f t="shared" si="41"/>
        <v>9</v>
      </c>
    </row>
    <row r="1289" spans="1:13" x14ac:dyDescent="0.25">
      <c r="A1289" s="2" t="s">
        <v>1362</v>
      </c>
      <c r="B1289" s="3">
        <v>45903</v>
      </c>
      <c r="C1289" s="2" t="s">
        <v>11</v>
      </c>
      <c r="D1289" s="2" t="s">
        <v>12</v>
      </c>
      <c r="E1289" s="2" t="s">
        <v>13</v>
      </c>
      <c r="F1289" s="2" t="s">
        <v>14</v>
      </c>
      <c r="G1289" s="2" t="s">
        <v>15</v>
      </c>
      <c r="H1289" s="2">
        <v>1</v>
      </c>
      <c r="I1289" s="4">
        <v>32.32</v>
      </c>
      <c r="J1289" s="2" t="s">
        <v>16</v>
      </c>
      <c r="K1289">
        <f>H1289*I1289</f>
        <v>32.32</v>
      </c>
      <c r="L1289" t="str">
        <f t="shared" si="40"/>
        <v>Sep</v>
      </c>
      <c r="M1289">
        <f t="shared" si="41"/>
        <v>9</v>
      </c>
    </row>
    <row r="1290" spans="1:13" x14ac:dyDescent="0.25">
      <c r="A1290" s="2" t="s">
        <v>1363</v>
      </c>
      <c r="B1290" s="3">
        <v>45903</v>
      </c>
      <c r="C1290" s="2" t="s">
        <v>75</v>
      </c>
      <c r="D1290" s="2" t="s">
        <v>75</v>
      </c>
      <c r="E1290" s="2" t="s">
        <v>76</v>
      </c>
      <c r="F1290" s="2" t="s">
        <v>20</v>
      </c>
      <c r="G1290" s="2" t="s">
        <v>21</v>
      </c>
      <c r="H1290" s="2">
        <v>1</v>
      </c>
      <c r="I1290" s="4">
        <v>12</v>
      </c>
      <c r="J1290" s="2" t="s">
        <v>16</v>
      </c>
      <c r="K1290">
        <f>H1290*I1290</f>
        <v>12</v>
      </c>
      <c r="L1290" t="str">
        <f t="shared" si="40"/>
        <v>Sep</v>
      </c>
      <c r="M1290">
        <f t="shared" si="41"/>
        <v>9</v>
      </c>
    </row>
    <row r="1291" spans="1:13" x14ac:dyDescent="0.25">
      <c r="A1291" s="2" t="s">
        <v>1364</v>
      </c>
      <c r="B1291" s="3">
        <v>45903</v>
      </c>
      <c r="C1291" s="2" t="s">
        <v>60</v>
      </c>
      <c r="D1291" s="2" t="s">
        <v>61</v>
      </c>
      <c r="E1291" s="2" t="s">
        <v>62</v>
      </c>
      <c r="F1291" s="2" t="s">
        <v>14</v>
      </c>
      <c r="G1291" s="2" t="s">
        <v>63</v>
      </c>
      <c r="H1291" s="2">
        <v>4</v>
      </c>
      <c r="I1291" s="4">
        <v>26</v>
      </c>
      <c r="J1291" s="2" t="s">
        <v>38</v>
      </c>
      <c r="K1291">
        <f>H1291*I1291</f>
        <v>104</v>
      </c>
      <c r="L1291" t="str">
        <f t="shared" si="40"/>
        <v>Sep</v>
      </c>
      <c r="M1291">
        <f t="shared" si="41"/>
        <v>9</v>
      </c>
    </row>
    <row r="1292" spans="1:13" x14ac:dyDescent="0.25">
      <c r="A1292" s="2" t="s">
        <v>1365</v>
      </c>
      <c r="B1292" s="3">
        <v>45904</v>
      </c>
      <c r="C1292" s="2" t="s">
        <v>48</v>
      </c>
      <c r="D1292" s="2" t="s">
        <v>48</v>
      </c>
      <c r="E1292" s="2" t="s">
        <v>49</v>
      </c>
      <c r="F1292" s="2" t="s">
        <v>20</v>
      </c>
      <c r="G1292" s="2" t="s">
        <v>21</v>
      </c>
      <c r="H1292" s="2">
        <v>3</v>
      </c>
      <c r="I1292" s="4">
        <v>55.55</v>
      </c>
      <c r="J1292" s="2" t="s">
        <v>38</v>
      </c>
      <c r="K1292">
        <f>H1292*I1292</f>
        <v>166.64999999999998</v>
      </c>
      <c r="L1292" t="str">
        <f t="shared" si="40"/>
        <v>Sep</v>
      </c>
      <c r="M1292">
        <f t="shared" si="41"/>
        <v>9</v>
      </c>
    </row>
    <row r="1293" spans="1:13" x14ac:dyDescent="0.25">
      <c r="A1293" s="2" t="s">
        <v>1366</v>
      </c>
      <c r="B1293" s="3">
        <v>45904</v>
      </c>
      <c r="C1293" s="2" t="s">
        <v>124</v>
      </c>
      <c r="D1293" s="2" t="s">
        <v>18</v>
      </c>
      <c r="E1293" s="2" t="s">
        <v>19</v>
      </c>
      <c r="F1293" s="2" t="s">
        <v>14</v>
      </c>
      <c r="G1293" s="2" t="s">
        <v>125</v>
      </c>
      <c r="H1293" s="2">
        <v>3</v>
      </c>
      <c r="I1293" s="4">
        <v>45</v>
      </c>
      <c r="J1293" s="2" t="s">
        <v>22</v>
      </c>
      <c r="K1293">
        <f>H1293*I1293</f>
        <v>135</v>
      </c>
      <c r="L1293" t="str">
        <f t="shared" si="40"/>
        <v>Sep</v>
      </c>
      <c r="M1293">
        <f t="shared" si="41"/>
        <v>9</v>
      </c>
    </row>
    <row r="1294" spans="1:13" x14ac:dyDescent="0.25">
      <c r="A1294" s="2" t="s">
        <v>1367</v>
      </c>
      <c r="B1294" s="3">
        <v>45904</v>
      </c>
      <c r="C1294" s="2" t="s">
        <v>61</v>
      </c>
      <c r="D1294" s="2" t="s">
        <v>61</v>
      </c>
      <c r="E1294" s="2" t="s">
        <v>62</v>
      </c>
      <c r="F1294" s="2" t="s">
        <v>20</v>
      </c>
      <c r="G1294" s="2" t="s">
        <v>21</v>
      </c>
      <c r="H1294" s="2">
        <v>1</v>
      </c>
      <c r="I1294" s="4">
        <v>8.08</v>
      </c>
      <c r="J1294" s="2" t="s">
        <v>22</v>
      </c>
      <c r="K1294">
        <f>H1294*I1294</f>
        <v>8.08</v>
      </c>
      <c r="L1294" t="str">
        <f t="shared" si="40"/>
        <v>Sep</v>
      </c>
      <c r="M1294">
        <f t="shared" si="41"/>
        <v>9</v>
      </c>
    </row>
    <row r="1295" spans="1:13" x14ac:dyDescent="0.25">
      <c r="A1295" s="2" t="s">
        <v>1368</v>
      </c>
      <c r="B1295" s="3">
        <v>45905</v>
      </c>
      <c r="C1295" s="2" t="s">
        <v>12</v>
      </c>
      <c r="D1295" s="2" t="s">
        <v>12</v>
      </c>
      <c r="E1295" s="2" t="s">
        <v>13</v>
      </c>
      <c r="F1295" s="2" t="s">
        <v>20</v>
      </c>
      <c r="G1295" s="2" t="s">
        <v>21</v>
      </c>
      <c r="H1295" s="2">
        <v>1</v>
      </c>
      <c r="I1295" s="4">
        <v>14</v>
      </c>
      <c r="J1295" s="2" t="s">
        <v>31</v>
      </c>
      <c r="K1295">
        <f>H1295*I1295</f>
        <v>14</v>
      </c>
      <c r="L1295" t="str">
        <f t="shared" si="40"/>
        <v>Sep</v>
      </c>
      <c r="M1295">
        <f t="shared" si="41"/>
        <v>9</v>
      </c>
    </row>
    <row r="1296" spans="1:13" x14ac:dyDescent="0.25">
      <c r="A1296" s="2" t="s">
        <v>1369</v>
      </c>
      <c r="B1296" s="3">
        <v>45905</v>
      </c>
      <c r="C1296" s="2" t="s">
        <v>75</v>
      </c>
      <c r="D1296" s="2" t="s">
        <v>75</v>
      </c>
      <c r="E1296" s="2" t="s">
        <v>76</v>
      </c>
      <c r="F1296" s="2" t="s">
        <v>20</v>
      </c>
      <c r="G1296" s="2" t="s">
        <v>21</v>
      </c>
      <c r="H1296" s="2">
        <v>2</v>
      </c>
      <c r="I1296" s="4">
        <v>12.12</v>
      </c>
      <c r="J1296" s="2" t="s">
        <v>16</v>
      </c>
      <c r="K1296">
        <f>H1296*I1296</f>
        <v>24.24</v>
      </c>
      <c r="L1296" t="str">
        <f t="shared" si="40"/>
        <v>Sep</v>
      </c>
      <c r="M1296">
        <f t="shared" si="41"/>
        <v>9</v>
      </c>
    </row>
    <row r="1297" spans="1:13" x14ac:dyDescent="0.25">
      <c r="A1297" s="2" t="s">
        <v>1370</v>
      </c>
      <c r="B1297" s="3">
        <v>45905</v>
      </c>
      <c r="C1297" s="2" t="s">
        <v>75</v>
      </c>
      <c r="D1297" s="2" t="s">
        <v>75</v>
      </c>
      <c r="E1297" s="2" t="s">
        <v>76</v>
      </c>
      <c r="F1297" s="2" t="s">
        <v>20</v>
      </c>
      <c r="G1297" s="2" t="s">
        <v>21</v>
      </c>
      <c r="H1297" s="2">
        <v>6</v>
      </c>
      <c r="I1297" s="4">
        <v>12.12</v>
      </c>
      <c r="J1297" s="2" t="s">
        <v>16</v>
      </c>
      <c r="K1297">
        <f>H1297*I1297</f>
        <v>72.72</v>
      </c>
      <c r="L1297" t="str">
        <f t="shared" si="40"/>
        <v>Sep</v>
      </c>
      <c r="M1297">
        <f t="shared" si="41"/>
        <v>9</v>
      </c>
    </row>
    <row r="1298" spans="1:13" x14ac:dyDescent="0.25">
      <c r="A1298" s="2" t="s">
        <v>1371</v>
      </c>
      <c r="B1298" s="3">
        <v>45905</v>
      </c>
      <c r="C1298" s="2" t="s">
        <v>119</v>
      </c>
      <c r="D1298" s="2" t="s">
        <v>120</v>
      </c>
      <c r="E1298" s="2" t="s">
        <v>76</v>
      </c>
      <c r="F1298" s="2" t="s">
        <v>14</v>
      </c>
      <c r="G1298" s="2" t="s">
        <v>121</v>
      </c>
      <c r="H1298" s="2">
        <v>2</v>
      </c>
      <c r="I1298" s="4">
        <v>191.9</v>
      </c>
      <c r="J1298" s="2" t="s">
        <v>16</v>
      </c>
      <c r="K1298">
        <f>H1298*I1298</f>
        <v>383.8</v>
      </c>
      <c r="L1298" t="str">
        <f t="shared" si="40"/>
        <v>Sep</v>
      </c>
      <c r="M1298">
        <f t="shared" si="41"/>
        <v>9</v>
      </c>
    </row>
    <row r="1299" spans="1:13" x14ac:dyDescent="0.25">
      <c r="A1299" s="2" t="s">
        <v>1372</v>
      </c>
      <c r="B1299" s="3">
        <v>45905</v>
      </c>
      <c r="C1299" s="2" t="s">
        <v>120</v>
      </c>
      <c r="D1299" s="2" t="s">
        <v>120</v>
      </c>
      <c r="E1299" s="2" t="s">
        <v>76</v>
      </c>
      <c r="F1299" s="2" t="s">
        <v>20</v>
      </c>
      <c r="G1299" s="2" t="s">
        <v>21</v>
      </c>
      <c r="H1299" s="2">
        <v>3</v>
      </c>
      <c r="I1299" s="4">
        <v>42</v>
      </c>
      <c r="J1299" s="2" t="s">
        <v>31</v>
      </c>
      <c r="K1299">
        <f>H1299*I1299</f>
        <v>126</v>
      </c>
      <c r="L1299" t="str">
        <f t="shared" si="40"/>
        <v>Sep</v>
      </c>
      <c r="M1299">
        <f t="shared" si="41"/>
        <v>9</v>
      </c>
    </row>
    <row r="1300" spans="1:13" x14ac:dyDescent="0.25">
      <c r="A1300" s="2" t="s">
        <v>1373</v>
      </c>
      <c r="B1300" s="3">
        <v>45905</v>
      </c>
      <c r="C1300" s="2" t="s">
        <v>102</v>
      </c>
      <c r="D1300" s="2" t="s">
        <v>102</v>
      </c>
      <c r="E1300" s="2" t="s">
        <v>36</v>
      </c>
      <c r="F1300" s="2" t="s">
        <v>20</v>
      </c>
      <c r="G1300" s="2" t="s">
        <v>21</v>
      </c>
      <c r="H1300" s="2">
        <v>3</v>
      </c>
      <c r="I1300" s="4">
        <v>35</v>
      </c>
      <c r="J1300" s="2" t="s">
        <v>38</v>
      </c>
      <c r="K1300">
        <f>H1300*I1300</f>
        <v>105</v>
      </c>
      <c r="L1300" t="str">
        <f t="shared" si="40"/>
        <v>Sep</v>
      </c>
      <c r="M1300">
        <f t="shared" si="41"/>
        <v>9</v>
      </c>
    </row>
    <row r="1301" spans="1:13" x14ac:dyDescent="0.25">
      <c r="A1301" s="2" t="s">
        <v>1374</v>
      </c>
      <c r="B1301" s="3">
        <v>45905</v>
      </c>
      <c r="C1301" s="2" t="s">
        <v>124</v>
      </c>
      <c r="D1301" s="2" t="s">
        <v>18</v>
      </c>
      <c r="E1301" s="2" t="s">
        <v>19</v>
      </c>
      <c r="F1301" s="2" t="s">
        <v>14</v>
      </c>
      <c r="G1301" s="2" t="s">
        <v>125</v>
      </c>
      <c r="H1301" s="2">
        <v>2</v>
      </c>
      <c r="I1301" s="4">
        <v>45</v>
      </c>
      <c r="J1301" s="2" t="s">
        <v>16</v>
      </c>
      <c r="K1301">
        <f>H1301*I1301</f>
        <v>90</v>
      </c>
      <c r="L1301" t="str">
        <f t="shared" si="40"/>
        <v>Sep</v>
      </c>
      <c r="M1301">
        <f t="shared" si="41"/>
        <v>9</v>
      </c>
    </row>
    <row r="1302" spans="1:13" x14ac:dyDescent="0.25">
      <c r="A1302" s="2" t="s">
        <v>1375</v>
      </c>
      <c r="B1302" s="3">
        <v>45905</v>
      </c>
      <c r="C1302" s="2" t="s">
        <v>79</v>
      </c>
      <c r="D1302" s="2" t="s">
        <v>80</v>
      </c>
      <c r="E1302" s="2" t="s">
        <v>26</v>
      </c>
      <c r="F1302" s="2" t="s">
        <v>14</v>
      </c>
      <c r="G1302" s="2" t="s">
        <v>81</v>
      </c>
      <c r="H1302" s="2">
        <v>3</v>
      </c>
      <c r="I1302" s="4">
        <v>152</v>
      </c>
      <c r="J1302" s="2" t="s">
        <v>16</v>
      </c>
      <c r="K1302">
        <f>H1302*I1302</f>
        <v>456</v>
      </c>
      <c r="L1302" t="str">
        <f t="shared" si="40"/>
        <v>Sep</v>
      </c>
      <c r="M1302">
        <f t="shared" si="41"/>
        <v>9</v>
      </c>
    </row>
    <row r="1303" spans="1:13" x14ac:dyDescent="0.25">
      <c r="A1303" s="2" t="s">
        <v>1376</v>
      </c>
      <c r="B1303" s="3">
        <v>45906</v>
      </c>
      <c r="C1303" s="2" t="s">
        <v>12</v>
      </c>
      <c r="D1303" s="2" t="s">
        <v>12</v>
      </c>
      <c r="E1303" s="2" t="s">
        <v>13</v>
      </c>
      <c r="F1303" s="2" t="s">
        <v>20</v>
      </c>
      <c r="G1303" s="2" t="s">
        <v>21</v>
      </c>
      <c r="H1303" s="2">
        <v>2</v>
      </c>
      <c r="I1303" s="4">
        <v>14.14</v>
      </c>
      <c r="J1303" s="2" t="s">
        <v>22</v>
      </c>
      <c r="K1303">
        <f>H1303*I1303</f>
        <v>28.28</v>
      </c>
      <c r="L1303" t="str">
        <f t="shared" si="40"/>
        <v>Sep</v>
      </c>
      <c r="M1303">
        <f t="shared" si="41"/>
        <v>9</v>
      </c>
    </row>
    <row r="1304" spans="1:13" x14ac:dyDescent="0.25">
      <c r="A1304" s="2" t="s">
        <v>1377</v>
      </c>
      <c r="B1304" s="3">
        <v>45906</v>
      </c>
      <c r="C1304" s="2" t="s">
        <v>67</v>
      </c>
      <c r="D1304" s="2" t="s">
        <v>68</v>
      </c>
      <c r="E1304" s="2" t="s">
        <v>49</v>
      </c>
      <c r="F1304" s="2" t="s">
        <v>14</v>
      </c>
      <c r="G1304" s="2" t="s">
        <v>69</v>
      </c>
      <c r="H1304" s="2">
        <v>1</v>
      </c>
      <c r="I1304" s="4">
        <v>207.05</v>
      </c>
      <c r="J1304" s="2" t="s">
        <v>22</v>
      </c>
      <c r="K1304">
        <f>H1304*I1304</f>
        <v>207.05</v>
      </c>
      <c r="L1304" t="str">
        <f t="shared" si="40"/>
        <v>Sep</v>
      </c>
      <c r="M1304">
        <f t="shared" si="41"/>
        <v>9</v>
      </c>
    </row>
    <row r="1305" spans="1:13" x14ac:dyDescent="0.25">
      <c r="A1305" s="2" t="s">
        <v>1378</v>
      </c>
      <c r="B1305" s="3">
        <v>45906</v>
      </c>
      <c r="C1305" s="2" t="s">
        <v>67</v>
      </c>
      <c r="D1305" s="2" t="s">
        <v>68</v>
      </c>
      <c r="E1305" s="2" t="s">
        <v>49</v>
      </c>
      <c r="F1305" s="2" t="s">
        <v>14</v>
      </c>
      <c r="G1305" s="2" t="s">
        <v>69</v>
      </c>
      <c r="H1305" s="2">
        <v>4</v>
      </c>
      <c r="I1305" s="4">
        <v>207.05</v>
      </c>
      <c r="J1305" s="2" t="s">
        <v>16</v>
      </c>
      <c r="K1305">
        <f>H1305*I1305</f>
        <v>828.2</v>
      </c>
      <c r="L1305" t="str">
        <f t="shared" si="40"/>
        <v>Sep</v>
      </c>
      <c r="M1305">
        <f t="shared" si="41"/>
        <v>9</v>
      </c>
    </row>
    <row r="1306" spans="1:13" x14ac:dyDescent="0.25">
      <c r="A1306" s="2" t="s">
        <v>1379</v>
      </c>
      <c r="B1306" s="3">
        <v>45906</v>
      </c>
      <c r="C1306" s="2" t="s">
        <v>190</v>
      </c>
      <c r="D1306" s="2" t="s">
        <v>40</v>
      </c>
      <c r="E1306" s="2" t="s">
        <v>19</v>
      </c>
      <c r="F1306" s="2" t="s">
        <v>14</v>
      </c>
      <c r="G1306" s="2" t="s">
        <v>191</v>
      </c>
      <c r="H1306" s="2">
        <v>12</v>
      </c>
      <c r="I1306" s="4">
        <v>142</v>
      </c>
      <c r="J1306" s="2" t="s">
        <v>22</v>
      </c>
      <c r="K1306">
        <f>H1306*I1306</f>
        <v>1704</v>
      </c>
      <c r="L1306" t="str">
        <f t="shared" si="40"/>
        <v>Sep</v>
      </c>
      <c r="M1306">
        <f t="shared" si="41"/>
        <v>9</v>
      </c>
    </row>
    <row r="1307" spans="1:13" x14ac:dyDescent="0.25">
      <c r="A1307" s="2" t="s">
        <v>1380</v>
      </c>
      <c r="B1307" s="3">
        <v>45906</v>
      </c>
      <c r="C1307" s="2" t="s">
        <v>79</v>
      </c>
      <c r="D1307" s="2" t="s">
        <v>80</v>
      </c>
      <c r="E1307" s="2" t="s">
        <v>26</v>
      </c>
      <c r="F1307" s="2" t="s">
        <v>14</v>
      </c>
      <c r="G1307" s="2" t="s">
        <v>81</v>
      </c>
      <c r="H1307" s="2">
        <v>5</v>
      </c>
      <c r="I1307" s="4">
        <v>152</v>
      </c>
      <c r="J1307" s="2" t="s">
        <v>22</v>
      </c>
      <c r="K1307">
        <f>H1307*I1307</f>
        <v>760</v>
      </c>
      <c r="L1307" t="str">
        <f t="shared" si="40"/>
        <v>Sep</v>
      </c>
      <c r="M1307">
        <f t="shared" si="41"/>
        <v>9</v>
      </c>
    </row>
    <row r="1308" spans="1:13" x14ac:dyDescent="0.25">
      <c r="A1308" s="2" t="s">
        <v>1381</v>
      </c>
      <c r="B1308" s="3">
        <v>45906</v>
      </c>
      <c r="C1308" s="2" t="s">
        <v>60</v>
      </c>
      <c r="D1308" s="2" t="s">
        <v>61</v>
      </c>
      <c r="E1308" s="2" t="s">
        <v>62</v>
      </c>
      <c r="F1308" s="2" t="s">
        <v>14</v>
      </c>
      <c r="G1308" s="2" t="s">
        <v>63</v>
      </c>
      <c r="H1308" s="2">
        <v>1</v>
      </c>
      <c r="I1308" s="4">
        <v>26</v>
      </c>
      <c r="J1308" s="2" t="s">
        <v>31</v>
      </c>
      <c r="K1308">
        <f>H1308*I1308</f>
        <v>26</v>
      </c>
      <c r="L1308" t="str">
        <f t="shared" si="40"/>
        <v>Sep</v>
      </c>
      <c r="M1308">
        <f t="shared" si="41"/>
        <v>9</v>
      </c>
    </row>
    <row r="1309" spans="1:13" x14ac:dyDescent="0.25">
      <c r="A1309" s="2" t="s">
        <v>1382</v>
      </c>
      <c r="B1309" s="3">
        <v>45907</v>
      </c>
      <c r="C1309" s="2" t="s">
        <v>12</v>
      </c>
      <c r="D1309" s="2" t="s">
        <v>12</v>
      </c>
      <c r="E1309" s="2" t="s">
        <v>13</v>
      </c>
      <c r="F1309" s="2" t="s">
        <v>20</v>
      </c>
      <c r="G1309" s="2" t="s">
        <v>21</v>
      </c>
      <c r="H1309" s="2">
        <v>2</v>
      </c>
      <c r="I1309" s="4">
        <v>14.14</v>
      </c>
      <c r="J1309" s="2" t="s">
        <v>16</v>
      </c>
      <c r="K1309">
        <f>H1309*I1309</f>
        <v>28.28</v>
      </c>
      <c r="L1309" t="str">
        <f t="shared" si="40"/>
        <v>Sep</v>
      </c>
      <c r="M1309">
        <f t="shared" si="41"/>
        <v>9</v>
      </c>
    </row>
    <row r="1310" spans="1:13" x14ac:dyDescent="0.25">
      <c r="A1310" s="2" t="s">
        <v>1383</v>
      </c>
      <c r="B1310" s="3">
        <v>45907</v>
      </c>
      <c r="C1310" s="2" t="s">
        <v>12</v>
      </c>
      <c r="D1310" s="2" t="s">
        <v>12</v>
      </c>
      <c r="E1310" s="2" t="s">
        <v>13</v>
      </c>
      <c r="F1310" s="2" t="s">
        <v>20</v>
      </c>
      <c r="G1310" s="2" t="s">
        <v>21</v>
      </c>
      <c r="H1310" s="2">
        <v>2</v>
      </c>
      <c r="I1310" s="4">
        <v>14.14</v>
      </c>
      <c r="J1310" s="2" t="s">
        <v>16</v>
      </c>
      <c r="K1310">
        <f>H1310*I1310</f>
        <v>28.28</v>
      </c>
      <c r="L1310" t="str">
        <f t="shared" si="40"/>
        <v>Sep</v>
      </c>
      <c r="M1310">
        <f t="shared" si="41"/>
        <v>9</v>
      </c>
    </row>
    <row r="1311" spans="1:13" x14ac:dyDescent="0.25">
      <c r="A1311" s="2" t="s">
        <v>1384</v>
      </c>
      <c r="B1311" s="3">
        <v>45907</v>
      </c>
      <c r="C1311" s="2" t="s">
        <v>67</v>
      </c>
      <c r="D1311" s="2" t="s">
        <v>68</v>
      </c>
      <c r="E1311" s="2" t="s">
        <v>49</v>
      </c>
      <c r="F1311" s="2" t="s">
        <v>14</v>
      </c>
      <c r="G1311" s="2" t="s">
        <v>69</v>
      </c>
      <c r="H1311" s="2">
        <v>4</v>
      </c>
      <c r="I1311" s="4">
        <v>207.05</v>
      </c>
      <c r="J1311" s="2" t="s">
        <v>16</v>
      </c>
      <c r="K1311">
        <f>H1311*I1311</f>
        <v>828.2</v>
      </c>
      <c r="L1311" t="str">
        <f t="shared" si="40"/>
        <v>Sep</v>
      </c>
      <c r="M1311">
        <f t="shared" si="41"/>
        <v>9</v>
      </c>
    </row>
    <row r="1312" spans="1:13" x14ac:dyDescent="0.25">
      <c r="A1312" s="2" t="s">
        <v>1385</v>
      </c>
      <c r="B1312" s="3">
        <v>45907</v>
      </c>
      <c r="C1312" s="2" t="s">
        <v>74</v>
      </c>
      <c r="D1312" s="2" t="s">
        <v>75</v>
      </c>
      <c r="E1312" s="2" t="s">
        <v>76</v>
      </c>
      <c r="F1312" s="2" t="s">
        <v>14</v>
      </c>
      <c r="G1312" s="2" t="s">
        <v>77</v>
      </c>
      <c r="H1312" s="2">
        <v>6</v>
      </c>
      <c r="I1312" s="4">
        <v>32.32</v>
      </c>
      <c r="J1312" s="2" t="s">
        <v>22</v>
      </c>
      <c r="K1312">
        <f>H1312*I1312</f>
        <v>193.92000000000002</v>
      </c>
      <c r="L1312" t="str">
        <f t="shared" si="40"/>
        <v>Sep</v>
      </c>
      <c r="M1312">
        <f t="shared" si="41"/>
        <v>9</v>
      </c>
    </row>
    <row r="1313" spans="1:13" x14ac:dyDescent="0.25">
      <c r="A1313" s="2" t="s">
        <v>1386</v>
      </c>
      <c r="B1313" s="3">
        <v>45907</v>
      </c>
      <c r="C1313" s="2" t="s">
        <v>35</v>
      </c>
      <c r="D1313" s="2" t="s">
        <v>35</v>
      </c>
      <c r="E1313" s="2" t="s">
        <v>36</v>
      </c>
      <c r="F1313" s="2" t="s">
        <v>20</v>
      </c>
      <c r="G1313" s="2" t="s">
        <v>21</v>
      </c>
      <c r="H1313" s="2">
        <v>1</v>
      </c>
      <c r="I1313" s="4">
        <v>58</v>
      </c>
      <c r="J1313" s="2" t="s">
        <v>16</v>
      </c>
      <c r="K1313">
        <f>H1313*I1313</f>
        <v>58</v>
      </c>
      <c r="L1313" t="str">
        <f t="shared" si="40"/>
        <v>Sep</v>
      </c>
      <c r="M1313">
        <f t="shared" si="41"/>
        <v>9</v>
      </c>
    </row>
    <row r="1314" spans="1:13" x14ac:dyDescent="0.25">
      <c r="A1314" s="2" t="s">
        <v>1387</v>
      </c>
      <c r="B1314" s="3">
        <v>45907</v>
      </c>
      <c r="C1314" s="2" t="s">
        <v>40</v>
      </c>
      <c r="D1314" s="2" t="s">
        <v>40</v>
      </c>
      <c r="E1314" s="2" t="s">
        <v>19</v>
      </c>
      <c r="F1314" s="2" t="s">
        <v>20</v>
      </c>
      <c r="G1314" s="2" t="s">
        <v>21</v>
      </c>
      <c r="H1314" s="2">
        <v>1</v>
      </c>
      <c r="I1314" s="4">
        <v>46.46</v>
      </c>
      <c r="J1314" s="2" t="s">
        <v>16</v>
      </c>
      <c r="K1314">
        <f>H1314*I1314</f>
        <v>46.46</v>
      </c>
      <c r="L1314" t="str">
        <f t="shared" si="40"/>
        <v>Sep</v>
      </c>
      <c r="M1314">
        <f t="shared" si="41"/>
        <v>9</v>
      </c>
    </row>
    <row r="1315" spans="1:13" x14ac:dyDescent="0.25">
      <c r="A1315" s="2" t="s">
        <v>1388</v>
      </c>
      <c r="B1315" s="3">
        <v>45907</v>
      </c>
      <c r="C1315" s="2" t="s">
        <v>80</v>
      </c>
      <c r="D1315" s="2" t="s">
        <v>80</v>
      </c>
      <c r="E1315" s="2" t="s">
        <v>26</v>
      </c>
      <c r="F1315" s="2" t="s">
        <v>20</v>
      </c>
      <c r="G1315" s="2" t="s">
        <v>21</v>
      </c>
      <c r="H1315" s="2">
        <v>1</v>
      </c>
      <c r="I1315" s="4">
        <v>50.5</v>
      </c>
      <c r="J1315" s="2" t="s">
        <v>16</v>
      </c>
      <c r="K1315">
        <f>H1315*I1315</f>
        <v>50.5</v>
      </c>
      <c r="L1315" t="str">
        <f t="shared" si="40"/>
        <v>Sep</v>
      </c>
      <c r="M1315">
        <f t="shared" si="41"/>
        <v>9</v>
      </c>
    </row>
    <row r="1316" spans="1:13" x14ac:dyDescent="0.25">
      <c r="A1316" s="2" t="s">
        <v>1389</v>
      </c>
      <c r="B1316" s="3">
        <v>45907</v>
      </c>
      <c r="C1316" s="2" t="s">
        <v>97</v>
      </c>
      <c r="D1316" s="2" t="s">
        <v>98</v>
      </c>
      <c r="E1316" s="2" t="s">
        <v>99</v>
      </c>
      <c r="F1316" s="2" t="s">
        <v>14</v>
      </c>
      <c r="G1316" s="2" t="s">
        <v>37</v>
      </c>
      <c r="H1316" s="2">
        <v>1</v>
      </c>
      <c r="I1316" s="4">
        <v>182</v>
      </c>
      <c r="J1316" s="2" t="s">
        <v>22</v>
      </c>
      <c r="K1316">
        <f>H1316*I1316</f>
        <v>182</v>
      </c>
      <c r="L1316" t="str">
        <f t="shared" si="40"/>
        <v>Sep</v>
      </c>
      <c r="M1316">
        <f t="shared" si="41"/>
        <v>9</v>
      </c>
    </row>
    <row r="1317" spans="1:13" x14ac:dyDescent="0.25">
      <c r="A1317" s="2" t="s">
        <v>1390</v>
      </c>
      <c r="B1317" s="3">
        <v>45908</v>
      </c>
      <c r="C1317" s="2" t="s">
        <v>11</v>
      </c>
      <c r="D1317" s="2" t="s">
        <v>12</v>
      </c>
      <c r="E1317" s="2" t="s">
        <v>13</v>
      </c>
      <c r="F1317" s="2" t="s">
        <v>14</v>
      </c>
      <c r="G1317" s="2" t="s">
        <v>15</v>
      </c>
      <c r="H1317" s="2">
        <v>2</v>
      </c>
      <c r="I1317" s="4">
        <v>32.32</v>
      </c>
      <c r="J1317" s="2" t="s">
        <v>16</v>
      </c>
      <c r="K1317">
        <f>H1317*I1317</f>
        <v>64.64</v>
      </c>
      <c r="L1317" t="str">
        <f t="shared" si="40"/>
        <v>Sep</v>
      </c>
      <c r="M1317">
        <f t="shared" si="41"/>
        <v>9</v>
      </c>
    </row>
    <row r="1318" spans="1:13" x14ac:dyDescent="0.25">
      <c r="A1318" s="2" t="s">
        <v>1391</v>
      </c>
      <c r="B1318" s="3">
        <v>45908</v>
      </c>
      <c r="C1318" s="2" t="s">
        <v>11</v>
      </c>
      <c r="D1318" s="2" t="s">
        <v>12</v>
      </c>
      <c r="E1318" s="2" t="s">
        <v>13</v>
      </c>
      <c r="F1318" s="2" t="s">
        <v>14</v>
      </c>
      <c r="G1318" s="2" t="s">
        <v>15</v>
      </c>
      <c r="H1318" s="2">
        <v>3</v>
      </c>
      <c r="I1318" s="4">
        <v>32.32</v>
      </c>
      <c r="J1318" s="2" t="s">
        <v>16</v>
      </c>
      <c r="K1318">
        <f>H1318*I1318</f>
        <v>96.960000000000008</v>
      </c>
      <c r="L1318" t="str">
        <f t="shared" si="40"/>
        <v>Sep</v>
      </c>
      <c r="M1318">
        <f t="shared" si="41"/>
        <v>9</v>
      </c>
    </row>
    <row r="1319" spans="1:13" x14ac:dyDescent="0.25">
      <c r="A1319" s="2" t="s">
        <v>1392</v>
      </c>
      <c r="B1319" s="3">
        <v>45908</v>
      </c>
      <c r="C1319" s="2" t="s">
        <v>11</v>
      </c>
      <c r="D1319" s="2" t="s">
        <v>12</v>
      </c>
      <c r="E1319" s="2" t="s">
        <v>13</v>
      </c>
      <c r="F1319" s="2" t="s">
        <v>14</v>
      </c>
      <c r="G1319" s="2" t="s">
        <v>15</v>
      </c>
      <c r="H1319" s="2">
        <v>2</v>
      </c>
      <c r="I1319" s="4">
        <v>32</v>
      </c>
      <c r="J1319" s="2" t="s">
        <v>16</v>
      </c>
      <c r="K1319">
        <f>H1319*I1319</f>
        <v>64</v>
      </c>
      <c r="L1319" t="str">
        <f t="shared" si="40"/>
        <v>Sep</v>
      </c>
      <c r="M1319">
        <f t="shared" si="41"/>
        <v>9</v>
      </c>
    </row>
    <row r="1320" spans="1:13" x14ac:dyDescent="0.25">
      <c r="A1320" s="2" t="s">
        <v>1393</v>
      </c>
      <c r="B1320" s="3">
        <v>45908</v>
      </c>
      <c r="C1320" s="2" t="s">
        <v>67</v>
      </c>
      <c r="D1320" s="2" t="s">
        <v>68</v>
      </c>
      <c r="E1320" s="2" t="s">
        <v>49</v>
      </c>
      <c r="F1320" s="2" t="s">
        <v>14</v>
      </c>
      <c r="G1320" s="2" t="s">
        <v>69</v>
      </c>
      <c r="H1320" s="2">
        <v>1</v>
      </c>
      <c r="I1320" s="4">
        <v>207.05</v>
      </c>
      <c r="J1320" s="2" t="s">
        <v>16</v>
      </c>
      <c r="K1320">
        <f>H1320*I1320</f>
        <v>207.05</v>
      </c>
      <c r="L1320" t="str">
        <f t="shared" si="40"/>
        <v>Sep</v>
      </c>
      <c r="M1320">
        <f t="shared" si="41"/>
        <v>9</v>
      </c>
    </row>
    <row r="1321" spans="1:13" x14ac:dyDescent="0.25">
      <c r="A1321" s="2" t="s">
        <v>1394</v>
      </c>
      <c r="B1321" s="3">
        <v>45908</v>
      </c>
      <c r="C1321" s="2" t="s">
        <v>102</v>
      </c>
      <c r="D1321" s="2" t="s">
        <v>102</v>
      </c>
      <c r="E1321" s="2" t="s">
        <v>36</v>
      </c>
      <c r="F1321" s="2" t="s">
        <v>20</v>
      </c>
      <c r="G1321" s="2" t="s">
        <v>21</v>
      </c>
      <c r="H1321" s="2">
        <v>2</v>
      </c>
      <c r="I1321" s="4">
        <v>35.35</v>
      </c>
      <c r="J1321" s="2" t="s">
        <v>16</v>
      </c>
      <c r="K1321">
        <f>H1321*I1321</f>
        <v>70.7</v>
      </c>
      <c r="L1321" t="str">
        <f t="shared" si="40"/>
        <v>Sep</v>
      </c>
      <c r="M1321">
        <f t="shared" si="41"/>
        <v>9</v>
      </c>
    </row>
    <row r="1322" spans="1:13" x14ac:dyDescent="0.25">
      <c r="A1322" s="2" t="s">
        <v>1395</v>
      </c>
      <c r="B1322" s="3">
        <v>45908</v>
      </c>
      <c r="C1322" s="2" t="s">
        <v>34</v>
      </c>
      <c r="D1322" s="2" t="s">
        <v>35</v>
      </c>
      <c r="E1322" s="2" t="s">
        <v>36</v>
      </c>
      <c r="F1322" s="2" t="s">
        <v>14</v>
      </c>
      <c r="G1322" s="2" t="s">
        <v>37</v>
      </c>
      <c r="H1322" s="2">
        <v>3</v>
      </c>
      <c r="I1322" s="4">
        <v>166.65</v>
      </c>
      <c r="J1322" s="2" t="s">
        <v>22</v>
      </c>
      <c r="K1322">
        <f>H1322*I1322</f>
        <v>499.95000000000005</v>
      </c>
      <c r="L1322" t="str">
        <f t="shared" si="40"/>
        <v>Sep</v>
      </c>
      <c r="M1322">
        <f t="shared" si="41"/>
        <v>9</v>
      </c>
    </row>
    <row r="1323" spans="1:13" x14ac:dyDescent="0.25">
      <c r="A1323" s="2" t="s">
        <v>1396</v>
      </c>
      <c r="B1323" s="3">
        <v>45908</v>
      </c>
      <c r="C1323" s="2" t="s">
        <v>34</v>
      </c>
      <c r="D1323" s="2" t="s">
        <v>35</v>
      </c>
      <c r="E1323" s="2" t="s">
        <v>36</v>
      </c>
      <c r="F1323" s="2" t="s">
        <v>14</v>
      </c>
      <c r="G1323" s="2" t="s">
        <v>37</v>
      </c>
      <c r="H1323" s="2">
        <v>6</v>
      </c>
      <c r="I1323" s="4">
        <v>166.65</v>
      </c>
      <c r="J1323" s="2" t="s">
        <v>22</v>
      </c>
      <c r="K1323">
        <f>H1323*I1323</f>
        <v>999.90000000000009</v>
      </c>
      <c r="L1323" t="str">
        <f t="shared" si="40"/>
        <v>Sep</v>
      </c>
      <c r="M1323">
        <f t="shared" si="41"/>
        <v>9</v>
      </c>
    </row>
    <row r="1324" spans="1:13" x14ac:dyDescent="0.25">
      <c r="A1324" s="2" t="s">
        <v>1397</v>
      </c>
      <c r="B1324" s="3">
        <v>45908</v>
      </c>
      <c r="C1324" s="2" t="s">
        <v>80</v>
      </c>
      <c r="D1324" s="2" t="s">
        <v>80</v>
      </c>
      <c r="E1324" s="2" t="s">
        <v>26</v>
      </c>
      <c r="F1324" s="2" t="s">
        <v>20</v>
      </c>
      <c r="G1324" s="2" t="s">
        <v>21</v>
      </c>
      <c r="H1324" s="2">
        <v>3</v>
      </c>
      <c r="I1324" s="4">
        <v>50.5</v>
      </c>
      <c r="J1324" s="2" t="s">
        <v>22</v>
      </c>
      <c r="K1324">
        <f>H1324*I1324</f>
        <v>151.5</v>
      </c>
      <c r="L1324" t="str">
        <f t="shared" si="40"/>
        <v>Sep</v>
      </c>
      <c r="M1324">
        <f t="shared" si="41"/>
        <v>9</v>
      </c>
    </row>
    <row r="1325" spans="1:13" x14ac:dyDescent="0.25">
      <c r="A1325" s="2" t="s">
        <v>1398</v>
      </c>
      <c r="B1325" s="3">
        <v>45908</v>
      </c>
      <c r="C1325" s="2" t="s">
        <v>61</v>
      </c>
      <c r="D1325" s="2" t="s">
        <v>61</v>
      </c>
      <c r="E1325" s="2" t="s">
        <v>62</v>
      </c>
      <c r="F1325" s="2" t="s">
        <v>20</v>
      </c>
      <c r="G1325" s="2" t="s">
        <v>21</v>
      </c>
      <c r="H1325" s="2">
        <v>1</v>
      </c>
      <c r="I1325" s="4">
        <v>8</v>
      </c>
      <c r="J1325" s="2" t="s">
        <v>16</v>
      </c>
      <c r="K1325">
        <f>H1325*I1325</f>
        <v>8</v>
      </c>
      <c r="L1325" t="str">
        <f t="shared" si="40"/>
        <v>Sep</v>
      </c>
      <c r="M1325">
        <f t="shared" si="41"/>
        <v>9</v>
      </c>
    </row>
    <row r="1326" spans="1:13" x14ac:dyDescent="0.25">
      <c r="A1326" s="2" t="s">
        <v>1399</v>
      </c>
      <c r="B1326" s="3">
        <v>45908</v>
      </c>
      <c r="C1326" s="2" t="s">
        <v>108</v>
      </c>
      <c r="D1326" s="2" t="s">
        <v>109</v>
      </c>
      <c r="E1326" s="2" t="s">
        <v>13</v>
      </c>
      <c r="F1326" s="2" t="s">
        <v>14</v>
      </c>
      <c r="G1326" s="2" t="s">
        <v>110</v>
      </c>
      <c r="H1326" s="2">
        <v>2</v>
      </c>
      <c r="I1326" s="4">
        <v>62.62</v>
      </c>
      <c r="J1326" s="2" t="s">
        <v>31</v>
      </c>
      <c r="K1326">
        <f>H1326*I1326</f>
        <v>125.24</v>
      </c>
      <c r="L1326" t="str">
        <f t="shared" si="40"/>
        <v>Sep</v>
      </c>
      <c r="M1326">
        <f t="shared" si="41"/>
        <v>9</v>
      </c>
    </row>
    <row r="1327" spans="1:13" x14ac:dyDescent="0.25">
      <c r="A1327" s="2" t="s">
        <v>1400</v>
      </c>
      <c r="B1327" s="3">
        <v>45909</v>
      </c>
      <c r="C1327" s="2" t="s">
        <v>11</v>
      </c>
      <c r="D1327" s="2" t="s">
        <v>12</v>
      </c>
      <c r="E1327" s="2" t="s">
        <v>13</v>
      </c>
      <c r="F1327" s="2" t="s">
        <v>14</v>
      </c>
      <c r="G1327" s="2" t="s">
        <v>15</v>
      </c>
      <c r="H1327" s="2">
        <v>4</v>
      </c>
      <c r="I1327" s="4">
        <v>32.32</v>
      </c>
      <c r="J1327" s="2" t="s">
        <v>22</v>
      </c>
      <c r="K1327">
        <f>H1327*I1327</f>
        <v>129.28</v>
      </c>
      <c r="L1327" t="str">
        <f t="shared" si="40"/>
        <v>Sep</v>
      </c>
      <c r="M1327">
        <f t="shared" si="41"/>
        <v>9</v>
      </c>
    </row>
    <row r="1328" spans="1:13" x14ac:dyDescent="0.25">
      <c r="A1328" s="2" t="s">
        <v>1401</v>
      </c>
      <c r="B1328" s="3">
        <v>45909</v>
      </c>
      <c r="C1328" s="2" t="s">
        <v>11</v>
      </c>
      <c r="D1328" s="2" t="s">
        <v>12</v>
      </c>
      <c r="E1328" s="2" t="s">
        <v>13</v>
      </c>
      <c r="F1328" s="2" t="s">
        <v>14</v>
      </c>
      <c r="G1328" s="2" t="s">
        <v>15</v>
      </c>
      <c r="H1328" s="2">
        <v>5</v>
      </c>
      <c r="I1328" s="4">
        <v>32.32</v>
      </c>
      <c r="J1328" s="2" t="s">
        <v>38</v>
      </c>
      <c r="K1328">
        <f>H1328*I1328</f>
        <v>161.6</v>
      </c>
      <c r="L1328" t="str">
        <f t="shared" si="40"/>
        <v>Sep</v>
      </c>
      <c r="M1328">
        <f t="shared" si="41"/>
        <v>9</v>
      </c>
    </row>
    <row r="1329" spans="1:13" x14ac:dyDescent="0.25">
      <c r="A1329" s="2" t="s">
        <v>1402</v>
      </c>
      <c r="B1329" s="3">
        <v>45909</v>
      </c>
      <c r="C1329" s="2" t="s">
        <v>48</v>
      </c>
      <c r="D1329" s="2" t="s">
        <v>48</v>
      </c>
      <c r="E1329" s="2" t="s">
        <v>49</v>
      </c>
      <c r="F1329" s="2" t="s">
        <v>20</v>
      </c>
      <c r="G1329" s="2" t="s">
        <v>21</v>
      </c>
      <c r="H1329" s="2">
        <v>2</v>
      </c>
      <c r="I1329" s="4">
        <v>55.55</v>
      </c>
      <c r="J1329" s="2" t="s">
        <v>16</v>
      </c>
      <c r="K1329">
        <f>H1329*I1329</f>
        <v>111.1</v>
      </c>
      <c r="L1329" t="str">
        <f t="shared" si="40"/>
        <v>Sep</v>
      </c>
      <c r="M1329">
        <f t="shared" si="41"/>
        <v>9</v>
      </c>
    </row>
    <row r="1330" spans="1:13" x14ac:dyDescent="0.25">
      <c r="A1330" s="2" t="s">
        <v>1403</v>
      </c>
      <c r="B1330" s="3">
        <v>45909</v>
      </c>
      <c r="C1330" s="2" t="s">
        <v>72</v>
      </c>
      <c r="D1330" s="2" t="s">
        <v>68</v>
      </c>
      <c r="E1330" s="2" t="s">
        <v>49</v>
      </c>
      <c r="F1330" s="2" t="s">
        <v>20</v>
      </c>
      <c r="G1330" s="2" t="s">
        <v>21</v>
      </c>
      <c r="H1330" s="2">
        <v>1</v>
      </c>
      <c r="I1330" s="4">
        <v>95.95</v>
      </c>
      <c r="J1330" s="2" t="s">
        <v>31</v>
      </c>
      <c r="K1330">
        <f>H1330*I1330</f>
        <v>95.95</v>
      </c>
      <c r="L1330" t="str">
        <f t="shared" si="40"/>
        <v>Sep</v>
      </c>
      <c r="M1330">
        <f t="shared" si="41"/>
        <v>9</v>
      </c>
    </row>
    <row r="1331" spans="1:13" x14ac:dyDescent="0.25">
      <c r="A1331" s="2" t="s">
        <v>1404</v>
      </c>
      <c r="B1331" s="3">
        <v>45910</v>
      </c>
      <c r="C1331" s="2" t="s">
        <v>101</v>
      </c>
      <c r="D1331" s="2" t="s">
        <v>102</v>
      </c>
      <c r="E1331" s="2" t="s">
        <v>36</v>
      </c>
      <c r="F1331" s="2" t="s">
        <v>14</v>
      </c>
      <c r="G1331" s="2" t="s">
        <v>103</v>
      </c>
      <c r="H1331" s="2">
        <v>3</v>
      </c>
      <c r="I1331" s="4">
        <v>92.92</v>
      </c>
      <c r="J1331" s="2" t="s">
        <v>16</v>
      </c>
      <c r="K1331">
        <f>H1331*I1331</f>
        <v>278.76</v>
      </c>
      <c r="L1331" t="str">
        <f t="shared" si="40"/>
        <v>Sep</v>
      </c>
      <c r="M1331">
        <f t="shared" si="41"/>
        <v>9</v>
      </c>
    </row>
    <row r="1332" spans="1:13" x14ac:dyDescent="0.25">
      <c r="A1332" s="2" t="s">
        <v>1405</v>
      </c>
      <c r="B1332" s="3">
        <v>45910</v>
      </c>
      <c r="C1332" s="2" t="s">
        <v>102</v>
      </c>
      <c r="D1332" s="2" t="s">
        <v>102</v>
      </c>
      <c r="E1332" s="2" t="s">
        <v>36</v>
      </c>
      <c r="F1332" s="2" t="s">
        <v>20</v>
      </c>
      <c r="G1332" s="2" t="s">
        <v>21</v>
      </c>
      <c r="H1332" s="2">
        <v>1</v>
      </c>
      <c r="I1332" s="4">
        <v>35.35</v>
      </c>
      <c r="J1332" s="2" t="s">
        <v>38</v>
      </c>
      <c r="K1332">
        <f>H1332*I1332</f>
        <v>35.35</v>
      </c>
      <c r="L1332" t="str">
        <f t="shared" si="40"/>
        <v>Sep</v>
      </c>
      <c r="M1332">
        <f t="shared" si="41"/>
        <v>9</v>
      </c>
    </row>
    <row r="1333" spans="1:13" x14ac:dyDescent="0.25">
      <c r="A1333" s="2" t="s">
        <v>1406</v>
      </c>
      <c r="B1333" s="3">
        <v>45910</v>
      </c>
      <c r="C1333" s="2" t="s">
        <v>40</v>
      </c>
      <c r="D1333" s="2" t="s">
        <v>40</v>
      </c>
      <c r="E1333" s="2" t="s">
        <v>19</v>
      </c>
      <c r="F1333" s="2" t="s">
        <v>20</v>
      </c>
      <c r="G1333" s="2" t="s">
        <v>21</v>
      </c>
      <c r="H1333" s="2">
        <v>1</v>
      </c>
      <c r="I1333" s="4">
        <v>46</v>
      </c>
      <c r="J1333" s="2" t="s">
        <v>22</v>
      </c>
      <c r="K1333">
        <f>H1333*I1333</f>
        <v>46</v>
      </c>
      <c r="L1333" t="str">
        <f t="shared" si="40"/>
        <v>Sep</v>
      </c>
      <c r="M1333">
        <f t="shared" si="41"/>
        <v>9</v>
      </c>
    </row>
    <row r="1334" spans="1:13" x14ac:dyDescent="0.25">
      <c r="A1334" s="2" t="s">
        <v>1407</v>
      </c>
      <c r="B1334" s="3">
        <v>45910</v>
      </c>
      <c r="C1334" s="2" t="s">
        <v>108</v>
      </c>
      <c r="D1334" s="2" t="s">
        <v>109</v>
      </c>
      <c r="E1334" s="2" t="s">
        <v>13</v>
      </c>
      <c r="F1334" s="2" t="s">
        <v>14</v>
      </c>
      <c r="G1334" s="2" t="s">
        <v>110</v>
      </c>
      <c r="H1334" s="2">
        <v>1</v>
      </c>
      <c r="I1334" s="4">
        <v>62.62</v>
      </c>
      <c r="J1334" s="2" t="s">
        <v>16</v>
      </c>
      <c r="K1334">
        <f>H1334*I1334</f>
        <v>62.62</v>
      </c>
      <c r="L1334" t="str">
        <f t="shared" si="40"/>
        <v>Sep</v>
      </c>
      <c r="M1334">
        <f t="shared" si="41"/>
        <v>9</v>
      </c>
    </row>
    <row r="1335" spans="1:13" x14ac:dyDescent="0.25">
      <c r="A1335" s="2" t="s">
        <v>1408</v>
      </c>
      <c r="B1335" s="3">
        <v>45911</v>
      </c>
      <c r="C1335" s="2" t="s">
        <v>75</v>
      </c>
      <c r="D1335" s="2" t="s">
        <v>75</v>
      </c>
      <c r="E1335" s="2" t="s">
        <v>76</v>
      </c>
      <c r="F1335" s="2" t="s">
        <v>20</v>
      </c>
      <c r="G1335" s="2" t="s">
        <v>21</v>
      </c>
      <c r="H1335" s="2">
        <v>6</v>
      </c>
      <c r="I1335" s="4">
        <v>12.12</v>
      </c>
      <c r="J1335" s="2" t="s">
        <v>16</v>
      </c>
      <c r="K1335">
        <f>H1335*I1335</f>
        <v>72.72</v>
      </c>
      <c r="L1335" t="str">
        <f t="shared" si="40"/>
        <v>Sep</v>
      </c>
      <c r="M1335">
        <f t="shared" si="41"/>
        <v>9</v>
      </c>
    </row>
    <row r="1336" spans="1:13" x14ac:dyDescent="0.25">
      <c r="A1336" s="2" t="s">
        <v>1409</v>
      </c>
      <c r="B1336" s="3">
        <v>45911</v>
      </c>
      <c r="C1336" s="2" t="s">
        <v>40</v>
      </c>
      <c r="D1336" s="2" t="s">
        <v>40</v>
      </c>
      <c r="E1336" s="2" t="s">
        <v>19</v>
      </c>
      <c r="F1336" s="2" t="s">
        <v>20</v>
      </c>
      <c r="G1336" s="2" t="s">
        <v>21</v>
      </c>
      <c r="H1336" s="2">
        <v>1</v>
      </c>
      <c r="I1336" s="4">
        <v>46.46</v>
      </c>
      <c r="J1336" s="2" t="s">
        <v>38</v>
      </c>
      <c r="K1336">
        <f>H1336*I1336</f>
        <v>46.46</v>
      </c>
      <c r="L1336" t="str">
        <f t="shared" si="40"/>
        <v>Sep</v>
      </c>
      <c r="M1336">
        <f t="shared" si="41"/>
        <v>9</v>
      </c>
    </row>
    <row r="1337" spans="1:13" x14ac:dyDescent="0.25">
      <c r="A1337" s="2" t="s">
        <v>1410</v>
      </c>
      <c r="B1337" s="3">
        <v>45912</v>
      </c>
      <c r="C1337" s="2" t="s">
        <v>12</v>
      </c>
      <c r="D1337" s="2" t="s">
        <v>12</v>
      </c>
      <c r="E1337" s="2" t="s">
        <v>13</v>
      </c>
      <c r="F1337" s="2" t="s">
        <v>20</v>
      </c>
      <c r="G1337" s="2" t="s">
        <v>21</v>
      </c>
      <c r="H1337" s="2">
        <v>2</v>
      </c>
      <c r="I1337" s="4">
        <v>14.14</v>
      </c>
      <c r="J1337" s="2" t="s">
        <v>16</v>
      </c>
      <c r="K1337">
        <f>H1337*I1337</f>
        <v>28.28</v>
      </c>
      <c r="L1337" t="str">
        <f t="shared" si="40"/>
        <v>Sep</v>
      </c>
      <c r="M1337">
        <f t="shared" si="41"/>
        <v>9</v>
      </c>
    </row>
    <row r="1338" spans="1:13" x14ac:dyDescent="0.25">
      <c r="A1338" s="2" t="s">
        <v>1411</v>
      </c>
      <c r="B1338" s="3">
        <v>45912</v>
      </c>
      <c r="C1338" s="2" t="s">
        <v>67</v>
      </c>
      <c r="D1338" s="2" t="s">
        <v>68</v>
      </c>
      <c r="E1338" s="2" t="s">
        <v>49</v>
      </c>
      <c r="F1338" s="2" t="s">
        <v>14</v>
      </c>
      <c r="G1338" s="2" t="s">
        <v>69</v>
      </c>
      <c r="H1338" s="2">
        <v>4</v>
      </c>
      <c r="I1338" s="4">
        <v>207.05</v>
      </c>
      <c r="J1338" s="2" t="s">
        <v>16</v>
      </c>
      <c r="K1338">
        <f>H1338*I1338</f>
        <v>828.2</v>
      </c>
      <c r="L1338" t="str">
        <f t="shared" si="40"/>
        <v>Sep</v>
      </c>
      <c r="M1338">
        <f t="shared" si="41"/>
        <v>9</v>
      </c>
    </row>
    <row r="1339" spans="1:13" x14ac:dyDescent="0.25">
      <c r="A1339" s="2" t="s">
        <v>1412</v>
      </c>
      <c r="B1339" s="3">
        <v>45912</v>
      </c>
      <c r="C1339" s="2" t="s">
        <v>80</v>
      </c>
      <c r="D1339" s="2" t="s">
        <v>80</v>
      </c>
      <c r="E1339" s="2" t="s">
        <v>26</v>
      </c>
      <c r="F1339" s="2" t="s">
        <v>20</v>
      </c>
      <c r="G1339" s="2" t="s">
        <v>21</v>
      </c>
      <c r="H1339" s="2">
        <v>1</v>
      </c>
      <c r="I1339" s="4">
        <v>50.5</v>
      </c>
      <c r="J1339" s="2" t="s">
        <v>31</v>
      </c>
      <c r="K1339">
        <f>H1339*I1339</f>
        <v>50.5</v>
      </c>
      <c r="L1339" t="str">
        <f t="shared" si="40"/>
        <v>Sep</v>
      </c>
      <c r="M1339">
        <f t="shared" si="41"/>
        <v>9</v>
      </c>
    </row>
    <row r="1340" spans="1:13" x14ac:dyDescent="0.25">
      <c r="A1340" s="2" t="s">
        <v>1413</v>
      </c>
      <c r="B1340" s="3">
        <v>45913</v>
      </c>
      <c r="C1340" s="2" t="s">
        <v>11</v>
      </c>
      <c r="D1340" s="2" t="s">
        <v>12</v>
      </c>
      <c r="E1340" s="2" t="s">
        <v>13</v>
      </c>
      <c r="F1340" s="2" t="s">
        <v>14</v>
      </c>
      <c r="G1340" s="2" t="s">
        <v>15</v>
      </c>
      <c r="H1340" s="2">
        <v>4</v>
      </c>
      <c r="I1340" s="4">
        <v>32.32</v>
      </c>
      <c r="J1340" s="2" t="s">
        <v>16</v>
      </c>
      <c r="K1340">
        <f>H1340*I1340</f>
        <v>129.28</v>
      </c>
      <c r="L1340" t="str">
        <f t="shared" si="40"/>
        <v>Sep</v>
      </c>
      <c r="M1340">
        <f t="shared" si="41"/>
        <v>9</v>
      </c>
    </row>
    <row r="1341" spans="1:13" x14ac:dyDescent="0.25">
      <c r="A1341" s="2" t="s">
        <v>1414</v>
      </c>
      <c r="B1341" s="3">
        <v>45913</v>
      </c>
      <c r="C1341" s="2" t="s">
        <v>11</v>
      </c>
      <c r="D1341" s="2" t="s">
        <v>12</v>
      </c>
      <c r="E1341" s="2" t="s">
        <v>13</v>
      </c>
      <c r="F1341" s="2" t="s">
        <v>14</v>
      </c>
      <c r="G1341" s="2" t="s">
        <v>15</v>
      </c>
      <c r="H1341" s="2">
        <v>2</v>
      </c>
      <c r="I1341" s="4">
        <v>32.32</v>
      </c>
      <c r="J1341" s="2" t="s">
        <v>22</v>
      </c>
      <c r="K1341">
        <f>H1341*I1341</f>
        <v>64.64</v>
      </c>
      <c r="L1341" t="str">
        <f t="shared" si="40"/>
        <v>Sep</v>
      </c>
      <c r="M1341">
        <f t="shared" si="41"/>
        <v>9</v>
      </c>
    </row>
    <row r="1342" spans="1:13" x14ac:dyDescent="0.25">
      <c r="A1342" s="2" t="s">
        <v>1415</v>
      </c>
      <c r="B1342" s="3">
        <v>45913</v>
      </c>
      <c r="C1342" s="2" t="s">
        <v>119</v>
      </c>
      <c r="D1342" s="2" t="s">
        <v>120</v>
      </c>
      <c r="E1342" s="2" t="s">
        <v>76</v>
      </c>
      <c r="F1342" s="2" t="s">
        <v>14</v>
      </c>
      <c r="G1342" s="2" t="s">
        <v>121</v>
      </c>
      <c r="H1342" s="2">
        <v>1</v>
      </c>
      <c r="I1342" s="4">
        <v>190</v>
      </c>
      <c r="J1342" s="2" t="s">
        <v>16</v>
      </c>
      <c r="K1342">
        <f>H1342*I1342</f>
        <v>190</v>
      </c>
      <c r="L1342" t="str">
        <f t="shared" si="40"/>
        <v>Sep</v>
      </c>
      <c r="M1342">
        <f t="shared" si="41"/>
        <v>9</v>
      </c>
    </row>
    <row r="1343" spans="1:13" x14ac:dyDescent="0.25">
      <c r="A1343" s="2" t="s">
        <v>1416</v>
      </c>
      <c r="B1343" s="3">
        <v>45913</v>
      </c>
      <c r="C1343" s="2" t="s">
        <v>18</v>
      </c>
      <c r="D1343" s="2" t="s">
        <v>18</v>
      </c>
      <c r="E1343" s="2" t="s">
        <v>19</v>
      </c>
      <c r="F1343" s="2" t="s">
        <v>20</v>
      </c>
      <c r="G1343" s="2" t="s">
        <v>21</v>
      </c>
      <c r="H1343" s="2">
        <v>3</v>
      </c>
      <c r="I1343" s="4">
        <v>15.15</v>
      </c>
      <c r="J1343" s="2" t="s">
        <v>31</v>
      </c>
      <c r="K1343">
        <f>H1343*I1343</f>
        <v>45.45</v>
      </c>
      <c r="L1343" t="str">
        <f t="shared" si="40"/>
        <v>Sep</v>
      </c>
      <c r="M1343">
        <f t="shared" si="41"/>
        <v>9</v>
      </c>
    </row>
    <row r="1344" spans="1:13" x14ac:dyDescent="0.25">
      <c r="A1344" s="2" t="s">
        <v>1417</v>
      </c>
      <c r="B1344" s="3">
        <v>45913</v>
      </c>
      <c r="C1344" s="2" t="s">
        <v>25</v>
      </c>
      <c r="D1344" s="2" t="s">
        <v>25</v>
      </c>
      <c r="E1344" s="2" t="s">
        <v>26</v>
      </c>
      <c r="F1344" s="2" t="s">
        <v>20</v>
      </c>
      <c r="G1344" s="2" t="s">
        <v>21</v>
      </c>
      <c r="H1344" s="2">
        <v>1</v>
      </c>
      <c r="I1344" s="4">
        <v>20</v>
      </c>
      <c r="J1344" s="2" t="s">
        <v>38</v>
      </c>
      <c r="K1344">
        <f>H1344*I1344</f>
        <v>20</v>
      </c>
      <c r="L1344" t="str">
        <f t="shared" si="40"/>
        <v>Sep</v>
      </c>
      <c r="M1344">
        <f t="shared" si="41"/>
        <v>9</v>
      </c>
    </row>
    <row r="1345" spans="1:13" x14ac:dyDescent="0.25">
      <c r="A1345" s="2" t="s">
        <v>1418</v>
      </c>
      <c r="B1345" s="3">
        <v>45913</v>
      </c>
      <c r="C1345" s="2" t="s">
        <v>194</v>
      </c>
      <c r="D1345" s="2" t="s">
        <v>98</v>
      </c>
      <c r="E1345" s="2" t="s">
        <v>99</v>
      </c>
      <c r="F1345" s="2" t="s">
        <v>20</v>
      </c>
      <c r="G1345" s="2" t="s">
        <v>21</v>
      </c>
      <c r="H1345" s="2">
        <v>2</v>
      </c>
      <c r="I1345" s="4">
        <v>70</v>
      </c>
      <c r="J1345" s="2" t="s">
        <v>38</v>
      </c>
      <c r="K1345">
        <f>H1345*I1345</f>
        <v>140</v>
      </c>
      <c r="L1345" t="str">
        <f t="shared" si="40"/>
        <v>Sep</v>
      </c>
      <c r="M1345">
        <f t="shared" si="41"/>
        <v>9</v>
      </c>
    </row>
    <row r="1346" spans="1:13" x14ac:dyDescent="0.25">
      <c r="A1346" s="2" t="s">
        <v>1419</v>
      </c>
      <c r="B1346" s="3">
        <v>45913</v>
      </c>
      <c r="C1346" s="2" t="s">
        <v>42</v>
      </c>
      <c r="D1346" s="2" t="s">
        <v>43</v>
      </c>
      <c r="E1346" s="2" t="s">
        <v>44</v>
      </c>
      <c r="F1346" s="2" t="s">
        <v>14</v>
      </c>
      <c r="G1346" s="2" t="s">
        <v>45</v>
      </c>
      <c r="H1346" s="2">
        <v>2</v>
      </c>
      <c r="I1346" s="4">
        <v>46.46</v>
      </c>
      <c r="J1346" s="2" t="s">
        <v>31</v>
      </c>
      <c r="K1346">
        <f>H1346*I1346</f>
        <v>92.92</v>
      </c>
      <c r="L1346" t="str">
        <f t="shared" si="40"/>
        <v>Sep</v>
      </c>
      <c r="M1346">
        <f t="shared" si="41"/>
        <v>9</v>
      </c>
    </row>
    <row r="1347" spans="1:13" x14ac:dyDescent="0.25">
      <c r="A1347" s="2" t="s">
        <v>1420</v>
      </c>
      <c r="B1347" s="3">
        <v>45914</v>
      </c>
      <c r="C1347" s="2" t="s">
        <v>11</v>
      </c>
      <c r="D1347" s="2" t="s">
        <v>12</v>
      </c>
      <c r="E1347" s="2" t="s">
        <v>13</v>
      </c>
      <c r="F1347" s="2" t="s">
        <v>14</v>
      </c>
      <c r="G1347" s="2" t="s">
        <v>15</v>
      </c>
      <c r="H1347" s="2">
        <v>1</v>
      </c>
      <c r="I1347" s="4">
        <v>32.32</v>
      </c>
      <c r="J1347" s="2" t="s">
        <v>31</v>
      </c>
      <c r="K1347">
        <f>H1347*I1347</f>
        <v>32.32</v>
      </c>
      <c r="L1347" t="str">
        <f t="shared" ref="L1347:L1410" si="42">TEXT(B1347,"mmm")</f>
        <v>Sep</v>
      </c>
      <c r="M1347">
        <f t="shared" ref="M1347:M1410" si="43">MONTH(B1347)</f>
        <v>9</v>
      </c>
    </row>
    <row r="1348" spans="1:13" x14ac:dyDescent="0.25">
      <c r="A1348" s="2" t="s">
        <v>1421</v>
      </c>
      <c r="B1348" s="3">
        <v>45914</v>
      </c>
      <c r="C1348" s="2" t="s">
        <v>74</v>
      </c>
      <c r="D1348" s="2" t="s">
        <v>75</v>
      </c>
      <c r="E1348" s="2" t="s">
        <v>76</v>
      </c>
      <c r="F1348" s="2" t="s">
        <v>14</v>
      </c>
      <c r="G1348" s="2" t="s">
        <v>77</v>
      </c>
      <c r="H1348" s="2">
        <v>1</v>
      </c>
      <c r="I1348" s="4">
        <v>32.32</v>
      </c>
      <c r="J1348" s="2" t="s">
        <v>38</v>
      </c>
      <c r="K1348">
        <f>H1348*I1348</f>
        <v>32.32</v>
      </c>
      <c r="L1348" t="str">
        <f t="shared" si="42"/>
        <v>Sep</v>
      </c>
      <c r="M1348">
        <f t="shared" si="43"/>
        <v>9</v>
      </c>
    </row>
    <row r="1349" spans="1:13" x14ac:dyDescent="0.25">
      <c r="A1349" s="2" t="s">
        <v>1422</v>
      </c>
      <c r="B1349" s="3">
        <v>45914</v>
      </c>
      <c r="C1349" s="2" t="s">
        <v>101</v>
      </c>
      <c r="D1349" s="2" t="s">
        <v>102</v>
      </c>
      <c r="E1349" s="2" t="s">
        <v>36</v>
      </c>
      <c r="F1349" s="2" t="s">
        <v>14</v>
      </c>
      <c r="G1349" s="2" t="s">
        <v>103</v>
      </c>
      <c r="H1349" s="2">
        <v>6</v>
      </c>
      <c r="I1349" s="4">
        <v>92.92</v>
      </c>
      <c r="J1349" s="2" t="s">
        <v>38</v>
      </c>
      <c r="K1349">
        <f>H1349*I1349</f>
        <v>557.52</v>
      </c>
      <c r="L1349" t="str">
        <f t="shared" si="42"/>
        <v>Sep</v>
      </c>
      <c r="M1349">
        <f t="shared" si="43"/>
        <v>9</v>
      </c>
    </row>
    <row r="1350" spans="1:13" x14ac:dyDescent="0.25">
      <c r="A1350" s="2" t="s">
        <v>1423</v>
      </c>
      <c r="B1350" s="3">
        <v>45915</v>
      </c>
      <c r="C1350" s="2" t="s">
        <v>75</v>
      </c>
      <c r="D1350" s="2" t="s">
        <v>75</v>
      </c>
      <c r="E1350" s="2" t="s">
        <v>76</v>
      </c>
      <c r="F1350" s="2" t="s">
        <v>20</v>
      </c>
      <c r="G1350" s="2" t="s">
        <v>21</v>
      </c>
      <c r="H1350" s="2">
        <v>3</v>
      </c>
      <c r="I1350" s="4">
        <v>12</v>
      </c>
      <c r="J1350" s="2" t="s">
        <v>31</v>
      </c>
      <c r="K1350">
        <f>H1350*I1350</f>
        <v>36</v>
      </c>
      <c r="L1350" t="str">
        <f t="shared" si="42"/>
        <v>Sep</v>
      </c>
      <c r="M1350">
        <f t="shared" si="43"/>
        <v>9</v>
      </c>
    </row>
    <row r="1351" spans="1:13" x14ac:dyDescent="0.25">
      <c r="A1351" s="2" t="s">
        <v>1424</v>
      </c>
      <c r="B1351" s="3">
        <v>45915</v>
      </c>
      <c r="C1351" s="2" t="s">
        <v>101</v>
      </c>
      <c r="D1351" s="2" t="s">
        <v>102</v>
      </c>
      <c r="E1351" s="2" t="s">
        <v>36</v>
      </c>
      <c r="F1351" s="2" t="s">
        <v>14</v>
      </c>
      <c r="G1351" s="2" t="s">
        <v>103</v>
      </c>
      <c r="H1351" s="2">
        <v>12</v>
      </c>
      <c r="I1351" s="4">
        <v>92.92</v>
      </c>
      <c r="J1351" s="2" t="s">
        <v>38</v>
      </c>
      <c r="K1351">
        <f>H1351*I1351</f>
        <v>1115.04</v>
      </c>
      <c r="L1351" t="str">
        <f t="shared" si="42"/>
        <v>Sep</v>
      </c>
      <c r="M1351">
        <f t="shared" si="43"/>
        <v>9</v>
      </c>
    </row>
    <row r="1352" spans="1:13" x14ac:dyDescent="0.25">
      <c r="A1352" s="2" t="s">
        <v>1425</v>
      </c>
      <c r="B1352" s="3">
        <v>45915</v>
      </c>
      <c r="C1352" s="2" t="s">
        <v>124</v>
      </c>
      <c r="D1352" s="2" t="s">
        <v>18</v>
      </c>
      <c r="E1352" s="2" t="s">
        <v>19</v>
      </c>
      <c r="F1352" s="2" t="s">
        <v>14</v>
      </c>
      <c r="G1352" s="2" t="s">
        <v>125</v>
      </c>
      <c r="H1352" s="2">
        <v>3</v>
      </c>
      <c r="I1352" s="4">
        <v>45.45</v>
      </c>
      <c r="J1352" s="2" t="s">
        <v>22</v>
      </c>
      <c r="K1352">
        <f>H1352*I1352</f>
        <v>136.35000000000002</v>
      </c>
      <c r="L1352" t="str">
        <f t="shared" si="42"/>
        <v>Sep</v>
      </c>
      <c r="M1352">
        <f t="shared" si="43"/>
        <v>9</v>
      </c>
    </row>
    <row r="1353" spans="1:13" x14ac:dyDescent="0.25">
      <c r="A1353" s="2" t="s">
        <v>1426</v>
      </c>
      <c r="B1353" s="3">
        <v>45915</v>
      </c>
      <c r="C1353" s="2" t="s">
        <v>124</v>
      </c>
      <c r="D1353" s="2" t="s">
        <v>18</v>
      </c>
      <c r="E1353" s="2" t="s">
        <v>19</v>
      </c>
      <c r="F1353" s="2" t="s">
        <v>14</v>
      </c>
      <c r="G1353" s="2" t="s">
        <v>125</v>
      </c>
      <c r="H1353" s="2">
        <v>6</v>
      </c>
      <c r="I1353" s="4">
        <v>45</v>
      </c>
      <c r="J1353" s="2" t="s">
        <v>31</v>
      </c>
      <c r="K1353">
        <f>H1353*I1353</f>
        <v>270</v>
      </c>
      <c r="L1353" t="str">
        <f t="shared" si="42"/>
        <v>Sep</v>
      </c>
      <c r="M1353">
        <f t="shared" si="43"/>
        <v>9</v>
      </c>
    </row>
    <row r="1354" spans="1:13" x14ac:dyDescent="0.25">
      <c r="A1354" s="2" t="s">
        <v>1427</v>
      </c>
      <c r="B1354" s="3">
        <v>45915</v>
      </c>
      <c r="C1354" s="2" t="s">
        <v>24</v>
      </c>
      <c r="D1354" s="2" t="s">
        <v>25</v>
      </c>
      <c r="E1354" s="2" t="s">
        <v>26</v>
      </c>
      <c r="F1354" s="2" t="s">
        <v>14</v>
      </c>
      <c r="G1354" s="2" t="s">
        <v>27</v>
      </c>
      <c r="H1354" s="2">
        <v>2</v>
      </c>
      <c r="I1354" s="4">
        <v>58.58</v>
      </c>
      <c r="J1354" s="2" t="s">
        <v>22</v>
      </c>
      <c r="K1354">
        <f>H1354*I1354</f>
        <v>117.16</v>
      </c>
      <c r="L1354" t="str">
        <f t="shared" si="42"/>
        <v>Sep</v>
      </c>
      <c r="M1354">
        <f t="shared" si="43"/>
        <v>9</v>
      </c>
    </row>
    <row r="1355" spans="1:13" x14ac:dyDescent="0.25">
      <c r="A1355" s="2" t="s">
        <v>1428</v>
      </c>
      <c r="B1355" s="3">
        <v>45915</v>
      </c>
      <c r="C1355" s="2" t="s">
        <v>24</v>
      </c>
      <c r="D1355" s="2" t="s">
        <v>25</v>
      </c>
      <c r="E1355" s="2" t="s">
        <v>26</v>
      </c>
      <c r="F1355" s="2" t="s">
        <v>14</v>
      </c>
      <c r="G1355" s="2" t="s">
        <v>27</v>
      </c>
      <c r="H1355" s="2">
        <v>2</v>
      </c>
      <c r="I1355" s="4">
        <v>58.58</v>
      </c>
      <c r="J1355" s="2" t="s">
        <v>38</v>
      </c>
      <c r="K1355">
        <f>H1355*I1355</f>
        <v>117.16</v>
      </c>
      <c r="L1355" t="str">
        <f t="shared" si="42"/>
        <v>Sep</v>
      </c>
      <c r="M1355">
        <f t="shared" si="43"/>
        <v>9</v>
      </c>
    </row>
    <row r="1356" spans="1:13" x14ac:dyDescent="0.25">
      <c r="A1356" s="2" t="s">
        <v>1429</v>
      </c>
      <c r="B1356" s="3">
        <v>45915</v>
      </c>
      <c r="C1356" s="2" t="s">
        <v>25</v>
      </c>
      <c r="D1356" s="2" t="s">
        <v>25</v>
      </c>
      <c r="E1356" s="2" t="s">
        <v>26</v>
      </c>
      <c r="F1356" s="2" t="s">
        <v>20</v>
      </c>
      <c r="G1356" s="2" t="s">
        <v>21</v>
      </c>
      <c r="H1356" s="2">
        <v>1</v>
      </c>
      <c r="I1356" s="4">
        <v>20.2</v>
      </c>
      <c r="J1356" s="2" t="s">
        <v>38</v>
      </c>
      <c r="K1356">
        <f>H1356*I1356</f>
        <v>20.2</v>
      </c>
      <c r="L1356" t="str">
        <f t="shared" si="42"/>
        <v>Sep</v>
      </c>
      <c r="M1356">
        <f t="shared" si="43"/>
        <v>9</v>
      </c>
    </row>
    <row r="1357" spans="1:13" x14ac:dyDescent="0.25">
      <c r="A1357" s="2" t="s">
        <v>1430</v>
      </c>
      <c r="B1357" s="3">
        <v>45915</v>
      </c>
      <c r="C1357" s="2" t="s">
        <v>30</v>
      </c>
      <c r="D1357" s="2" t="s">
        <v>30</v>
      </c>
      <c r="E1357" s="2" t="s">
        <v>13</v>
      </c>
      <c r="F1357" s="2" t="s">
        <v>20</v>
      </c>
      <c r="G1357" s="2" t="s">
        <v>21</v>
      </c>
      <c r="H1357" s="2">
        <v>4</v>
      </c>
      <c r="I1357" s="4">
        <v>15</v>
      </c>
      <c r="J1357" s="2" t="s">
        <v>22</v>
      </c>
      <c r="K1357">
        <f>H1357*I1357</f>
        <v>60</v>
      </c>
      <c r="L1357" t="str">
        <f t="shared" si="42"/>
        <v>Sep</v>
      </c>
      <c r="M1357">
        <f t="shared" si="43"/>
        <v>9</v>
      </c>
    </row>
    <row r="1358" spans="1:13" x14ac:dyDescent="0.25">
      <c r="A1358" s="2" t="s">
        <v>1431</v>
      </c>
      <c r="B1358" s="3">
        <v>45915</v>
      </c>
      <c r="C1358" s="2" t="s">
        <v>109</v>
      </c>
      <c r="D1358" s="2" t="s">
        <v>109</v>
      </c>
      <c r="E1358" s="2" t="s">
        <v>13</v>
      </c>
      <c r="F1358" s="2" t="s">
        <v>20</v>
      </c>
      <c r="G1358" s="2" t="s">
        <v>21</v>
      </c>
      <c r="H1358" s="2">
        <v>3</v>
      </c>
      <c r="I1358" s="4">
        <v>20</v>
      </c>
      <c r="J1358" s="2" t="s">
        <v>16</v>
      </c>
      <c r="K1358">
        <f>H1358*I1358</f>
        <v>60</v>
      </c>
      <c r="L1358" t="str">
        <f t="shared" si="42"/>
        <v>Sep</v>
      </c>
      <c r="M1358">
        <f t="shared" si="43"/>
        <v>9</v>
      </c>
    </row>
    <row r="1359" spans="1:13" x14ac:dyDescent="0.25">
      <c r="A1359" s="2" t="s">
        <v>1432</v>
      </c>
      <c r="B1359" s="3">
        <v>45916</v>
      </c>
      <c r="C1359" s="2" t="s">
        <v>11</v>
      </c>
      <c r="D1359" s="2" t="s">
        <v>12</v>
      </c>
      <c r="E1359" s="2" t="s">
        <v>13</v>
      </c>
      <c r="F1359" s="2" t="s">
        <v>14</v>
      </c>
      <c r="G1359" s="2" t="s">
        <v>15</v>
      </c>
      <c r="H1359" s="2">
        <v>2</v>
      </c>
      <c r="I1359" s="4">
        <v>32.32</v>
      </c>
      <c r="J1359" s="2" t="s">
        <v>16</v>
      </c>
      <c r="K1359">
        <f>H1359*I1359</f>
        <v>64.64</v>
      </c>
      <c r="L1359" t="str">
        <f t="shared" si="42"/>
        <v>Sep</v>
      </c>
      <c r="M1359">
        <f t="shared" si="43"/>
        <v>9</v>
      </c>
    </row>
    <row r="1360" spans="1:13" x14ac:dyDescent="0.25">
      <c r="A1360" s="2" t="s">
        <v>1433</v>
      </c>
      <c r="B1360" s="3">
        <v>45916</v>
      </c>
      <c r="C1360" s="2" t="s">
        <v>11</v>
      </c>
      <c r="D1360" s="2" t="s">
        <v>12</v>
      </c>
      <c r="E1360" s="2" t="s">
        <v>13</v>
      </c>
      <c r="F1360" s="2" t="s">
        <v>14</v>
      </c>
      <c r="G1360" s="2" t="s">
        <v>15</v>
      </c>
      <c r="H1360" s="2">
        <v>1</v>
      </c>
      <c r="I1360" s="4">
        <v>32.32</v>
      </c>
      <c r="J1360" s="2" t="s">
        <v>31</v>
      </c>
      <c r="K1360">
        <f>H1360*I1360</f>
        <v>32.32</v>
      </c>
      <c r="L1360" t="str">
        <f t="shared" si="42"/>
        <v>Sep</v>
      </c>
      <c r="M1360">
        <f t="shared" si="43"/>
        <v>9</v>
      </c>
    </row>
    <row r="1361" spans="1:13" x14ac:dyDescent="0.25">
      <c r="A1361" s="2" t="s">
        <v>1434</v>
      </c>
      <c r="B1361" s="3">
        <v>45916</v>
      </c>
      <c r="C1361" s="2" t="s">
        <v>18</v>
      </c>
      <c r="D1361" s="2" t="s">
        <v>18</v>
      </c>
      <c r="E1361" s="2" t="s">
        <v>19</v>
      </c>
      <c r="F1361" s="2" t="s">
        <v>20</v>
      </c>
      <c r="G1361" s="2" t="s">
        <v>21</v>
      </c>
      <c r="H1361" s="2">
        <v>1</v>
      </c>
      <c r="I1361" s="4">
        <v>15.15</v>
      </c>
      <c r="J1361" s="2" t="s">
        <v>16</v>
      </c>
      <c r="K1361">
        <f>H1361*I1361</f>
        <v>15.15</v>
      </c>
      <c r="L1361" t="str">
        <f t="shared" si="42"/>
        <v>Sep</v>
      </c>
      <c r="M1361">
        <f t="shared" si="43"/>
        <v>9</v>
      </c>
    </row>
    <row r="1362" spans="1:13" x14ac:dyDescent="0.25">
      <c r="A1362" s="2" t="s">
        <v>1435</v>
      </c>
      <c r="B1362" s="3">
        <v>45916</v>
      </c>
      <c r="C1362" s="2" t="s">
        <v>18</v>
      </c>
      <c r="D1362" s="2" t="s">
        <v>18</v>
      </c>
      <c r="E1362" s="2" t="s">
        <v>19</v>
      </c>
      <c r="F1362" s="2" t="s">
        <v>20</v>
      </c>
      <c r="G1362" s="2" t="s">
        <v>21</v>
      </c>
      <c r="H1362" s="2">
        <v>1</v>
      </c>
      <c r="I1362" s="4">
        <v>15.15</v>
      </c>
      <c r="J1362" s="2" t="s">
        <v>16</v>
      </c>
      <c r="K1362">
        <f>H1362*I1362</f>
        <v>15.15</v>
      </c>
      <c r="L1362" t="str">
        <f t="shared" si="42"/>
        <v>Sep</v>
      </c>
      <c r="M1362">
        <f t="shared" si="43"/>
        <v>9</v>
      </c>
    </row>
    <row r="1363" spans="1:13" x14ac:dyDescent="0.25">
      <c r="A1363" s="2" t="s">
        <v>1436</v>
      </c>
      <c r="B1363" s="3">
        <v>45916</v>
      </c>
      <c r="C1363" s="2" t="s">
        <v>190</v>
      </c>
      <c r="D1363" s="2" t="s">
        <v>40</v>
      </c>
      <c r="E1363" s="2" t="s">
        <v>19</v>
      </c>
      <c r="F1363" s="2" t="s">
        <v>14</v>
      </c>
      <c r="G1363" s="2" t="s">
        <v>191</v>
      </c>
      <c r="H1363" s="2">
        <v>6</v>
      </c>
      <c r="I1363" s="4">
        <v>143.41999999999999</v>
      </c>
      <c r="J1363" s="2" t="s">
        <v>16</v>
      </c>
      <c r="K1363">
        <f>H1363*I1363</f>
        <v>860.52</v>
      </c>
      <c r="L1363" t="str">
        <f t="shared" si="42"/>
        <v>Sep</v>
      </c>
      <c r="M1363">
        <f t="shared" si="43"/>
        <v>9</v>
      </c>
    </row>
    <row r="1364" spans="1:13" x14ac:dyDescent="0.25">
      <c r="A1364" s="2" t="s">
        <v>1437</v>
      </c>
      <c r="B1364" s="3">
        <v>45916</v>
      </c>
      <c r="C1364" s="2" t="s">
        <v>24</v>
      </c>
      <c r="D1364" s="2" t="s">
        <v>25</v>
      </c>
      <c r="E1364" s="2" t="s">
        <v>26</v>
      </c>
      <c r="F1364" s="2" t="s">
        <v>14</v>
      </c>
      <c r="G1364" s="2" t="s">
        <v>27</v>
      </c>
      <c r="H1364" s="2">
        <v>2</v>
      </c>
      <c r="I1364" s="4">
        <v>58.58</v>
      </c>
      <c r="J1364" s="2" t="s">
        <v>16</v>
      </c>
      <c r="K1364">
        <f>H1364*I1364</f>
        <v>117.16</v>
      </c>
      <c r="L1364" t="str">
        <f t="shared" si="42"/>
        <v>Sep</v>
      </c>
      <c r="M1364">
        <f t="shared" si="43"/>
        <v>9</v>
      </c>
    </row>
    <row r="1365" spans="1:13" x14ac:dyDescent="0.25">
      <c r="A1365" s="2" t="s">
        <v>1438</v>
      </c>
      <c r="B1365" s="3">
        <v>45916</v>
      </c>
      <c r="C1365" s="2" t="s">
        <v>42</v>
      </c>
      <c r="D1365" s="2" t="s">
        <v>43</v>
      </c>
      <c r="E1365" s="2" t="s">
        <v>44</v>
      </c>
      <c r="F1365" s="2" t="s">
        <v>14</v>
      </c>
      <c r="G1365" s="2" t="s">
        <v>45</v>
      </c>
      <c r="H1365" s="2">
        <v>1</v>
      </c>
      <c r="I1365" s="4">
        <v>46.46</v>
      </c>
      <c r="J1365" s="2" t="s">
        <v>22</v>
      </c>
      <c r="K1365">
        <f>H1365*I1365</f>
        <v>46.46</v>
      </c>
      <c r="L1365" t="str">
        <f t="shared" si="42"/>
        <v>Sep</v>
      </c>
      <c r="M1365">
        <f t="shared" si="43"/>
        <v>9</v>
      </c>
    </row>
    <row r="1366" spans="1:13" x14ac:dyDescent="0.25">
      <c r="A1366" s="2" t="s">
        <v>1439</v>
      </c>
      <c r="B1366" s="3">
        <v>45917</v>
      </c>
      <c r="C1366" s="2" t="s">
        <v>11</v>
      </c>
      <c r="D1366" s="2" t="s">
        <v>12</v>
      </c>
      <c r="E1366" s="2" t="s">
        <v>13</v>
      </c>
      <c r="F1366" s="2" t="s">
        <v>14</v>
      </c>
      <c r="G1366" s="2" t="s">
        <v>15</v>
      </c>
      <c r="H1366" s="2">
        <v>1</v>
      </c>
      <c r="I1366" s="4">
        <v>32.32</v>
      </c>
      <c r="J1366" s="2" t="s">
        <v>22</v>
      </c>
      <c r="K1366">
        <f>H1366*I1366</f>
        <v>32.32</v>
      </c>
      <c r="L1366" t="str">
        <f t="shared" si="42"/>
        <v>Sep</v>
      </c>
      <c r="M1366">
        <f t="shared" si="43"/>
        <v>9</v>
      </c>
    </row>
    <row r="1367" spans="1:13" x14ac:dyDescent="0.25">
      <c r="A1367" s="2" t="s">
        <v>1440</v>
      </c>
      <c r="B1367" s="3">
        <v>45917</v>
      </c>
      <c r="C1367" s="2" t="s">
        <v>11</v>
      </c>
      <c r="D1367" s="2" t="s">
        <v>12</v>
      </c>
      <c r="E1367" s="2" t="s">
        <v>13</v>
      </c>
      <c r="F1367" s="2" t="s">
        <v>14</v>
      </c>
      <c r="G1367" s="2" t="s">
        <v>15</v>
      </c>
      <c r="H1367" s="2">
        <v>2</v>
      </c>
      <c r="I1367" s="4">
        <v>32.32</v>
      </c>
      <c r="J1367" s="2" t="s">
        <v>31</v>
      </c>
      <c r="K1367">
        <f>H1367*I1367</f>
        <v>64.64</v>
      </c>
      <c r="L1367" t="str">
        <f t="shared" si="42"/>
        <v>Sep</v>
      </c>
      <c r="M1367">
        <f t="shared" si="43"/>
        <v>9</v>
      </c>
    </row>
    <row r="1368" spans="1:13" x14ac:dyDescent="0.25">
      <c r="A1368" s="2" t="s">
        <v>1441</v>
      </c>
      <c r="B1368" s="3">
        <v>45917</v>
      </c>
      <c r="C1368" s="2" t="s">
        <v>11</v>
      </c>
      <c r="D1368" s="2" t="s">
        <v>12</v>
      </c>
      <c r="E1368" s="2" t="s">
        <v>13</v>
      </c>
      <c r="F1368" s="2" t="s">
        <v>14</v>
      </c>
      <c r="G1368" s="2" t="s">
        <v>15</v>
      </c>
      <c r="H1368" s="2">
        <v>1</v>
      </c>
      <c r="I1368" s="4">
        <v>32.32</v>
      </c>
      <c r="J1368" s="2" t="s">
        <v>16</v>
      </c>
      <c r="K1368">
        <f>H1368*I1368</f>
        <v>32.32</v>
      </c>
      <c r="L1368" t="str">
        <f t="shared" si="42"/>
        <v>Sep</v>
      </c>
      <c r="M1368">
        <f t="shared" si="43"/>
        <v>9</v>
      </c>
    </row>
    <row r="1369" spans="1:13" x14ac:dyDescent="0.25">
      <c r="A1369" s="2" t="s">
        <v>1442</v>
      </c>
      <c r="B1369" s="3">
        <v>45917</v>
      </c>
      <c r="C1369" s="2" t="s">
        <v>25</v>
      </c>
      <c r="D1369" s="2" t="s">
        <v>25</v>
      </c>
      <c r="E1369" s="2" t="s">
        <v>26</v>
      </c>
      <c r="F1369" s="2" t="s">
        <v>20</v>
      </c>
      <c r="G1369" s="2" t="s">
        <v>21</v>
      </c>
      <c r="H1369" s="2">
        <v>1</v>
      </c>
      <c r="I1369" s="4">
        <v>20.2</v>
      </c>
      <c r="J1369" s="2" t="s">
        <v>16</v>
      </c>
      <c r="K1369">
        <f>H1369*I1369</f>
        <v>20.2</v>
      </c>
      <c r="L1369" t="str">
        <f t="shared" si="42"/>
        <v>Sep</v>
      </c>
      <c r="M1369">
        <f t="shared" si="43"/>
        <v>9</v>
      </c>
    </row>
    <row r="1370" spans="1:13" x14ac:dyDescent="0.25">
      <c r="A1370" s="2" t="s">
        <v>1443</v>
      </c>
      <c r="B1370" s="3">
        <v>45917</v>
      </c>
      <c r="C1370" s="2" t="s">
        <v>60</v>
      </c>
      <c r="D1370" s="2" t="s">
        <v>61</v>
      </c>
      <c r="E1370" s="2" t="s">
        <v>62</v>
      </c>
      <c r="F1370" s="2" t="s">
        <v>14</v>
      </c>
      <c r="G1370" s="2" t="s">
        <v>63</v>
      </c>
      <c r="H1370" s="2">
        <v>1</v>
      </c>
      <c r="I1370" s="4">
        <v>26</v>
      </c>
      <c r="J1370" s="2" t="s">
        <v>16</v>
      </c>
      <c r="K1370">
        <f>H1370*I1370</f>
        <v>26</v>
      </c>
      <c r="L1370" t="str">
        <f t="shared" si="42"/>
        <v>Sep</v>
      </c>
      <c r="M1370">
        <f t="shared" si="43"/>
        <v>9</v>
      </c>
    </row>
    <row r="1371" spans="1:13" x14ac:dyDescent="0.25">
      <c r="A1371" s="2" t="s">
        <v>1444</v>
      </c>
      <c r="B1371" s="3">
        <v>45917</v>
      </c>
      <c r="C1371" s="2" t="s">
        <v>61</v>
      </c>
      <c r="D1371" s="2" t="s">
        <v>61</v>
      </c>
      <c r="E1371" s="2" t="s">
        <v>62</v>
      </c>
      <c r="F1371" s="2" t="s">
        <v>20</v>
      </c>
      <c r="G1371" s="2" t="s">
        <v>21</v>
      </c>
      <c r="H1371" s="2">
        <v>2</v>
      </c>
      <c r="I1371" s="4">
        <v>8</v>
      </c>
      <c r="J1371" s="2" t="s">
        <v>16</v>
      </c>
      <c r="K1371">
        <f>H1371*I1371</f>
        <v>16</v>
      </c>
      <c r="L1371" t="str">
        <f t="shared" si="42"/>
        <v>Sep</v>
      </c>
      <c r="M1371">
        <f t="shared" si="43"/>
        <v>9</v>
      </c>
    </row>
    <row r="1372" spans="1:13" x14ac:dyDescent="0.25">
      <c r="A1372" s="2" t="s">
        <v>1445</v>
      </c>
      <c r="B1372" s="3">
        <v>45917</v>
      </c>
      <c r="C1372" s="2" t="s">
        <v>52</v>
      </c>
      <c r="D1372" s="2" t="s">
        <v>30</v>
      </c>
      <c r="E1372" s="2" t="s">
        <v>13</v>
      </c>
      <c r="F1372" s="2" t="s">
        <v>14</v>
      </c>
      <c r="G1372" s="2" t="s">
        <v>53</v>
      </c>
      <c r="H1372" s="2">
        <v>3</v>
      </c>
      <c r="I1372" s="4">
        <v>42.42</v>
      </c>
      <c r="J1372" s="2" t="s">
        <v>16</v>
      </c>
      <c r="K1372">
        <f>H1372*I1372</f>
        <v>127.26</v>
      </c>
      <c r="L1372" t="str">
        <f t="shared" si="42"/>
        <v>Sep</v>
      </c>
      <c r="M1372">
        <f t="shared" si="43"/>
        <v>9</v>
      </c>
    </row>
    <row r="1373" spans="1:13" x14ac:dyDescent="0.25">
      <c r="A1373" s="2" t="s">
        <v>1446</v>
      </c>
      <c r="B1373" s="3">
        <v>45918</v>
      </c>
      <c r="C1373" s="2" t="s">
        <v>86</v>
      </c>
      <c r="D1373" s="2" t="s">
        <v>48</v>
      </c>
      <c r="E1373" s="2" t="s">
        <v>49</v>
      </c>
      <c r="F1373" s="2" t="s">
        <v>14</v>
      </c>
      <c r="G1373" s="2" t="s">
        <v>87</v>
      </c>
      <c r="H1373" s="2">
        <v>1</v>
      </c>
      <c r="I1373" s="4">
        <v>126.25</v>
      </c>
      <c r="J1373" s="2" t="s">
        <v>16</v>
      </c>
      <c r="K1373">
        <f>H1373*I1373</f>
        <v>126.25</v>
      </c>
      <c r="L1373" t="str">
        <f t="shared" si="42"/>
        <v>Sep</v>
      </c>
      <c r="M1373">
        <f t="shared" si="43"/>
        <v>9</v>
      </c>
    </row>
    <row r="1374" spans="1:13" x14ac:dyDescent="0.25">
      <c r="A1374" s="2" t="s">
        <v>1447</v>
      </c>
      <c r="B1374" s="3">
        <v>45918</v>
      </c>
      <c r="C1374" s="2" t="s">
        <v>74</v>
      </c>
      <c r="D1374" s="2" t="s">
        <v>75</v>
      </c>
      <c r="E1374" s="2" t="s">
        <v>76</v>
      </c>
      <c r="F1374" s="2" t="s">
        <v>14</v>
      </c>
      <c r="G1374" s="2" t="s">
        <v>77</v>
      </c>
      <c r="H1374" s="2">
        <v>3</v>
      </c>
      <c r="I1374" s="4">
        <v>32.32</v>
      </c>
      <c r="J1374" s="2" t="s">
        <v>31</v>
      </c>
      <c r="K1374">
        <f>H1374*I1374</f>
        <v>96.960000000000008</v>
      </c>
      <c r="L1374" t="str">
        <f t="shared" si="42"/>
        <v>Sep</v>
      </c>
      <c r="M1374">
        <f t="shared" si="43"/>
        <v>9</v>
      </c>
    </row>
    <row r="1375" spans="1:13" x14ac:dyDescent="0.25">
      <c r="A1375" s="2" t="s">
        <v>1448</v>
      </c>
      <c r="B1375" s="3">
        <v>45918</v>
      </c>
      <c r="C1375" s="2" t="s">
        <v>74</v>
      </c>
      <c r="D1375" s="2" t="s">
        <v>75</v>
      </c>
      <c r="E1375" s="2" t="s">
        <v>76</v>
      </c>
      <c r="F1375" s="2" t="s">
        <v>14</v>
      </c>
      <c r="G1375" s="2" t="s">
        <v>77</v>
      </c>
      <c r="H1375" s="2">
        <v>1</v>
      </c>
      <c r="I1375" s="4">
        <v>32.32</v>
      </c>
      <c r="J1375" s="2" t="s">
        <v>16</v>
      </c>
      <c r="K1375">
        <f>H1375*I1375</f>
        <v>32.32</v>
      </c>
      <c r="L1375" t="str">
        <f t="shared" si="42"/>
        <v>Sep</v>
      </c>
      <c r="M1375">
        <f t="shared" si="43"/>
        <v>9</v>
      </c>
    </row>
    <row r="1376" spans="1:13" x14ac:dyDescent="0.25">
      <c r="A1376" s="2" t="s">
        <v>1449</v>
      </c>
      <c r="B1376" s="3">
        <v>45918</v>
      </c>
      <c r="C1376" s="2" t="s">
        <v>119</v>
      </c>
      <c r="D1376" s="2" t="s">
        <v>120</v>
      </c>
      <c r="E1376" s="2" t="s">
        <v>76</v>
      </c>
      <c r="F1376" s="2" t="s">
        <v>14</v>
      </c>
      <c r="G1376" s="2" t="s">
        <v>121</v>
      </c>
      <c r="H1376" s="2">
        <v>1</v>
      </c>
      <c r="I1376" s="4">
        <v>191.9</v>
      </c>
      <c r="J1376" s="2" t="s">
        <v>38</v>
      </c>
      <c r="K1376">
        <f>H1376*I1376</f>
        <v>191.9</v>
      </c>
      <c r="L1376" t="str">
        <f t="shared" si="42"/>
        <v>Sep</v>
      </c>
      <c r="M1376">
        <f t="shared" si="43"/>
        <v>9</v>
      </c>
    </row>
    <row r="1377" spans="1:13" x14ac:dyDescent="0.25">
      <c r="A1377" s="2" t="s">
        <v>1450</v>
      </c>
      <c r="B1377" s="3">
        <v>45918</v>
      </c>
      <c r="C1377" s="2" t="s">
        <v>102</v>
      </c>
      <c r="D1377" s="2" t="s">
        <v>102</v>
      </c>
      <c r="E1377" s="2" t="s">
        <v>36</v>
      </c>
      <c r="F1377" s="2" t="s">
        <v>20</v>
      </c>
      <c r="G1377" s="2" t="s">
        <v>21</v>
      </c>
      <c r="H1377" s="2">
        <v>2</v>
      </c>
      <c r="I1377" s="4">
        <v>35.35</v>
      </c>
      <c r="J1377" s="2" t="s">
        <v>16</v>
      </c>
      <c r="K1377">
        <f>H1377*I1377</f>
        <v>70.7</v>
      </c>
      <c r="L1377" t="str">
        <f t="shared" si="42"/>
        <v>Sep</v>
      </c>
      <c r="M1377">
        <f t="shared" si="43"/>
        <v>9</v>
      </c>
    </row>
    <row r="1378" spans="1:13" x14ac:dyDescent="0.25">
      <c r="A1378" s="2" t="s">
        <v>1451</v>
      </c>
      <c r="B1378" s="3">
        <v>45918</v>
      </c>
      <c r="C1378" s="2" t="s">
        <v>34</v>
      </c>
      <c r="D1378" s="2" t="s">
        <v>35</v>
      </c>
      <c r="E1378" s="2" t="s">
        <v>36</v>
      </c>
      <c r="F1378" s="2" t="s">
        <v>14</v>
      </c>
      <c r="G1378" s="2" t="s">
        <v>37</v>
      </c>
      <c r="H1378" s="2">
        <v>3</v>
      </c>
      <c r="I1378" s="4">
        <v>165</v>
      </c>
      <c r="J1378" s="2" t="s">
        <v>16</v>
      </c>
      <c r="K1378">
        <f>H1378*I1378</f>
        <v>495</v>
      </c>
      <c r="L1378" t="str">
        <f t="shared" si="42"/>
        <v>Sep</v>
      </c>
      <c r="M1378">
        <f t="shared" si="43"/>
        <v>9</v>
      </c>
    </row>
    <row r="1379" spans="1:13" x14ac:dyDescent="0.25">
      <c r="A1379" s="2" t="s">
        <v>1452</v>
      </c>
      <c r="B1379" s="3">
        <v>45918</v>
      </c>
      <c r="C1379" s="2" t="s">
        <v>24</v>
      </c>
      <c r="D1379" s="2" t="s">
        <v>25</v>
      </c>
      <c r="E1379" s="2" t="s">
        <v>26</v>
      </c>
      <c r="F1379" s="2" t="s">
        <v>14</v>
      </c>
      <c r="G1379" s="2" t="s">
        <v>27</v>
      </c>
      <c r="H1379" s="2">
        <v>3</v>
      </c>
      <c r="I1379" s="4">
        <v>58.58</v>
      </c>
      <c r="J1379" s="2" t="s">
        <v>22</v>
      </c>
      <c r="K1379">
        <f>H1379*I1379</f>
        <v>175.74</v>
      </c>
      <c r="L1379" t="str">
        <f t="shared" si="42"/>
        <v>Sep</v>
      </c>
      <c r="M1379">
        <f t="shared" si="43"/>
        <v>9</v>
      </c>
    </row>
    <row r="1380" spans="1:13" x14ac:dyDescent="0.25">
      <c r="A1380" s="2" t="s">
        <v>1453</v>
      </c>
      <c r="B1380" s="3">
        <v>45918</v>
      </c>
      <c r="C1380" s="2" t="s">
        <v>52</v>
      </c>
      <c r="D1380" s="2" t="s">
        <v>30</v>
      </c>
      <c r="E1380" s="2" t="s">
        <v>13</v>
      </c>
      <c r="F1380" s="2" t="s">
        <v>14</v>
      </c>
      <c r="G1380" s="2" t="s">
        <v>53</v>
      </c>
      <c r="H1380" s="2">
        <v>4</v>
      </c>
      <c r="I1380" s="4">
        <v>42.42</v>
      </c>
      <c r="J1380" s="2" t="s">
        <v>31</v>
      </c>
      <c r="K1380">
        <f>H1380*I1380</f>
        <v>169.68</v>
      </c>
      <c r="L1380" t="str">
        <f t="shared" si="42"/>
        <v>Sep</v>
      </c>
      <c r="M1380">
        <f t="shared" si="43"/>
        <v>9</v>
      </c>
    </row>
    <row r="1381" spans="1:13" x14ac:dyDescent="0.25">
      <c r="A1381" s="2" t="s">
        <v>1454</v>
      </c>
      <c r="B1381" s="3">
        <v>45918</v>
      </c>
      <c r="C1381" s="2" t="s">
        <v>52</v>
      </c>
      <c r="D1381" s="2" t="s">
        <v>30</v>
      </c>
      <c r="E1381" s="2" t="s">
        <v>13</v>
      </c>
      <c r="F1381" s="2" t="s">
        <v>14</v>
      </c>
      <c r="G1381" s="2" t="s">
        <v>53</v>
      </c>
      <c r="H1381" s="2">
        <v>5</v>
      </c>
      <c r="I1381" s="4">
        <v>42.42</v>
      </c>
      <c r="J1381" s="2" t="s">
        <v>16</v>
      </c>
      <c r="K1381">
        <f>H1381*I1381</f>
        <v>212.10000000000002</v>
      </c>
      <c r="L1381" t="str">
        <f t="shared" si="42"/>
        <v>Sep</v>
      </c>
      <c r="M1381">
        <f t="shared" si="43"/>
        <v>9</v>
      </c>
    </row>
    <row r="1382" spans="1:13" x14ac:dyDescent="0.25">
      <c r="A1382" s="2" t="s">
        <v>1455</v>
      </c>
      <c r="B1382" s="3">
        <v>45918</v>
      </c>
      <c r="C1382" s="2" t="s">
        <v>52</v>
      </c>
      <c r="D1382" s="2" t="s">
        <v>30</v>
      </c>
      <c r="E1382" s="2" t="s">
        <v>13</v>
      </c>
      <c r="F1382" s="2" t="s">
        <v>14</v>
      </c>
      <c r="G1382" s="2" t="s">
        <v>53</v>
      </c>
      <c r="H1382" s="2">
        <v>3</v>
      </c>
      <c r="I1382" s="4">
        <v>42.42</v>
      </c>
      <c r="J1382" s="2" t="s">
        <v>16</v>
      </c>
      <c r="K1382">
        <f>H1382*I1382</f>
        <v>127.26</v>
      </c>
      <c r="L1382" t="str">
        <f t="shared" si="42"/>
        <v>Sep</v>
      </c>
      <c r="M1382">
        <f t="shared" si="43"/>
        <v>9</v>
      </c>
    </row>
    <row r="1383" spans="1:13" x14ac:dyDescent="0.25">
      <c r="A1383" s="2" t="s">
        <v>1456</v>
      </c>
      <c r="B1383" s="3">
        <v>45918</v>
      </c>
      <c r="C1383" s="2" t="s">
        <v>109</v>
      </c>
      <c r="D1383" s="2" t="s">
        <v>109</v>
      </c>
      <c r="E1383" s="2" t="s">
        <v>13</v>
      </c>
      <c r="F1383" s="2" t="s">
        <v>20</v>
      </c>
      <c r="G1383" s="2" t="s">
        <v>21</v>
      </c>
      <c r="H1383" s="2">
        <v>1</v>
      </c>
      <c r="I1383" s="4">
        <v>20</v>
      </c>
      <c r="J1383" s="2" t="s">
        <v>31</v>
      </c>
      <c r="K1383">
        <f>H1383*I1383</f>
        <v>20</v>
      </c>
      <c r="L1383" t="str">
        <f t="shared" si="42"/>
        <v>Sep</v>
      </c>
      <c r="M1383">
        <f t="shared" si="43"/>
        <v>9</v>
      </c>
    </row>
    <row r="1384" spans="1:13" x14ac:dyDescent="0.25">
      <c r="A1384" s="2" t="s">
        <v>1457</v>
      </c>
      <c r="B1384" s="3">
        <v>45919</v>
      </c>
      <c r="C1384" s="2" t="s">
        <v>11</v>
      </c>
      <c r="D1384" s="2" t="s">
        <v>12</v>
      </c>
      <c r="E1384" s="2" t="s">
        <v>13</v>
      </c>
      <c r="F1384" s="2" t="s">
        <v>14</v>
      </c>
      <c r="G1384" s="2" t="s">
        <v>15</v>
      </c>
      <c r="H1384" s="2">
        <v>1</v>
      </c>
      <c r="I1384" s="4">
        <v>32.32</v>
      </c>
      <c r="J1384" s="2" t="s">
        <v>16</v>
      </c>
      <c r="K1384">
        <f>H1384*I1384</f>
        <v>32.32</v>
      </c>
      <c r="L1384" t="str">
        <f t="shared" si="42"/>
        <v>Sep</v>
      </c>
      <c r="M1384">
        <f t="shared" si="43"/>
        <v>9</v>
      </c>
    </row>
    <row r="1385" spans="1:13" x14ac:dyDescent="0.25">
      <c r="A1385" s="2" t="s">
        <v>1458</v>
      </c>
      <c r="B1385" s="3">
        <v>45919</v>
      </c>
      <c r="C1385" s="2" t="s">
        <v>79</v>
      </c>
      <c r="D1385" s="2" t="s">
        <v>80</v>
      </c>
      <c r="E1385" s="2" t="s">
        <v>26</v>
      </c>
      <c r="F1385" s="2" t="s">
        <v>14</v>
      </c>
      <c r="G1385" s="2" t="s">
        <v>81</v>
      </c>
      <c r="H1385" s="2">
        <v>5</v>
      </c>
      <c r="I1385" s="4">
        <v>153.52000000000001</v>
      </c>
      <c r="J1385" s="2" t="s">
        <v>38</v>
      </c>
      <c r="K1385">
        <f>H1385*I1385</f>
        <v>767.6</v>
      </c>
      <c r="L1385" t="str">
        <f t="shared" si="42"/>
        <v>Sep</v>
      </c>
      <c r="M1385">
        <f t="shared" si="43"/>
        <v>9</v>
      </c>
    </row>
    <row r="1386" spans="1:13" x14ac:dyDescent="0.25">
      <c r="A1386" s="2" t="s">
        <v>1459</v>
      </c>
      <c r="B1386" s="3">
        <v>45919</v>
      </c>
      <c r="C1386" s="2" t="s">
        <v>30</v>
      </c>
      <c r="D1386" s="2" t="s">
        <v>30</v>
      </c>
      <c r="E1386" s="2" t="s">
        <v>13</v>
      </c>
      <c r="F1386" s="2" t="s">
        <v>20</v>
      </c>
      <c r="G1386" s="2" t="s">
        <v>21</v>
      </c>
      <c r="H1386" s="2">
        <v>2</v>
      </c>
      <c r="I1386" s="4">
        <v>15.15</v>
      </c>
      <c r="J1386" s="2" t="s">
        <v>38</v>
      </c>
      <c r="K1386">
        <f>H1386*I1386</f>
        <v>30.3</v>
      </c>
      <c r="L1386" t="str">
        <f t="shared" si="42"/>
        <v>Sep</v>
      </c>
      <c r="M1386">
        <f t="shared" si="43"/>
        <v>9</v>
      </c>
    </row>
    <row r="1387" spans="1:13" x14ac:dyDescent="0.25">
      <c r="A1387" s="2" t="s">
        <v>1460</v>
      </c>
      <c r="B1387" s="3">
        <v>45920</v>
      </c>
      <c r="C1387" s="2" t="s">
        <v>86</v>
      </c>
      <c r="D1387" s="2" t="s">
        <v>48</v>
      </c>
      <c r="E1387" s="2" t="s">
        <v>49</v>
      </c>
      <c r="F1387" s="2" t="s">
        <v>14</v>
      </c>
      <c r="G1387" s="2" t="s">
        <v>87</v>
      </c>
      <c r="H1387" s="2">
        <v>3</v>
      </c>
      <c r="I1387" s="4">
        <v>126.25</v>
      </c>
      <c r="J1387" s="2" t="s">
        <v>38</v>
      </c>
      <c r="K1387">
        <f>H1387*I1387</f>
        <v>378.75</v>
      </c>
      <c r="L1387" t="str">
        <f t="shared" si="42"/>
        <v>Sep</v>
      </c>
      <c r="M1387">
        <f t="shared" si="43"/>
        <v>9</v>
      </c>
    </row>
    <row r="1388" spans="1:13" x14ac:dyDescent="0.25">
      <c r="A1388" s="2" t="s">
        <v>1461</v>
      </c>
      <c r="B1388" s="3">
        <v>45920</v>
      </c>
      <c r="C1388" s="2" t="s">
        <v>48</v>
      </c>
      <c r="D1388" s="2" t="s">
        <v>48</v>
      </c>
      <c r="E1388" s="2" t="s">
        <v>49</v>
      </c>
      <c r="F1388" s="2" t="s">
        <v>20</v>
      </c>
      <c r="G1388" s="2" t="s">
        <v>21</v>
      </c>
      <c r="H1388" s="2">
        <v>3</v>
      </c>
      <c r="I1388" s="4">
        <v>55.55</v>
      </c>
      <c r="J1388" s="2" t="s">
        <v>16</v>
      </c>
      <c r="K1388">
        <f>H1388*I1388</f>
        <v>166.64999999999998</v>
      </c>
      <c r="L1388" t="str">
        <f t="shared" si="42"/>
        <v>Sep</v>
      </c>
      <c r="M1388">
        <f t="shared" si="43"/>
        <v>9</v>
      </c>
    </row>
    <row r="1389" spans="1:13" x14ac:dyDescent="0.25">
      <c r="A1389" s="2" t="s">
        <v>1462</v>
      </c>
      <c r="B1389" s="3">
        <v>45920</v>
      </c>
      <c r="C1389" s="2" t="s">
        <v>75</v>
      </c>
      <c r="D1389" s="2" t="s">
        <v>75</v>
      </c>
      <c r="E1389" s="2" t="s">
        <v>76</v>
      </c>
      <c r="F1389" s="2" t="s">
        <v>20</v>
      </c>
      <c r="G1389" s="2" t="s">
        <v>21</v>
      </c>
      <c r="H1389" s="2">
        <v>6</v>
      </c>
      <c r="I1389" s="4">
        <v>12.12</v>
      </c>
      <c r="J1389" s="2" t="s">
        <v>16</v>
      </c>
      <c r="K1389">
        <f>H1389*I1389</f>
        <v>72.72</v>
      </c>
      <c r="L1389" t="str">
        <f t="shared" si="42"/>
        <v>Sep</v>
      </c>
      <c r="M1389">
        <f t="shared" si="43"/>
        <v>9</v>
      </c>
    </row>
    <row r="1390" spans="1:13" x14ac:dyDescent="0.25">
      <c r="A1390" s="2" t="s">
        <v>1463</v>
      </c>
      <c r="B1390" s="3">
        <v>45920</v>
      </c>
      <c r="C1390" s="2" t="s">
        <v>124</v>
      </c>
      <c r="D1390" s="2" t="s">
        <v>18</v>
      </c>
      <c r="E1390" s="2" t="s">
        <v>19</v>
      </c>
      <c r="F1390" s="2" t="s">
        <v>14</v>
      </c>
      <c r="G1390" s="2" t="s">
        <v>125</v>
      </c>
      <c r="H1390" s="2">
        <v>3</v>
      </c>
      <c r="I1390" s="4">
        <v>45.45</v>
      </c>
      <c r="J1390" s="2" t="s">
        <v>31</v>
      </c>
      <c r="K1390">
        <f>H1390*I1390</f>
        <v>136.35000000000002</v>
      </c>
      <c r="L1390" t="str">
        <f t="shared" si="42"/>
        <v>Sep</v>
      </c>
      <c r="M1390">
        <f t="shared" si="43"/>
        <v>9</v>
      </c>
    </row>
    <row r="1391" spans="1:13" x14ac:dyDescent="0.25">
      <c r="A1391" s="2" t="s">
        <v>1464</v>
      </c>
      <c r="B1391" s="3">
        <v>45920</v>
      </c>
      <c r="C1391" s="2" t="s">
        <v>79</v>
      </c>
      <c r="D1391" s="2" t="s">
        <v>80</v>
      </c>
      <c r="E1391" s="2" t="s">
        <v>26</v>
      </c>
      <c r="F1391" s="2" t="s">
        <v>14</v>
      </c>
      <c r="G1391" s="2" t="s">
        <v>81</v>
      </c>
      <c r="H1391" s="2">
        <v>3</v>
      </c>
      <c r="I1391" s="4">
        <v>153.52000000000001</v>
      </c>
      <c r="J1391" s="2" t="s">
        <v>31</v>
      </c>
      <c r="K1391">
        <f>H1391*I1391</f>
        <v>460.56000000000006</v>
      </c>
      <c r="L1391" t="str">
        <f t="shared" si="42"/>
        <v>Sep</v>
      </c>
      <c r="M1391">
        <f t="shared" si="43"/>
        <v>9</v>
      </c>
    </row>
    <row r="1392" spans="1:13" x14ac:dyDescent="0.25">
      <c r="A1392" s="2" t="s">
        <v>1465</v>
      </c>
      <c r="B1392" s="3">
        <v>45920</v>
      </c>
      <c r="C1392" s="2" t="s">
        <v>60</v>
      </c>
      <c r="D1392" s="2" t="s">
        <v>61</v>
      </c>
      <c r="E1392" s="2" t="s">
        <v>62</v>
      </c>
      <c r="F1392" s="2" t="s">
        <v>14</v>
      </c>
      <c r="G1392" s="2" t="s">
        <v>63</v>
      </c>
      <c r="H1392" s="2">
        <v>2</v>
      </c>
      <c r="I1392" s="4">
        <v>26.26</v>
      </c>
      <c r="J1392" s="2" t="s">
        <v>16</v>
      </c>
      <c r="K1392">
        <f>H1392*I1392</f>
        <v>52.52</v>
      </c>
      <c r="L1392" t="str">
        <f t="shared" si="42"/>
        <v>Sep</v>
      </c>
      <c r="M1392">
        <f t="shared" si="43"/>
        <v>9</v>
      </c>
    </row>
    <row r="1393" spans="1:13" x14ac:dyDescent="0.25">
      <c r="A1393" s="2" t="s">
        <v>1466</v>
      </c>
      <c r="B1393" s="3">
        <v>45921</v>
      </c>
      <c r="C1393" s="2" t="s">
        <v>11</v>
      </c>
      <c r="D1393" s="2" t="s">
        <v>12</v>
      </c>
      <c r="E1393" s="2" t="s">
        <v>13</v>
      </c>
      <c r="F1393" s="2" t="s">
        <v>14</v>
      </c>
      <c r="G1393" s="2" t="s">
        <v>15</v>
      </c>
      <c r="H1393" s="2">
        <v>1</v>
      </c>
      <c r="I1393" s="4">
        <v>32</v>
      </c>
      <c r="J1393" s="2" t="s">
        <v>31</v>
      </c>
      <c r="K1393">
        <f>H1393*I1393</f>
        <v>32</v>
      </c>
      <c r="L1393" t="str">
        <f t="shared" si="42"/>
        <v>Sep</v>
      </c>
      <c r="M1393">
        <f t="shared" si="43"/>
        <v>9</v>
      </c>
    </row>
    <row r="1394" spans="1:13" x14ac:dyDescent="0.25">
      <c r="A1394" s="2" t="s">
        <v>1467</v>
      </c>
      <c r="B1394" s="3">
        <v>45921</v>
      </c>
      <c r="C1394" s="2" t="s">
        <v>75</v>
      </c>
      <c r="D1394" s="2" t="s">
        <v>75</v>
      </c>
      <c r="E1394" s="2" t="s">
        <v>76</v>
      </c>
      <c r="F1394" s="2" t="s">
        <v>20</v>
      </c>
      <c r="G1394" s="2" t="s">
        <v>21</v>
      </c>
      <c r="H1394" s="2">
        <v>6</v>
      </c>
      <c r="I1394" s="4">
        <v>12.12</v>
      </c>
      <c r="J1394" s="2" t="s">
        <v>31</v>
      </c>
      <c r="K1394">
        <f>H1394*I1394</f>
        <v>72.72</v>
      </c>
      <c r="L1394" t="str">
        <f t="shared" si="42"/>
        <v>Sep</v>
      </c>
      <c r="M1394">
        <f t="shared" si="43"/>
        <v>9</v>
      </c>
    </row>
    <row r="1395" spans="1:13" x14ac:dyDescent="0.25">
      <c r="A1395" s="2" t="s">
        <v>1468</v>
      </c>
      <c r="B1395" s="3">
        <v>45921</v>
      </c>
      <c r="C1395" s="2" t="s">
        <v>35</v>
      </c>
      <c r="D1395" s="2" t="s">
        <v>35</v>
      </c>
      <c r="E1395" s="2" t="s">
        <v>36</v>
      </c>
      <c r="F1395" s="2" t="s">
        <v>20</v>
      </c>
      <c r="G1395" s="2" t="s">
        <v>21</v>
      </c>
      <c r="H1395" s="2">
        <v>12</v>
      </c>
      <c r="I1395" s="4">
        <v>58.58</v>
      </c>
      <c r="J1395" s="2" t="s">
        <v>16</v>
      </c>
      <c r="K1395">
        <f>H1395*I1395</f>
        <v>702.96</v>
      </c>
      <c r="L1395" t="str">
        <f t="shared" si="42"/>
        <v>Sep</v>
      </c>
      <c r="M1395">
        <f t="shared" si="43"/>
        <v>9</v>
      </c>
    </row>
    <row r="1396" spans="1:13" x14ac:dyDescent="0.25">
      <c r="A1396" s="2" t="s">
        <v>1469</v>
      </c>
      <c r="B1396" s="3">
        <v>45921</v>
      </c>
      <c r="C1396" s="2" t="s">
        <v>60</v>
      </c>
      <c r="D1396" s="2" t="s">
        <v>61</v>
      </c>
      <c r="E1396" s="2" t="s">
        <v>62</v>
      </c>
      <c r="F1396" s="2" t="s">
        <v>14</v>
      </c>
      <c r="G1396" s="2" t="s">
        <v>63</v>
      </c>
      <c r="H1396" s="2">
        <v>3</v>
      </c>
      <c r="I1396" s="4">
        <v>26</v>
      </c>
      <c r="J1396" s="2" t="s">
        <v>31</v>
      </c>
      <c r="K1396">
        <f>H1396*I1396</f>
        <v>78</v>
      </c>
      <c r="L1396" t="str">
        <f t="shared" si="42"/>
        <v>Sep</v>
      </c>
      <c r="M1396">
        <f t="shared" si="43"/>
        <v>9</v>
      </c>
    </row>
    <row r="1397" spans="1:13" x14ac:dyDescent="0.25">
      <c r="A1397" s="2" t="s">
        <v>1470</v>
      </c>
      <c r="B1397" s="3">
        <v>45921</v>
      </c>
      <c r="C1397" s="2" t="s">
        <v>61</v>
      </c>
      <c r="D1397" s="2" t="s">
        <v>61</v>
      </c>
      <c r="E1397" s="2" t="s">
        <v>62</v>
      </c>
      <c r="F1397" s="2" t="s">
        <v>20</v>
      </c>
      <c r="G1397" s="2" t="s">
        <v>21</v>
      </c>
      <c r="H1397" s="2">
        <v>5</v>
      </c>
      <c r="I1397" s="4">
        <v>8</v>
      </c>
      <c r="J1397" s="2" t="s">
        <v>16</v>
      </c>
      <c r="K1397">
        <f>H1397*I1397</f>
        <v>40</v>
      </c>
      <c r="L1397" t="str">
        <f t="shared" si="42"/>
        <v>Sep</v>
      </c>
      <c r="M1397">
        <f t="shared" si="43"/>
        <v>9</v>
      </c>
    </row>
    <row r="1398" spans="1:13" x14ac:dyDescent="0.25">
      <c r="A1398" s="2" t="s">
        <v>1471</v>
      </c>
      <c r="B1398" s="3">
        <v>45922</v>
      </c>
      <c r="C1398" s="2" t="s">
        <v>11</v>
      </c>
      <c r="D1398" s="2" t="s">
        <v>12</v>
      </c>
      <c r="E1398" s="2" t="s">
        <v>13</v>
      </c>
      <c r="F1398" s="2" t="s">
        <v>14</v>
      </c>
      <c r="G1398" s="2" t="s">
        <v>15</v>
      </c>
      <c r="H1398" s="2">
        <v>1</v>
      </c>
      <c r="I1398" s="4">
        <v>32.32</v>
      </c>
      <c r="J1398" s="2" t="s">
        <v>16</v>
      </c>
      <c r="K1398">
        <f>H1398*I1398</f>
        <v>32.32</v>
      </c>
      <c r="L1398" t="str">
        <f t="shared" si="42"/>
        <v>Sep</v>
      </c>
      <c r="M1398">
        <f t="shared" si="43"/>
        <v>9</v>
      </c>
    </row>
    <row r="1399" spans="1:13" x14ac:dyDescent="0.25">
      <c r="A1399" s="2" t="s">
        <v>1472</v>
      </c>
      <c r="B1399" s="3">
        <v>45922</v>
      </c>
      <c r="C1399" s="2" t="s">
        <v>11</v>
      </c>
      <c r="D1399" s="2" t="s">
        <v>12</v>
      </c>
      <c r="E1399" s="2" t="s">
        <v>13</v>
      </c>
      <c r="F1399" s="2" t="s">
        <v>14</v>
      </c>
      <c r="G1399" s="2" t="s">
        <v>15</v>
      </c>
      <c r="H1399" s="2">
        <v>5</v>
      </c>
      <c r="I1399" s="4">
        <v>32.32</v>
      </c>
      <c r="J1399" s="2" t="s">
        <v>31</v>
      </c>
      <c r="K1399">
        <f>H1399*I1399</f>
        <v>161.6</v>
      </c>
      <c r="L1399" t="str">
        <f t="shared" si="42"/>
        <v>Sep</v>
      </c>
      <c r="M1399">
        <f t="shared" si="43"/>
        <v>9</v>
      </c>
    </row>
    <row r="1400" spans="1:13" x14ac:dyDescent="0.25">
      <c r="A1400" s="2" t="s">
        <v>1473</v>
      </c>
      <c r="B1400" s="3">
        <v>45922</v>
      </c>
      <c r="C1400" s="2" t="s">
        <v>12</v>
      </c>
      <c r="D1400" s="2" t="s">
        <v>12</v>
      </c>
      <c r="E1400" s="2" t="s">
        <v>13</v>
      </c>
      <c r="F1400" s="2" t="s">
        <v>20</v>
      </c>
      <c r="G1400" s="2" t="s">
        <v>21</v>
      </c>
      <c r="H1400" s="2">
        <v>5</v>
      </c>
      <c r="I1400" s="4">
        <v>14.14</v>
      </c>
      <c r="J1400" s="2" t="s">
        <v>31</v>
      </c>
      <c r="K1400">
        <f>H1400*I1400</f>
        <v>70.7</v>
      </c>
      <c r="L1400" t="str">
        <f t="shared" si="42"/>
        <v>Sep</v>
      </c>
      <c r="M1400">
        <f t="shared" si="43"/>
        <v>9</v>
      </c>
    </row>
    <row r="1401" spans="1:13" x14ac:dyDescent="0.25">
      <c r="A1401" s="2" t="s">
        <v>1474</v>
      </c>
      <c r="B1401" s="3">
        <v>45922</v>
      </c>
      <c r="C1401" s="2" t="s">
        <v>48</v>
      </c>
      <c r="D1401" s="2" t="s">
        <v>48</v>
      </c>
      <c r="E1401" s="2" t="s">
        <v>49</v>
      </c>
      <c r="F1401" s="2" t="s">
        <v>20</v>
      </c>
      <c r="G1401" s="2" t="s">
        <v>21</v>
      </c>
      <c r="H1401" s="2">
        <v>2</v>
      </c>
      <c r="I1401" s="4">
        <v>55.55</v>
      </c>
      <c r="J1401" s="2" t="s">
        <v>38</v>
      </c>
      <c r="K1401">
        <f>H1401*I1401</f>
        <v>111.1</v>
      </c>
      <c r="L1401" t="str">
        <f t="shared" si="42"/>
        <v>Sep</v>
      </c>
      <c r="M1401">
        <f t="shared" si="43"/>
        <v>9</v>
      </c>
    </row>
    <row r="1402" spans="1:13" x14ac:dyDescent="0.25">
      <c r="A1402" s="2" t="s">
        <v>1475</v>
      </c>
      <c r="B1402" s="3">
        <v>45922</v>
      </c>
      <c r="C1402" s="2" t="s">
        <v>74</v>
      </c>
      <c r="D1402" s="2" t="s">
        <v>75</v>
      </c>
      <c r="E1402" s="2" t="s">
        <v>76</v>
      </c>
      <c r="F1402" s="2" t="s">
        <v>14</v>
      </c>
      <c r="G1402" s="2" t="s">
        <v>77</v>
      </c>
      <c r="H1402" s="2">
        <v>3</v>
      </c>
      <c r="I1402" s="4">
        <v>32.32</v>
      </c>
      <c r="J1402" s="2" t="s">
        <v>16</v>
      </c>
      <c r="K1402">
        <f>H1402*I1402</f>
        <v>96.960000000000008</v>
      </c>
      <c r="L1402" t="str">
        <f t="shared" si="42"/>
        <v>Sep</v>
      </c>
      <c r="M1402">
        <f t="shared" si="43"/>
        <v>9</v>
      </c>
    </row>
    <row r="1403" spans="1:13" x14ac:dyDescent="0.25">
      <c r="A1403" s="2" t="s">
        <v>1476</v>
      </c>
      <c r="B1403" s="3">
        <v>45922</v>
      </c>
      <c r="C1403" s="2" t="s">
        <v>60</v>
      </c>
      <c r="D1403" s="2" t="s">
        <v>61</v>
      </c>
      <c r="E1403" s="2" t="s">
        <v>62</v>
      </c>
      <c r="F1403" s="2" t="s">
        <v>14</v>
      </c>
      <c r="G1403" s="2" t="s">
        <v>63</v>
      </c>
      <c r="H1403" s="2">
        <v>5</v>
      </c>
      <c r="I1403" s="4">
        <v>26.26</v>
      </c>
      <c r="J1403" s="2" t="s">
        <v>16</v>
      </c>
      <c r="K1403">
        <f>H1403*I1403</f>
        <v>131.30000000000001</v>
      </c>
      <c r="L1403" t="str">
        <f t="shared" si="42"/>
        <v>Sep</v>
      </c>
      <c r="M1403">
        <f t="shared" si="43"/>
        <v>9</v>
      </c>
    </row>
    <row r="1404" spans="1:13" x14ac:dyDescent="0.25">
      <c r="A1404" s="2" t="s">
        <v>1477</v>
      </c>
      <c r="B1404" s="3">
        <v>45922</v>
      </c>
      <c r="C1404" s="2" t="s">
        <v>194</v>
      </c>
      <c r="D1404" s="2" t="s">
        <v>98</v>
      </c>
      <c r="E1404" s="2" t="s">
        <v>99</v>
      </c>
      <c r="F1404" s="2" t="s">
        <v>20</v>
      </c>
      <c r="G1404" s="2" t="s">
        <v>21</v>
      </c>
      <c r="H1404" s="2">
        <v>2</v>
      </c>
      <c r="I1404" s="4">
        <v>70.7</v>
      </c>
      <c r="J1404" s="2" t="s">
        <v>22</v>
      </c>
      <c r="K1404">
        <f>H1404*I1404</f>
        <v>141.4</v>
      </c>
      <c r="L1404" t="str">
        <f t="shared" si="42"/>
        <v>Sep</v>
      </c>
      <c r="M1404">
        <f t="shared" si="43"/>
        <v>9</v>
      </c>
    </row>
    <row r="1405" spans="1:13" x14ac:dyDescent="0.25">
      <c r="A1405" s="2" t="s">
        <v>1478</v>
      </c>
      <c r="B1405" s="3">
        <v>45923</v>
      </c>
      <c r="C1405" s="2" t="s">
        <v>86</v>
      </c>
      <c r="D1405" s="2" t="s">
        <v>48</v>
      </c>
      <c r="E1405" s="2" t="s">
        <v>49</v>
      </c>
      <c r="F1405" s="2" t="s">
        <v>14</v>
      </c>
      <c r="G1405" s="2" t="s">
        <v>87</v>
      </c>
      <c r="H1405" s="2">
        <v>5</v>
      </c>
      <c r="I1405" s="4">
        <v>126.25</v>
      </c>
      <c r="J1405" s="2" t="s">
        <v>22</v>
      </c>
      <c r="K1405">
        <f>H1405*I1405</f>
        <v>631.25</v>
      </c>
      <c r="L1405" t="str">
        <f t="shared" si="42"/>
        <v>Sep</v>
      </c>
      <c r="M1405">
        <f t="shared" si="43"/>
        <v>9</v>
      </c>
    </row>
    <row r="1406" spans="1:13" x14ac:dyDescent="0.25">
      <c r="A1406" s="2" t="s">
        <v>1479</v>
      </c>
      <c r="B1406" s="3">
        <v>45923</v>
      </c>
      <c r="C1406" s="2" t="s">
        <v>72</v>
      </c>
      <c r="D1406" s="2" t="s">
        <v>68</v>
      </c>
      <c r="E1406" s="2" t="s">
        <v>49</v>
      </c>
      <c r="F1406" s="2" t="s">
        <v>20</v>
      </c>
      <c r="G1406" s="2" t="s">
        <v>21</v>
      </c>
      <c r="H1406" s="2">
        <v>1</v>
      </c>
      <c r="I1406" s="4">
        <v>95</v>
      </c>
      <c r="J1406" s="2" t="s">
        <v>16</v>
      </c>
      <c r="K1406">
        <f>H1406*I1406</f>
        <v>95</v>
      </c>
      <c r="L1406" t="str">
        <f t="shared" si="42"/>
        <v>Sep</v>
      </c>
      <c r="M1406">
        <f t="shared" si="43"/>
        <v>9</v>
      </c>
    </row>
    <row r="1407" spans="1:13" x14ac:dyDescent="0.25">
      <c r="A1407" s="2" t="s">
        <v>1480</v>
      </c>
      <c r="B1407" s="3">
        <v>45923</v>
      </c>
      <c r="C1407" s="2" t="s">
        <v>119</v>
      </c>
      <c r="D1407" s="2" t="s">
        <v>120</v>
      </c>
      <c r="E1407" s="2" t="s">
        <v>76</v>
      </c>
      <c r="F1407" s="2" t="s">
        <v>14</v>
      </c>
      <c r="G1407" s="2" t="s">
        <v>121</v>
      </c>
      <c r="H1407" s="2">
        <v>6</v>
      </c>
      <c r="I1407" s="4">
        <v>190</v>
      </c>
      <c r="J1407" s="2" t="s">
        <v>16</v>
      </c>
      <c r="K1407">
        <f>H1407*I1407</f>
        <v>1140</v>
      </c>
      <c r="L1407" t="str">
        <f t="shared" si="42"/>
        <v>Sep</v>
      </c>
      <c r="M1407">
        <f t="shared" si="43"/>
        <v>9</v>
      </c>
    </row>
    <row r="1408" spans="1:13" x14ac:dyDescent="0.25">
      <c r="A1408" s="2" t="s">
        <v>1481</v>
      </c>
      <c r="B1408" s="3">
        <v>45923</v>
      </c>
      <c r="C1408" s="2" t="s">
        <v>101</v>
      </c>
      <c r="D1408" s="2" t="s">
        <v>102</v>
      </c>
      <c r="E1408" s="2" t="s">
        <v>36</v>
      </c>
      <c r="F1408" s="2" t="s">
        <v>14</v>
      </c>
      <c r="G1408" s="2" t="s">
        <v>103</v>
      </c>
      <c r="H1408" s="2">
        <v>3</v>
      </c>
      <c r="I1408" s="4">
        <v>92.92</v>
      </c>
      <c r="J1408" s="2" t="s">
        <v>38</v>
      </c>
      <c r="K1408">
        <f>H1408*I1408</f>
        <v>278.76</v>
      </c>
      <c r="L1408" t="str">
        <f t="shared" si="42"/>
        <v>Sep</v>
      </c>
      <c r="M1408">
        <f t="shared" si="43"/>
        <v>9</v>
      </c>
    </row>
    <row r="1409" spans="1:13" x14ac:dyDescent="0.25">
      <c r="A1409" s="2" t="s">
        <v>1482</v>
      </c>
      <c r="B1409" s="3">
        <v>45923</v>
      </c>
      <c r="C1409" s="2" t="s">
        <v>34</v>
      </c>
      <c r="D1409" s="2" t="s">
        <v>35</v>
      </c>
      <c r="E1409" s="2" t="s">
        <v>36</v>
      </c>
      <c r="F1409" s="2" t="s">
        <v>14</v>
      </c>
      <c r="G1409" s="2" t="s">
        <v>37</v>
      </c>
      <c r="H1409" s="2">
        <v>12</v>
      </c>
      <c r="I1409" s="4">
        <v>166.65</v>
      </c>
      <c r="J1409" s="2" t="s">
        <v>16</v>
      </c>
      <c r="K1409">
        <f>H1409*I1409</f>
        <v>1999.8000000000002</v>
      </c>
      <c r="L1409" t="str">
        <f t="shared" si="42"/>
        <v>Sep</v>
      </c>
      <c r="M1409">
        <f t="shared" si="43"/>
        <v>9</v>
      </c>
    </row>
    <row r="1410" spans="1:13" x14ac:dyDescent="0.25">
      <c r="A1410" s="2" t="s">
        <v>1483</v>
      </c>
      <c r="B1410" s="3">
        <v>45923</v>
      </c>
      <c r="C1410" s="2" t="s">
        <v>52</v>
      </c>
      <c r="D1410" s="2" t="s">
        <v>30</v>
      </c>
      <c r="E1410" s="2" t="s">
        <v>13</v>
      </c>
      <c r="F1410" s="2" t="s">
        <v>14</v>
      </c>
      <c r="G1410" s="2" t="s">
        <v>53</v>
      </c>
      <c r="H1410" s="2">
        <v>4</v>
      </c>
      <c r="I1410" s="4">
        <v>42</v>
      </c>
      <c r="J1410" s="2" t="s">
        <v>16</v>
      </c>
      <c r="K1410">
        <f>H1410*I1410</f>
        <v>168</v>
      </c>
      <c r="L1410" t="str">
        <f t="shared" si="42"/>
        <v>Sep</v>
      </c>
      <c r="M1410">
        <f t="shared" si="43"/>
        <v>9</v>
      </c>
    </row>
    <row r="1411" spans="1:13" x14ac:dyDescent="0.25">
      <c r="A1411" s="2" t="s">
        <v>1484</v>
      </c>
      <c r="B1411" s="3">
        <v>45923</v>
      </c>
      <c r="C1411" s="2" t="s">
        <v>109</v>
      </c>
      <c r="D1411" s="2" t="s">
        <v>109</v>
      </c>
      <c r="E1411" s="2" t="s">
        <v>13</v>
      </c>
      <c r="F1411" s="2" t="s">
        <v>20</v>
      </c>
      <c r="G1411" s="2" t="s">
        <v>21</v>
      </c>
      <c r="H1411" s="2">
        <v>2</v>
      </c>
      <c r="I1411" s="4">
        <v>20.2</v>
      </c>
      <c r="J1411" s="2" t="s">
        <v>38</v>
      </c>
      <c r="K1411">
        <f>H1411*I1411</f>
        <v>40.4</v>
      </c>
      <c r="L1411" t="str">
        <f t="shared" ref="L1411:L1474" si="44">TEXT(B1411,"mmm")</f>
        <v>Sep</v>
      </c>
      <c r="M1411">
        <f t="shared" ref="M1411:M1474" si="45">MONTH(B1411)</f>
        <v>9</v>
      </c>
    </row>
    <row r="1412" spans="1:13" x14ac:dyDescent="0.25">
      <c r="A1412" s="2" t="s">
        <v>1485</v>
      </c>
      <c r="B1412" s="3">
        <v>45924</v>
      </c>
      <c r="C1412" s="2" t="s">
        <v>11</v>
      </c>
      <c r="D1412" s="2" t="s">
        <v>12</v>
      </c>
      <c r="E1412" s="2" t="s">
        <v>13</v>
      </c>
      <c r="F1412" s="2" t="s">
        <v>14</v>
      </c>
      <c r="G1412" s="2" t="s">
        <v>15</v>
      </c>
      <c r="H1412" s="2">
        <v>3</v>
      </c>
      <c r="I1412" s="4">
        <v>32.32</v>
      </c>
      <c r="J1412" s="2" t="s">
        <v>16</v>
      </c>
      <c r="K1412">
        <f>H1412*I1412</f>
        <v>96.960000000000008</v>
      </c>
      <c r="L1412" t="str">
        <f t="shared" si="44"/>
        <v>Sep</v>
      </c>
      <c r="M1412">
        <f t="shared" si="45"/>
        <v>9</v>
      </c>
    </row>
    <row r="1413" spans="1:13" x14ac:dyDescent="0.25">
      <c r="A1413" s="2" t="s">
        <v>1486</v>
      </c>
      <c r="B1413" s="3">
        <v>45924</v>
      </c>
      <c r="C1413" s="2" t="s">
        <v>74</v>
      </c>
      <c r="D1413" s="2" t="s">
        <v>75</v>
      </c>
      <c r="E1413" s="2" t="s">
        <v>76</v>
      </c>
      <c r="F1413" s="2" t="s">
        <v>14</v>
      </c>
      <c r="G1413" s="2" t="s">
        <v>77</v>
      </c>
      <c r="H1413" s="2">
        <v>3</v>
      </c>
      <c r="I1413" s="4">
        <v>32.32</v>
      </c>
      <c r="J1413" s="2" t="s">
        <v>16</v>
      </c>
      <c r="K1413">
        <f>H1413*I1413</f>
        <v>96.960000000000008</v>
      </c>
      <c r="L1413" t="str">
        <f t="shared" si="44"/>
        <v>Sep</v>
      </c>
      <c r="M1413">
        <f t="shared" si="45"/>
        <v>9</v>
      </c>
    </row>
    <row r="1414" spans="1:13" x14ac:dyDescent="0.25">
      <c r="A1414" s="2" t="s">
        <v>1487</v>
      </c>
      <c r="B1414" s="3">
        <v>45924</v>
      </c>
      <c r="C1414" s="2" t="s">
        <v>120</v>
      </c>
      <c r="D1414" s="2" t="s">
        <v>120</v>
      </c>
      <c r="E1414" s="2" t="s">
        <v>76</v>
      </c>
      <c r="F1414" s="2" t="s">
        <v>20</v>
      </c>
      <c r="G1414" s="2" t="s">
        <v>21</v>
      </c>
      <c r="H1414" s="2">
        <v>3</v>
      </c>
      <c r="I1414" s="4">
        <v>42.42</v>
      </c>
      <c r="J1414" s="2" t="s">
        <v>16</v>
      </c>
      <c r="K1414">
        <f>H1414*I1414</f>
        <v>127.26</v>
      </c>
      <c r="L1414" t="str">
        <f t="shared" si="44"/>
        <v>Sep</v>
      </c>
      <c r="M1414">
        <f t="shared" si="45"/>
        <v>9</v>
      </c>
    </row>
    <row r="1415" spans="1:13" x14ac:dyDescent="0.25">
      <c r="A1415" s="2" t="s">
        <v>1488</v>
      </c>
      <c r="B1415" s="3">
        <v>45924</v>
      </c>
      <c r="C1415" s="2" t="s">
        <v>190</v>
      </c>
      <c r="D1415" s="2" t="s">
        <v>40</v>
      </c>
      <c r="E1415" s="2" t="s">
        <v>19</v>
      </c>
      <c r="F1415" s="2" t="s">
        <v>14</v>
      </c>
      <c r="G1415" s="2" t="s">
        <v>191</v>
      </c>
      <c r="H1415" s="2">
        <v>2</v>
      </c>
      <c r="I1415" s="4">
        <v>143.41999999999999</v>
      </c>
      <c r="J1415" s="2" t="s">
        <v>16</v>
      </c>
      <c r="K1415">
        <f>H1415*I1415</f>
        <v>286.83999999999997</v>
      </c>
      <c r="L1415" t="str">
        <f t="shared" si="44"/>
        <v>Sep</v>
      </c>
      <c r="M1415">
        <f t="shared" si="45"/>
        <v>9</v>
      </c>
    </row>
    <row r="1416" spans="1:13" x14ac:dyDescent="0.25">
      <c r="A1416" s="2" t="s">
        <v>1489</v>
      </c>
      <c r="B1416" s="3">
        <v>45924</v>
      </c>
      <c r="C1416" s="2" t="s">
        <v>97</v>
      </c>
      <c r="D1416" s="2" t="s">
        <v>98</v>
      </c>
      <c r="E1416" s="2" t="s">
        <v>99</v>
      </c>
      <c r="F1416" s="2" t="s">
        <v>14</v>
      </c>
      <c r="G1416" s="2" t="s">
        <v>37</v>
      </c>
      <c r="H1416" s="2">
        <v>1</v>
      </c>
      <c r="I1416" s="4">
        <v>183.82</v>
      </c>
      <c r="J1416" s="2" t="s">
        <v>31</v>
      </c>
      <c r="K1416">
        <f>H1416*I1416</f>
        <v>183.82</v>
      </c>
      <c r="L1416" t="str">
        <f t="shared" si="44"/>
        <v>Sep</v>
      </c>
      <c r="M1416">
        <f t="shared" si="45"/>
        <v>9</v>
      </c>
    </row>
    <row r="1417" spans="1:13" x14ac:dyDescent="0.25">
      <c r="A1417" s="2" t="s">
        <v>1490</v>
      </c>
      <c r="B1417" s="3">
        <v>45924</v>
      </c>
      <c r="C1417" s="2" t="s">
        <v>42</v>
      </c>
      <c r="D1417" s="2" t="s">
        <v>43</v>
      </c>
      <c r="E1417" s="2" t="s">
        <v>44</v>
      </c>
      <c r="F1417" s="2" t="s">
        <v>14</v>
      </c>
      <c r="G1417" s="2" t="s">
        <v>45</v>
      </c>
      <c r="H1417" s="2">
        <v>3</v>
      </c>
      <c r="I1417" s="4">
        <v>46.46</v>
      </c>
      <c r="J1417" s="2" t="s">
        <v>16</v>
      </c>
      <c r="K1417">
        <f>H1417*I1417</f>
        <v>139.38</v>
      </c>
      <c r="L1417" t="str">
        <f t="shared" si="44"/>
        <v>Sep</v>
      </c>
      <c r="M1417">
        <f t="shared" si="45"/>
        <v>9</v>
      </c>
    </row>
    <row r="1418" spans="1:13" x14ac:dyDescent="0.25">
      <c r="A1418" s="2" t="s">
        <v>1491</v>
      </c>
      <c r="B1418" s="3">
        <v>45924</v>
      </c>
      <c r="C1418" s="2" t="s">
        <v>43</v>
      </c>
      <c r="D1418" s="2" t="s">
        <v>43</v>
      </c>
      <c r="E1418" s="2" t="s">
        <v>44</v>
      </c>
      <c r="F1418" s="2" t="s">
        <v>20</v>
      </c>
      <c r="G1418" s="2" t="s">
        <v>21</v>
      </c>
      <c r="H1418" s="2">
        <v>4</v>
      </c>
      <c r="I1418" s="4">
        <v>18</v>
      </c>
      <c r="J1418" s="2" t="s">
        <v>31</v>
      </c>
      <c r="K1418">
        <f>H1418*I1418</f>
        <v>72</v>
      </c>
      <c r="L1418" t="str">
        <f t="shared" si="44"/>
        <v>Sep</v>
      </c>
      <c r="M1418">
        <f t="shared" si="45"/>
        <v>9</v>
      </c>
    </row>
    <row r="1419" spans="1:13" x14ac:dyDescent="0.25">
      <c r="A1419" s="2" t="s">
        <v>1492</v>
      </c>
      <c r="B1419" s="3">
        <v>45925</v>
      </c>
      <c r="C1419" s="2" t="s">
        <v>86</v>
      </c>
      <c r="D1419" s="2" t="s">
        <v>48</v>
      </c>
      <c r="E1419" s="2" t="s">
        <v>49</v>
      </c>
      <c r="F1419" s="2" t="s">
        <v>14</v>
      </c>
      <c r="G1419" s="2" t="s">
        <v>87</v>
      </c>
      <c r="H1419" s="2">
        <v>2</v>
      </c>
      <c r="I1419" s="4">
        <v>126.25</v>
      </c>
      <c r="J1419" s="2" t="s">
        <v>16</v>
      </c>
      <c r="K1419">
        <f>H1419*I1419</f>
        <v>252.5</v>
      </c>
      <c r="L1419" t="str">
        <f t="shared" si="44"/>
        <v>Sep</v>
      </c>
      <c r="M1419">
        <f t="shared" si="45"/>
        <v>9</v>
      </c>
    </row>
    <row r="1420" spans="1:13" x14ac:dyDescent="0.25">
      <c r="A1420" s="2" t="s">
        <v>1493</v>
      </c>
      <c r="B1420" s="3">
        <v>45925</v>
      </c>
      <c r="C1420" s="2" t="s">
        <v>86</v>
      </c>
      <c r="D1420" s="2" t="s">
        <v>48</v>
      </c>
      <c r="E1420" s="2" t="s">
        <v>49</v>
      </c>
      <c r="F1420" s="2" t="s">
        <v>14</v>
      </c>
      <c r="G1420" s="2" t="s">
        <v>87</v>
      </c>
      <c r="H1420" s="2">
        <v>1</v>
      </c>
      <c r="I1420" s="4">
        <v>125</v>
      </c>
      <c r="J1420" s="2" t="s">
        <v>38</v>
      </c>
      <c r="K1420">
        <f>H1420*I1420</f>
        <v>125</v>
      </c>
      <c r="L1420" t="str">
        <f t="shared" si="44"/>
        <v>Sep</v>
      </c>
      <c r="M1420">
        <f t="shared" si="45"/>
        <v>9</v>
      </c>
    </row>
    <row r="1421" spans="1:13" x14ac:dyDescent="0.25">
      <c r="A1421" s="2" t="s">
        <v>1494</v>
      </c>
      <c r="B1421" s="3">
        <v>45925</v>
      </c>
      <c r="C1421" s="2" t="s">
        <v>86</v>
      </c>
      <c r="D1421" s="2" t="s">
        <v>48</v>
      </c>
      <c r="E1421" s="2" t="s">
        <v>49</v>
      </c>
      <c r="F1421" s="2" t="s">
        <v>14</v>
      </c>
      <c r="G1421" s="2" t="s">
        <v>87</v>
      </c>
      <c r="H1421" s="2">
        <v>1</v>
      </c>
      <c r="I1421" s="4">
        <v>126.25</v>
      </c>
      <c r="J1421" s="2" t="s">
        <v>31</v>
      </c>
      <c r="K1421">
        <f>H1421*I1421</f>
        <v>126.25</v>
      </c>
      <c r="L1421" t="str">
        <f t="shared" si="44"/>
        <v>Sep</v>
      </c>
      <c r="M1421">
        <f t="shared" si="45"/>
        <v>9</v>
      </c>
    </row>
    <row r="1422" spans="1:13" x14ac:dyDescent="0.25">
      <c r="A1422" s="2" t="s">
        <v>1495</v>
      </c>
      <c r="B1422" s="3">
        <v>45925</v>
      </c>
      <c r="C1422" s="2" t="s">
        <v>75</v>
      </c>
      <c r="D1422" s="2" t="s">
        <v>75</v>
      </c>
      <c r="E1422" s="2" t="s">
        <v>76</v>
      </c>
      <c r="F1422" s="2" t="s">
        <v>20</v>
      </c>
      <c r="G1422" s="2" t="s">
        <v>21</v>
      </c>
      <c r="H1422" s="2">
        <v>6</v>
      </c>
      <c r="I1422" s="4">
        <v>12.12</v>
      </c>
      <c r="J1422" s="2" t="s">
        <v>38</v>
      </c>
      <c r="K1422">
        <f>H1422*I1422</f>
        <v>72.72</v>
      </c>
      <c r="L1422" t="str">
        <f t="shared" si="44"/>
        <v>Sep</v>
      </c>
      <c r="M1422">
        <f t="shared" si="45"/>
        <v>9</v>
      </c>
    </row>
    <row r="1423" spans="1:13" x14ac:dyDescent="0.25">
      <c r="A1423" s="2" t="s">
        <v>1496</v>
      </c>
      <c r="B1423" s="3">
        <v>45925</v>
      </c>
      <c r="C1423" s="2" t="s">
        <v>119</v>
      </c>
      <c r="D1423" s="2" t="s">
        <v>120</v>
      </c>
      <c r="E1423" s="2" t="s">
        <v>76</v>
      </c>
      <c r="F1423" s="2" t="s">
        <v>14</v>
      </c>
      <c r="G1423" s="2" t="s">
        <v>121</v>
      </c>
      <c r="H1423" s="2">
        <v>1</v>
      </c>
      <c r="I1423" s="4">
        <v>191.9</v>
      </c>
      <c r="J1423" s="2" t="s">
        <v>38</v>
      </c>
      <c r="K1423">
        <f>H1423*I1423</f>
        <v>191.9</v>
      </c>
      <c r="L1423" t="str">
        <f t="shared" si="44"/>
        <v>Sep</v>
      </c>
      <c r="M1423">
        <f t="shared" si="45"/>
        <v>9</v>
      </c>
    </row>
    <row r="1424" spans="1:13" x14ac:dyDescent="0.25">
      <c r="A1424" s="2" t="s">
        <v>1497</v>
      </c>
      <c r="B1424" s="3">
        <v>45925</v>
      </c>
      <c r="C1424" s="2" t="s">
        <v>80</v>
      </c>
      <c r="D1424" s="2" t="s">
        <v>80</v>
      </c>
      <c r="E1424" s="2" t="s">
        <v>26</v>
      </c>
      <c r="F1424" s="2" t="s">
        <v>20</v>
      </c>
      <c r="G1424" s="2" t="s">
        <v>21</v>
      </c>
      <c r="H1424" s="2">
        <v>3</v>
      </c>
      <c r="I1424" s="4">
        <v>50.5</v>
      </c>
      <c r="J1424" s="2" t="s">
        <v>22</v>
      </c>
      <c r="K1424">
        <f>H1424*I1424</f>
        <v>151.5</v>
      </c>
      <c r="L1424" t="str">
        <f t="shared" si="44"/>
        <v>Sep</v>
      </c>
      <c r="M1424">
        <f t="shared" si="45"/>
        <v>9</v>
      </c>
    </row>
    <row r="1425" spans="1:13" x14ac:dyDescent="0.25">
      <c r="A1425" s="2" t="s">
        <v>1498</v>
      </c>
      <c r="B1425" s="3">
        <v>45925</v>
      </c>
      <c r="C1425" s="2" t="s">
        <v>60</v>
      </c>
      <c r="D1425" s="2" t="s">
        <v>61</v>
      </c>
      <c r="E1425" s="2" t="s">
        <v>62</v>
      </c>
      <c r="F1425" s="2" t="s">
        <v>14</v>
      </c>
      <c r="G1425" s="2" t="s">
        <v>63</v>
      </c>
      <c r="H1425" s="2">
        <v>2</v>
      </c>
      <c r="I1425" s="4">
        <v>26.26</v>
      </c>
      <c r="J1425" s="2" t="s">
        <v>22</v>
      </c>
      <c r="K1425">
        <f>H1425*I1425</f>
        <v>52.52</v>
      </c>
      <c r="L1425" t="str">
        <f t="shared" si="44"/>
        <v>Sep</v>
      </c>
      <c r="M1425">
        <f t="shared" si="45"/>
        <v>9</v>
      </c>
    </row>
    <row r="1426" spans="1:13" x14ac:dyDescent="0.25">
      <c r="A1426" s="2" t="s">
        <v>1499</v>
      </c>
      <c r="B1426" s="3">
        <v>45925</v>
      </c>
      <c r="C1426" s="2" t="s">
        <v>52</v>
      </c>
      <c r="D1426" s="2" t="s">
        <v>30</v>
      </c>
      <c r="E1426" s="2" t="s">
        <v>13</v>
      </c>
      <c r="F1426" s="2" t="s">
        <v>14</v>
      </c>
      <c r="G1426" s="2" t="s">
        <v>53</v>
      </c>
      <c r="H1426" s="2">
        <v>3</v>
      </c>
      <c r="I1426" s="4">
        <v>42.42</v>
      </c>
      <c r="J1426" s="2" t="s">
        <v>16</v>
      </c>
      <c r="K1426">
        <f>H1426*I1426</f>
        <v>127.26</v>
      </c>
      <c r="L1426" t="str">
        <f t="shared" si="44"/>
        <v>Sep</v>
      </c>
      <c r="M1426">
        <f t="shared" si="45"/>
        <v>9</v>
      </c>
    </row>
    <row r="1427" spans="1:13" x14ac:dyDescent="0.25">
      <c r="A1427" s="2" t="s">
        <v>1500</v>
      </c>
      <c r="B1427" s="3">
        <v>45925</v>
      </c>
      <c r="C1427" s="2" t="s">
        <v>52</v>
      </c>
      <c r="D1427" s="2" t="s">
        <v>30</v>
      </c>
      <c r="E1427" s="2" t="s">
        <v>13</v>
      </c>
      <c r="F1427" s="2" t="s">
        <v>14</v>
      </c>
      <c r="G1427" s="2" t="s">
        <v>53</v>
      </c>
      <c r="H1427" s="2">
        <v>4</v>
      </c>
      <c r="I1427" s="4">
        <v>42.42</v>
      </c>
      <c r="J1427" s="2" t="s">
        <v>16</v>
      </c>
      <c r="K1427">
        <f>H1427*I1427</f>
        <v>169.68</v>
      </c>
      <c r="L1427" t="str">
        <f t="shared" si="44"/>
        <v>Sep</v>
      </c>
      <c r="M1427">
        <f t="shared" si="45"/>
        <v>9</v>
      </c>
    </row>
    <row r="1428" spans="1:13" x14ac:dyDescent="0.25">
      <c r="A1428" s="2" t="s">
        <v>1501</v>
      </c>
      <c r="B1428" s="3">
        <v>45926</v>
      </c>
      <c r="C1428" s="2" t="s">
        <v>11</v>
      </c>
      <c r="D1428" s="2" t="s">
        <v>12</v>
      </c>
      <c r="E1428" s="2" t="s">
        <v>13</v>
      </c>
      <c r="F1428" s="2" t="s">
        <v>14</v>
      </c>
      <c r="G1428" s="2" t="s">
        <v>15</v>
      </c>
      <c r="H1428" s="2">
        <v>2</v>
      </c>
      <c r="I1428" s="4">
        <v>32.32</v>
      </c>
      <c r="J1428" s="2" t="s">
        <v>16</v>
      </c>
      <c r="K1428">
        <f>H1428*I1428</f>
        <v>64.64</v>
      </c>
      <c r="L1428" t="str">
        <f t="shared" si="44"/>
        <v>Sep</v>
      </c>
      <c r="M1428">
        <f t="shared" si="45"/>
        <v>9</v>
      </c>
    </row>
    <row r="1429" spans="1:13" x14ac:dyDescent="0.25">
      <c r="A1429" s="2" t="s">
        <v>1502</v>
      </c>
      <c r="B1429" s="3">
        <v>45926</v>
      </c>
      <c r="C1429" s="2" t="s">
        <v>11</v>
      </c>
      <c r="D1429" s="2" t="s">
        <v>12</v>
      </c>
      <c r="E1429" s="2" t="s">
        <v>13</v>
      </c>
      <c r="F1429" s="2" t="s">
        <v>14</v>
      </c>
      <c r="G1429" s="2" t="s">
        <v>15</v>
      </c>
      <c r="H1429" s="2">
        <v>2</v>
      </c>
      <c r="I1429" s="4">
        <v>32.32</v>
      </c>
      <c r="J1429" s="2" t="s">
        <v>38</v>
      </c>
      <c r="K1429">
        <f>H1429*I1429</f>
        <v>64.64</v>
      </c>
      <c r="L1429" t="str">
        <f t="shared" si="44"/>
        <v>Sep</v>
      </c>
      <c r="M1429">
        <f t="shared" si="45"/>
        <v>9</v>
      </c>
    </row>
    <row r="1430" spans="1:13" x14ac:dyDescent="0.25">
      <c r="A1430" s="2" t="s">
        <v>1503</v>
      </c>
      <c r="B1430" s="3">
        <v>45926</v>
      </c>
      <c r="C1430" s="2" t="s">
        <v>86</v>
      </c>
      <c r="D1430" s="2" t="s">
        <v>48</v>
      </c>
      <c r="E1430" s="2" t="s">
        <v>49</v>
      </c>
      <c r="F1430" s="2" t="s">
        <v>14</v>
      </c>
      <c r="G1430" s="2" t="s">
        <v>87</v>
      </c>
      <c r="H1430" s="2">
        <v>4</v>
      </c>
      <c r="I1430" s="4">
        <v>126.25</v>
      </c>
      <c r="J1430" s="2" t="s">
        <v>38</v>
      </c>
      <c r="K1430">
        <f>H1430*I1430</f>
        <v>505</v>
      </c>
      <c r="L1430" t="str">
        <f t="shared" si="44"/>
        <v>Sep</v>
      </c>
      <c r="M1430">
        <f t="shared" si="45"/>
        <v>9</v>
      </c>
    </row>
    <row r="1431" spans="1:13" x14ac:dyDescent="0.25">
      <c r="A1431" s="2" t="s">
        <v>1504</v>
      </c>
      <c r="B1431" s="3">
        <v>45926</v>
      </c>
      <c r="C1431" s="2" t="s">
        <v>67</v>
      </c>
      <c r="D1431" s="2" t="s">
        <v>68</v>
      </c>
      <c r="E1431" s="2" t="s">
        <v>49</v>
      </c>
      <c r="F1431" s="2" t="s">
        <v>14</v>
      </c>
      <c r="G1431" s="2" t="s">
        <v>69</v>
      </c>
      <c r="H1431" s="2">
        <v>2</v>
      </c>
      <c r="I1431" s="4">
        <v>207.05</v>
      </c>
      <c r="J1431" s="2" t="s">
        <v>16</v>
      </c>
      <c r="K1431">
        <f>H1431*I1431</f>
        <v>414.1</v>
      </c>
      <c r="L1431" t="str">
        <f t="shared" si="44"/>
        <v>Sep</v>
      </c>
      <c r="M1431">
        <f t="shared" si="45"/>
        <v>9</v>
      </c>
    </row>
    <row r="1432" spans="1:13" x14ac:dyDescent="0.25">
      <c r="A1432" s="2" t="s">
        <v>1505</v>
      </c>
      <c r="B1432" s="3">
        <v>45926</v>
      </c>
      <c r="C1432" s="2" t="s">
        <v>67</v>
      </c>
      <c r="D1432" s="2" t="s">
        <v>68</v>
      </c>
      <c r="E1432" s="2" t="s">
        <v>49</v>
      </c>
      <c r="F1432" s="2" t="s">
        <v>14</v>
      </c>
      <c r="G1432" s="2" t="s">
        <v>69</v>
      </c>
      <c r="H1432" s="2">
        <v>1</v>
      </c>
      <c r="I1432" s="4">
        <v>207.05</v>
      </c>
      <c r="J1432" s="2" t="s">
        <v>31</v>
      </c>
      <c r="K1432">
        <f>H1432*I1432</f>
        <v>207.05</v>
      </c>
      <c r="L1432" t="str">
        <f t="shared" si="44"/>
        <v>Sep</v>
      </c>
      <c r="M1432">
        <f t="shared" si="45"/>
        <v>9</v>
      </c>
    </row>
    <row r="1433" spans="1:13" x14ac:dyDescent="0.25">
      <c r="A1433" s="2" t="s">
        <v>1506</v>
      </c>
      <c r="B1433" s="3">
        <v>45926</v>
      </c>
      <c r="C1433" s="2" t="s">
        <v>101</v>
      </c>
      <c r="D1433" s="2" t="s">
        <v>102</v>
      </c>
      <c r="E1433" s="2" t="s">
        <v>36</v>
      </c>
      <c r="F1433" s="2" t="s">
        <v>14</v>
      </c>
      <c r="G1433" s="2" t="s">
        <v>103</v>
      </c>
      <c r="H1433" s="2">
        <v>1</v>
      </c>
      <c r="I1433" s="4">
        <v>92.92</v>
      </c>
      <c r="J1433" s="2" t="s">
        <v>16</v>
      </c>
      <c r="K1433">
        <f>H1433*I1433</f>
        <v>92.92</v>
      </c>
      <c r="L1433" t="str">
        <f t="shared" si="44"/>
        <v>Sep</v>
      </c>
      <c r="M1433">
        <f t="shared" si="45"/>
        <v>9</v>
      </c>
    </row>
    <row r="1434" spans="1:13" x14ac:dyDescent="0.25">
      <c r="A1434" s="2" t="s">
        <v>1507</v>
      </c>
      <c r="B1434" s="3">
        <v>45926</v>
      </c>
      <c r="C1434" s="2" t="s">
        <v>18</v>
      </c>
      <c r="D1434" s="2" t="s">
        <v>18</v>
      </c>
      <c r="E1434" s="2" t="s">
        <v>19</v>
      </c>
      <c r="F1434" s="2" t="s">
        <v>20</v>
      </c>
      <c r="G1434" s="2" t="s">
        <v>21</v>
      </c>
      <c r="H1434" s="2">
        <v>3</v>
      </c>
      <c r="I1434" s="4">
        <v>15.15</v>
      </c>
      <c r="J1434" s="2" t="s">
        <v>22</v>
      </c>
      <c r="K1434">
        <f>H1434*I1434</f>
        <v>45.45</v>
      </c>
      <c r="L1434" t="str">
        <f t="shared" si="44"/>
        <v>Sep</v>
      </c>
      <c r="M1434">
        <f t="shared" si="45"/>
        <v>9</v>
      </c>
    </row>
    <row r="1435" spans="1:13" x14ac:dyDescent="0.25">
      <c r="A1435" s="2" t="s">
        <v>1508</v>
      </c>
      <c r="B1435" s="3">
        <v>45926</v>
      </c>
      <c r="C1435" s="2" t="s">
        <v>18</v>
      </c>
      <c r="D1435" s="2" t="s">
        <v>18</v>
      </c>
      <c r="E1435" s="2" t="s">
        <v>19</v>
      </c>
      <c r="F1435" s="2" t="s">
        <v>20</v>
      </c>
      <c r="G1435" s="2" t="s">
        <v>21</v>
      </c>
      <c r="H1435" s="2">
        <v>1</v>
      </c>
      <c r="I1435" s="4">
        <v>15</v>
      </c>
      <c r="J1435" s="2" t="s">
        <v>16</v>
      </c>
      <c r="K1435">
        <f>H1435*I1435</f>
        <v>15</v>
      </c>
      <c r="L1435" t="str">
        <f t="shared" si="44"/>
        <v>Sep</v>
      </c>
      <c r="M1435">
        <f t="shared" si="45"/>
        <v>9</v>
      </c>
    </row>
    <row r="1436" spans="1:13" x14ac:dyDescent="0.25">
      <c r="A1436" s="2" t="s">
        <v>1509</v>
      </c>
      <c r="B1436" s="3">
        <v>45926</v>
      </c>
      <c r="C1436" s="2" t="s">
        <v>79</v>
      </c>
      <c r="D1436" s="2" t="s">
        <v>80</v>
      </c>
      <c r="E1436" s="2" t="s">
        <v>26</v>
      </c>
      <c r="F1436" s="2" t="s">
        <v>14</v>
      </c>
      <c r="G1436" s="2" t="s">
        <v>81</v>
      </c>
      <c r="H1436" s="2">
        <v>2</v>
      </c>
      <c r="I1436" s="4">
        <v>152</v>
      </c>
      <c r="J1436" s="2" t="s">
        <v>31</v>
      </c>
      <c r="K1436">
        <f>H1436*I1436</f>
        <v>304</v>
      </c>
      <c r="L1436" t="str">
        <f t="shared" si="44"/>
        <v>Sep</v>
      </c>
      <c r="M1436">
        <f t="shared" si="45"/>
        <v>9</v>
      </c>
    </row>
    <row r="1437" spans="1:13" x14ac:dyDescent="0.25">
      <c r="A1437" s="2" t="s">
        <v>1510</v>
      </c>
      <c r="B1437" s="3">
        <v>45926</v>
      </c>
      <c r="C1437" s="2" t="s">
        <v>80</v>
      </c>
      <c r="D1437" s="2" t="s">
        <v>80</v>
      </c>
      <c r="E1437" s="2" t="s">
        <v>26</v>
      </c>
      <c r="F1437" s="2" t="s">
        <v>20</v>
      </c>
      <c r="G1437" s="2" t="s">
        <v>21</v>
      </c>
      <c r="H1437" s="2">
        <v>1</v>
      </c>
      <c r="I1437" s="4">
        <v>50</v>
      </c>
      <c r="J1437" s="2" t="s">
        <v>16</v>
      </c>
      <c r="K1437">
        <f>H1437*I1437</f>
        <v>50</v>
      </c>
      <c r="L1437" t="str">
        <f t="shared" si="44"/>
        <v>Sep</v>
      </c>
      <c r="M1437">
        <f t="shared" si="45"/>
        <v>9</v>
      </c>
    </row>
    <row r="1438" spans="1:13" x14ac:dyDescent="0.25">
      <c r="A1438" s="2" t="s">
        <v>1511</v>
      </c>
      <c r="B1438" s="3">
        <v>45926</v>
      </c>
      <c r="C1438" s="2" t="s">
        <v>61</v>
      </c>
      <c r="D1438" s="2" t="s">
        <v>61</v>
      </c>
      <c r="E1438" s="2" t="s">
        <v>62</v>
      </c>
      <c r="F1438" s="2" t="s">
        <v>20</v>
      </c>
      <c r="G1438" s="2" t="s">
        <v>21</v>
      </c>
      <c r="H1438" s="2">
        <v>1</v>
      </c>
      <c r="I1438" s="4">
        <v>8.08</v>
      </c>
      <c r="J1438" s="2" t="s">
        <v>38</v>
      </c>
      <c r="K1438">
        <f>H1438*I1438</f>
        <v>8.08</v>
      </c>
      <c r="L1438" t="str">
        <f t="shared" si="44"/>
        <v>Sep</v>
      </c>
      <c r="M1438">
        <f t="shared" si="45"/>
        <v>9</v>
      </c>
    </row>
    <row r="1439" spans="1:13" x14ac:dyDescent="0.25">
      <c r="A1439" s="2" t="s">
        <v>1512</v>
      </c>
      <c r="B1439" s="3">
        <v>45926</v>
      </c>
      <c r="C1439" s="2" t="s">
        <v>52</v>
      </c>
      <c r="D1439" s="2" t="s">
        <v>30</v>
      </c>
      <c r="E1439" s="2" t="s">
        <v>13</v>
      </c>
      <c r="F1439" s="2" t="s">
        <v>14</v>
      </c>
      <c r="G1439" s="2" t="s">
        <v>53</v>
      </c>
      <c r="H1439" s="2">
        <v>1</v>
      </c>
      <c r="I1439" s="4">
        <v>42.42</v>
      </c>
      <c r="J1439" s="2" t="s">
        <v>16</v>
      </c>
      <c r="K1439">
        <f>H1439*I1439</f>
        <v>42.42</v>
      </c>
      <c r="L1439" t="str">
        <f t="shared" si="44"/>
        <v>Sep</v>
      </c>
      <c r="M1439">
        <f t="shared" si="45"/>
        <v>9</v>
      </c>
    </row>
    <row r="1440" spans="1:13" x14ac:dyDescent="0.25">
      <c r="A1440" s="2" t="s">
        <v>1513</v>
      </c>
      <c r="B1440" s="3">
        <v>45926</v>
      </c>
      <c r="C1440" s="2" t="s">
        <v>42</v>
      </c>
      <c r="D1440" s="2" t="s">
        <v>43</v>
      </c>
      <c r="E1440" s="2" t="s">
        <v>44</v>
      </c>
      <c r="F1440" s="2" t="s">
        <v>14</v>
      </c>
      <c r="G1440" s="2" t="s">
        <v>45</v>
      </c>
      <c r="H1440" s="2">
        <v>2</v>
      </c>
      <c r="I1440" s="4">
        <v>46</v>
      </c>
      <c r="J1440" s="2" t="s">
        <v>38</v>
      </c>
      <c r="K1440">
        <f>H1440*I1440</f>
        <v>92</v>
      </c>
      <c r="L1440" t="str">
        <f t="shared" si="44"/>
        <v>Sep</v>
      </c>
      <c r="M1440">
        <f t="shared" si="45"/>
        <v>9</v>
      </c>
    </row>
    <row r="1441" spans="1:13" x14ac:dyDescent="0.25">
      <c r="A1441" s="2" t="s">
        <v>1514</v>
      </c>
      <c r="B1441" s="3">
        <v>45927</v>
      </c>
      <c r="C1441" s="2" t="s">
        <v>12</v>
      </c>
      <c r="D1441" s="2" t="s">
        <v>12</v>
      </c>
      <c r="E1441" s="2" t="s">
        <v>13</v>
      </c>
      <c r="F1441" s="2" t="s">
        <v>20</v>
      </c>
      <c r="G1441" s="2" t="s">
        <v>21</v>
      </c>
      <c r="H1441" s="2">
        <v>3</v>
      </c>
      <c r="I1441" s="4">
        <v>14</v>
      </c>
      <c r="J1441" s="2" t="s">
        <v>38</v>
      </c>
      <c r="K1441">
        <f>H1441*I1441</f>
        <v>42</v>
      </c>
      <c r="L1441" t="str">
        <f t="shared" si="44"/>
        <v>Sep</v>
      </c>
      <c r="M1441">
        <f t="shared" si="45"/>
        <v>9</v>
      </c>
    </row>
    <row r="1442" spans="1:13" x14ac:dyDescent="0.25">
      <c r="A1442" s="2" t="s">
        <v>1515</v>
      </c>
      <c r="B1442" s="3">
        <v>45927</v>
      </c>
      <c r="C1442" s="2" t="s">
        <v>72</v>
      </c>
      <c r="D1442" s="2" t="s">
        <v>68</v>
      </c>
      <c r="E1442" s="2" t="s">
        <v>49</v>
      </c>
      <c r="F1442" s="2" t="s">
        <v>20</v>
      </c>
      <c r="G1442" s="2" t="s">
        <v>21</v>
      </c>
      <c r="H1442" s="2">
        <v>2</v>
      </c>
      <c r="I1442" s="4">
        <v>95.95</v>
      </c>
      <c r="J1442" s="2" t="s">
        <v>22</v>
      </c>
      <c r="K1442">
        <f>H1442*I1442</f>
        <v>191.9</v>
      </c>
      <c r="L1442" t="str">
        <f t="shared" si="44"/>
        <v>Sep</v>
      </c>
      <c r="M1442">
        <f t="shared" si="45"/>
        <v>9</v>
      </c>
    </row>
    <row r="1443" spans="1:13" x14ac:dyDescent="0.25">
      <c r="A1443" s="2" t="s">
        <v>1516</v>
      </c>
      <c r="B1443" s="3">
        <v>45927</v>
      </c>
      <c r="C1443" s="2" t="s">
        <v>102</v>
      </c>
      <c r="D1443" s="2" t="s">
        <v>102</v>
      </c>
      <c r="E1443" s="2" t="s">
        <v>36</v>
      </c>
      <c r="F1443" s="2" t="s">
        <v>20</v>
      </c>
      <c r="G1443" s="2" t="s">
        <v>21</v>
      </c>
      <c r="H1443" s="2">
        <v>1</v>
      </c>
      <c r="I1443" s="4">
        <v>35.35</v>
      </c>
      <c r="J1443" s="2" t="s">
        <v>16</v>
      </c>
      <c r="K1443">
        <f>H1443*I1443</f>
        <v>35.35</v>
      </c>
      <c r="L1443" t="str">
        <f t="shared" si="44"/>
        <v>Sep</v>
      </c>
      <c r="M1443">
        <f t="shared" si="45"/>
        <v>9</v>
      </c>
    </row>
    <row r="1444" spans="1:13" x14ac:dyDescent="0.25">
      <c r="A1444" s="2" t="s">
        <v>1517</v>
      </c>
      <c r="B1444" s="3">
        <v>45927</v>
      </c>
      <c r="C1444" s="2" t="s">
        <v>18</v>
      </c>
      <c r="D1444" s="2" t="s">
        <v>18</v>
      </c>
      <c r="E1444" s="2" t="s">
        <v>19</v>
      </c>
      <c r="F1444" s="2" t="s">
        <v>20</v>
      </c>
      <c r="G1444" s="2" t="s">
        <v>21</v>
      </c>
      <c r="H1444" s="2">
        <v>1</v>
      </c>
      <c r="I1444" s="4">
        <v>15.15</v>
      </c>
      <c r="J1444" s="2" t="s">
        <v>16</v>
      </c>
      <c r="K1444">
        <f>H1444*I1444</f>
        <v>15.15</v>
      </c>
      <c r="L1444" t="str">
        <f t="shared" si="44"/>
        <v>Sep</v>
      </c>
      <c r="M1444">
        <f t="shared" si="45"/>
        <v>9</v>
      </c>
    </row>
    <row r="1445" spans="1:13" x14ac:dyDescent="0.25">
      <c r="A1445" s="2" t="s">
        <v>1518</v>
      </c>
      <c r="B1445" s="3">
        <v>45927</v>
      </c>
      <c r="C1445" s="2" t="s">
        <v>25</v>
      </c>
      <c r="D1445" s="2" t="s">
        <v>25</v>
      </c>
      <c r="E1445" s="2" t="s">
        <v>26</v>
      </c>
      <c r="F1445" s="2" t="s">
        <v>20</v>
      </c>
      <c r="G1445" s="2" t="s">
        <v>21</v>
      </c>
      <c r="H1445" s="2">
        <v>2</v>
      </c>
      <c r="I1445" s="4">
        <v>20.2</v>
      </c>
      <c r="J1445" s="2" t="s">
        <v>16</v>
      </c>
      <c r="K1445">
        <f>H1445*I1445</f>
        <v>40.4</v>
      </c>
      <c r="L1445" t="str">
        <f t="shared" si="44"/>
        <v>Sep</v>
      </c>
      <c r="M1445">
        <f t="shared" si="45"/>
        <v>9</v>
      </c>
    </row>
    <row r="1446" spans="1:13" x14ac:dyDescent="0.25">
      <c r="A1446" s="2" t="s">
        <v>1519</v>
      </c>
      <c r="B1446" s="3">
        <v>45927</v>
      </c>
      <c r="C1446" s="2" t="s">
        <v>61</v>
      </c>
      <c r="D1446" s="2" t="s">
        <v>61</v>
      </c>
      <c r="E1446" s="2" t="s">
        <v>62</v>
      </c>
      <c r="F1446" s="2" t="s">
        <v>20</v>
      </c>
      <c r="G1446" s="2" t="s">
        <v>21</v>
      </c>
      <c r="H1446" s="2">
        <v>4</v>
      </c>
      <c r="I1446" s="4">
        <v>8.08</v>
      </c>
      <c r="J1446" s="2" t="s">
        <v>16</v>
      </c>
      <c r="K1446">
        <f>H1446*I1446</f>
        <v>32.32</v>
      </c>
      <c r="L1446" t="str">
        <f t="shared" si="44"/>
        <v>Sep</v>
      </c>
      <c r="M1446">
        <f t="shared" si="45"/>
        <v>9</v>
      </c>
    </row>
    <row r="1447" spans="1:13" x14ac:dyDescent="0.25">
      <c r="A1447" s="2" t="s">
        <v>1520</v>
      </c>
      <c r="B1447" s="3">
        <v>45928</v>
      </c>
      <c r="C1447" s="2" t="s">
        <v>12</v>
      </c>
      <c r="D1447" s="2" t="s">
        <v>12</v>
      </c>
      <c r="E1447" s="2" t="s">
        <v>13</v>
      </c>
      <c r="F1447" s="2" t="s">
        <v>20</v>
      </c>
      <c r="G1447" s="2" t="s">
        <v>21</v>
      </c>
      <c r="H1447" s="2">
        <v>2</v>
      </c>
      <c r="I1447" s="4">
        <v>14</v>
      </c>
      <c r="J1447" s="2" t="s">
        <v>16</v>
      </c>
      <c r="K1447">
        <f>H1447*I1447</f>
        <v>28</v>
      </c>
      <c r="L1447" t="str">
        <f t="shared" si="44"/>
        <v>Sep</v>
      </c>
      <c r="M1447">
        <f t="shared" si="45"/>
        <v>9</v>
      </c>
    </row>
    <row r="1448" spans="1:13" x14ac:dyDescent="0.25">
      <c r="A1448" s="2" t="s">
        <v>1521</v>
      </c>
      <c r="B1448" s="3">
        <v>45928</v>
      </c>
      <c r="C1448" s="2" t="s">
        <v>86</v>
      </c>
      <c r="D1448" s="2" t="s">
        <v>48</v>
      </c>
      <c r="E1448" s="2" t="s">
        <v>49</v>
      </c>
      <c r="F1448" s="2" t="s">
        <v>14</v>
      </c>
      <c r="G1448" s="2" t="s">
        <v>87</v>
      </c>
      <c r="H1448" s="2">
        <v>2</v>
      </c>
      <c r="I1448" s="4">
        <v>126.25</v>
      </c>
      <c r="J1448" s="2" t="s">
        <v>16</v>
      </c>
      <c r="K1448">
        <f>H1448*I1448</f>
        <v>252.5</v>
      </c>
      <c r="L1448" t="str">
        <f t="shared" si="44"/>
        <v>Sep</v>
      </c>
      <c r="M1448">
        <f t="shared" si="45"/>
        <v>9</v>
      </c>
    </row>
    <row r="1449" spans="1:13" x14ac:dyDescent="0.25">
      <c r="A1449" s="2" t="s">
        <v>1522</v>
      </c>
      <c r="B1449" s="3">
        <v>45928</v>
      </c>
      <c r="C1449" s="2" t="s">
        <v>48</v>
      </c>
      <c r="D1449" s="2" t="s">
        <v>48</v>
      </c>
      <c r="E1449" s="2" t="s">
        <v>49</v>
      </c>
      <c r="F1449" s="2" t="s">
        <v>20</v>
      </c>
      <c r="G1449" s="2" t="s">
        <v>21</v>
      </c>
      <c r="H1449" s="2">
        <v>2</v>
      </c>
      <c r="I1449" s="4">
        <v>55</v>
      </c>
      <c r="J1449" s="2" t="s">
        <v>38</v>
      </c>
      <c r="K1449">
        <f>H1449*I1449</f>
        <v>110</v>
      </c>
      <c r="L1449" t="str">
        <f t="shared" si="44"/>
        <v>Sep</v>
      </c>
      <c r="M1449">
        <f t="shared" si="45"/>
        <v>9</v>
      </c>
    </row>
    <row r="1450" spans="1:13" x14ac:dyDescent="0.25">
      <c r="A1450" s="2" t="s">
        <v>1523</v>
      </c>
      <c r="B1450" s="3">
        <v>45928</v>
      </c>
      <c r="C1450" s="2" t="s">
        <v>67</v>
      </c>
      <c r="D1450" s="2" t="s">
        <v>68</v>
      </c>
      <c r="E1450" s="2" t="s">
        <v>49</v>
      </c>
      <c r="F1450" s="2" t="s">
        <v>14</v>
      </c>
      <c r="G1450" s="2" t="s">
        <v>69</v>
      </c>
      <c r="H1450" s="2">
        <v>4</v>
      </c>
      <c r="I1450" s="4">
        <v>205</v>
      </c>
      <c r="J1450" s="2" t="s">
        <v>16</v>
      </c>
      <c r="K1450">
        <f>H1450*I1450</f>
        <v>820</v>
      </c>
      <c r="L1450" t="str">
        <f t="shared" si="44"/>
        <v>Sep</v>
      </c>
      <c r="M1450">
        <f t="shared" si="45"/>
        <v>9</v>
      </c>
    </row>
    <row r="1451" spans="1:13" x14ac:dyDescent="0.25">
      <c r="A1451" s="2" t="s">
        <v>1524</v>
      </c>
      <c r="B1451" s="3">
        <v>45928</v>
      </c>
      <c r="C1451" s="2" t="s">
        <v>72</v>
      </c>
      <c r="D1451" s="2" t="s">
        <v>68</v>
      </c>
      <c r="E1451" s="2" t="s">
        <v>49</v>
      </c>
      <c r="F1451" s="2" t="s">
        <v>20</v>
      </c>
      <c r="G1451" s="2" t="s">
        <v>21</v>
      </c>
      <c r="H1451" s="2">
        <v>3</v>
      </c>
      <c r="I1451" s="4">
        <v>95.95</v>
      </c>
      <c r="J1451" s="2" t="s">
        <v>16</v>
      </c>
      <c r="K1451">
        <f>H1451*I1451</f>
        <v>287.85000000000002</v>
      </c>
      <c r="L1451" t="str">
        <f t="shared" si="44"/>
        <v>Sep</v>
      </c>
      <c r="M1451">
        <f t="shared" si="45"/>
        <v>9</v>
      </c>
    </row>
    <row r="1452" spans="1:13" x14ac:dyDescent="0.25">
      <c r="A1452" s="2" t="s">
        <v>1525</v>
      </c>
      <c r="B1452" s="3">
        <v>45928</v>
      </c>
      <c r="C1452" s="2" t="s">
        <v>101</v>
      </c>
      <c r="D1452" s="2" t="s">
        <v>102</v>
      </c>
      <c r="E1452" s="2" t="s">
        <v>36</v>
      </c>
      <c r="F1452" s="2" t="s">
        <v>14</v>
      </c>
      <c r="G1452" s="2" t="s">
        <v>103</v>
      </c>
      <c r="H1452" s="2">
        <v>3</v>
      </c>
      <c r="I1452" s="4">
        <v>92.92</v>
      </c>
      <c r="J1452" s="2" t="s">
        <v>38</v>
      </c>
      <c r="K1452">
        <f>H1452*I1452</f>
        <v>278.76</v>
      </c>
      <c r="L1452" t="str">
        <f t="shared" si="44"/>
        <v>Sep</v>
      </c>
      <c r="M1452">
        <f t="shared" si="45"/>
        <v>9</v>
      </c>
    </row>
    <row r="1453" spans="1:13" x14ac:dyDescent="0.25">
      <c r="A1453" s="2" t="s">
        <v>1526</v>
      </c>
      <c r="B1453" s="3">
        <v>45929</v>
      </c>
      <c r="C1453" s="2" t="s">
        <v>74</v>
      </c>
      <c r="D1453" s="2" t="s">
        <v>75</v>
      </c>
      <c r="E1453" s="2" t="s">
        <v>76</v>
      </c>
      <c r="F1453" s="2" t="s">
        <v>14</v>
      </c>
      <c r="G1453" s="2" t="s">
        <v>77</v>
      </c>
      <c r="H1453" s="2">
        <v>1</v>
      </c>
      <c r="I1453" s="4">
        <v>32.32</v>
      </c>
      <c r="J1453" s="2" t="s">
        <v>16</v>
      </c>
      <c r="K1453">
        <f>H1453*I1453</f>
        <v>32.32</v>
      </c>
      <c r="L1453" t="str">
        <f t="shared" si="44"/>
        <v>Sep</v>
      </c>
      <c r="M1453">
        <f t="shared" si="45"/>
        <v>9</v>
      </c>
    </row>
    <row r="1454" spans="1:13" x14ac:dyDescent="0.25">
      <c r="A1454" s="2" t="s">
        <v>1527</v>
      </c>
      <c r="B1454" s="3">
        <v>45929</v>
      </c>
      <c r="C1454" s="2" t="s">
        <v>97</v>
      </c>
      <c r="D1454" s="2" t="s">
        <v>98</v>
      </c>
      <c r="E1454" s="2" t="s">
        <v>99</v>
      </c>
      <c r="F1454" s="2" t="s">
        <v>14</v>
      </c>
      <c r="G1454" s="2" t="s">
        <v>37</v>
      </c>
      <c r="H1454" s="2">
        <v>4</v>
      </c>
      <c r="I1454" s="4">
        <v>183.82</v>
      </c>
      <c r="J1454" s="2" t="s">
        <v>22</v>
      </c>
      <c r="K1454">
        <f>H1454*I1454</f>
        <v>735.28</v>
      </c>
      <c r="L1454" t="str">
        <f t="shared" si="44"/>
        <v>Sep</v>
      </c>
      <c r="M1454">
        <f t="shared" si="45"/>
        <v>9</v>
      </c>
    </row>
    <row r="1455" spans="1:13" x14ac:dyDescent="0.25">
      <c r="A1455" s="2" t="s">
        <v>1528</v>
      </c>
      <c r="B1455" s="3">
        <v>45929</v>
      </c>
      <c r="C1455" s="2" t="s">
        <v>108</v>
      </c>
      <c r="D1455" s="2" t="s">
        <v>109</v>
      </c>
      <c r="E1455" s="2" t="s">
        <v>13</v>
      </c>
      <c r="F1455" s="2" t="s">
        <v>14</v>
      </c>
      <c r="G1455" s="2" t="s">
        <v>110</v>
      </c>
      <c r="H1455" s="2">
        <v>2</v>
      </c>
      <c r="I1455" s="4">
        <v>62</v>
      </c>
      <c r="J1455" s="2" t="s">
        <v>16</v>
      </c>
      <c r="K1455">
        <f>H1455*I1455</f>
        <v>124</v>
      </c>
      <c r="L1455" t="str">
        <f t="shared" si="44"/>
        <v>Sep</v>
      </c>
      <c r="M1455">
        <f t="shared" si="45"/>
        <v>9</v>
      </c>
    </row>
    <row r="1456" spans="1:13" x14ac:dyDescent="0.25">
      <c r="A1456" s="2" t="s">
        <v>1529</v>
      </c>
      <c r="B1456" s="3">
        <v>45929</v>
      </c>
      <c r="C1456" s="2" t="s">
        <v>42</v>
      </c>
      <c r="D1456" s="2" t="s">
        <v>43</v>
      </c>
      <c r="E1456" s="2" t="s">
        <v>44</v>
      </c>
      <c r="F1456" s="2" t="s">
        <v>14</v>
      </c>
      <c r="G1456" s="2" t="s">
        <v>45</v>
      </c>
      <c r="H1456" s="2">
        <v>2</v>
      </c>
      <c r="I1456" s="4">
        <v>46</v>
      </c>
      <c r="J1456" s="2" t="s">
        <v>16</v>
      </c>
      <c r="K1456">
        <f>H1456*I1456</f>
        <v>92</v>
      </c>
      <c r="L1456" t="str">
        <f t="shared" si="44"/>
        <v>Sep</v>
      </c>
      <c r="M1456">
        <f t="shared" si="45"/>
        <v>9</v>
      </c>
    </row>
    <row r="1457" spans="1:13" x14ac:dyDescent="0.25">
      <c r="A1457" s="2" t="s">
        <v>1530</v>
      </c>
      <c r="B1457" s="3">
        <v>45930</v>
      </c>
      <c r="C1457" s="2" t="s">
        <v>11</v>
      </c>
      <c r="D1457" s="2" t="s">
        <v>12</v>
      </c>
      <c r="E1457" s="2" t="s">
        <v>13</v>
      </c>
      <c r="F1457" s="2" t="s">
        <v>14</v>
      </c>
      <c r="G1457" s="2" t="s">
        <v>15</v>
      </c>
      <c r="H1457" s="2">
        <v>2</v>
      </c>
      <c r="I1457" s="4">
        <v>32</v>
      </c>
      <c r="J1457" s="2" t="s">
        <v>31</v>
      </c>
      <c r="K1457">
        <f>H1457*I1457</f>
        <v>64</v>
      </c>
      <c r="L1457" t="str">
        <f t="shared" si="44"/>
        <v>Sep</v>
      </c>
      <c r="M1457">
        <f t="shared" si="45"/>
        <v>9</v>
      </c>
    </row>
    <row r="1458" spans="1:13" x14ac:dyDescent="0.25">
      <c r="A1458" s="2" t="s">
        <v>1531</v>
      </c>
      <c r="B1458" s="3">
        <v>45930</v>
      </c>
      <c r="C1458" s="2" t="s">
        <v>12</v>
      </c>
      <c r="D1458" s="2" t="s">
        <v>12</v>
      </c>
      <c r="E1458" s="2" t="s">
        <v>13</v>
      </c>
      <c r="F1458" s="2" t="s">
        <v>20</v>
      </c>
      <c r="G1458" s="2" t="s">
        <v>21</v>
      </c>
      <c r="H1458" s="2">
        <v>1</v>
      </c>
      <c r="I1458" s="4">
        <v>14.14</v>
      </c>
      <c r="J1458" s="2" t="s">
        <v>16</v>
      </c>
      <c r="K1458">
        <f>H1458*I1458</f>
        <v>14.14</v>
      </c>
      <c r="L1458" t="str">
        <f t="shared" si="44"/>
        <v>Sep</v>
      </c>
      <c r="M1458">
        <f t="shared" si="45"/>
        <v>9</v>
      </c>
    </row>
    <row r="1459" spans="1:13" x14ac:dyDescent="0.25">
      <c r="A1459" s="2" t="s">
        <v>1532</v>
      </c>
      <c r="B1459" s="3">
        <v>45930</v>
      </c>
      <c r="C1459" s="2" t="s">
        <v>101</v>
      </c>
      <c r="D1459" s="2" t="s">
        <v>102</v>
      </c>
      <c r="E1459" s="2" t="s">
        <v>36</v>
      </c>
      <c r="F1459" s="2" t="s">
        <v>14</v>
      </c>
      <c r="G1459" s="2" t="s">
        <v>103</v>
      </c>
      <c r="H1459" s="2">
        <v>6</v>
      </c>
      <c r="I1459" s="4">
        <v>92.92</v>
      </c>
      <c r="J1459" s="2" t="s">
        <v>16</v>
      </c>
      <c r="K1459">
        <f>H1459*I1459</f>
        <v>557.52</v>
      </c>
      <c r="L1459" t="str">
        <f t="shared" si="44"/>
        <v>Sep</v>
      </c>
      <c r="M1459">
        <f t="shared" si="45"/>
        <v>9</v>
      </c>
    </row>
    <row r="1460" spans="1:13" x14ac:dyDescent="0.25">
      <c r="A1460" s="2" t="s">
        <v>1533</v>
      </c>
      <c r="B1460" s="3">
        <v>45930</v>
      </c>
      <c r="C1460" s="2" t="s">
        <v>190</v>
      </c>
      <c r="D1460" s="2" t="s">
        <v>40</v>
      </c>
      <c r="E1460" s="2" t="s">
        <v>19</v>
      </c>
      <c r="F1460" s="2" t="s">
        <v>14</v>
      </c>
      <c r="G1460" s="2" t="s">
        <v>191</v>
      </c>
      <c r="H1460" s="2">
        <v>6</v>
      </c>
      <c r="I1460" s="4">
        <v>142</v>
      </c>
      <c r="J1460" s="2" t="s">
        <v>16</v>
      </c>
      <c r="K1460">
        <f>H1460*I1460</f>
        <v>852</v>
      </c>
      <c r="L1460" t="str">
        <f t="shared" si="44"/>
        <v>Sep</v>
      </c>
      <c r="M1460">
        <f t="shared" si="45"/>
        <v>9</v>
      </c>
    </row>
    <row r="1461" spans="1:13" x14ac:dyDescent="0.25">
      <c r="A1461" s="2" t="s">
        <v>1534</v>
      </c>
      <c r="B1461" s="3">
        <v>45930</v>
      </c>
      <c r="C1461" s="2" t="s">
        <v>30</v>
      </c>
      <c r="D1461" s="2" t="s">
        <v>30</v>
      </c>
      <c r="E1461" s="2" t="s">
        <v>13</v>
      </c>
      <c r="F1461" s="2" t="s">
        <v>20</v>
      </c>
      <c r="G1461" s="2" t="s">
        <v>21</v>
      </c>
      <c r="H1461" s="2">
        <v>2</v>
      </c>
      <c r="I1461" s="4">
        <v>15.15</v>
      </c>
      <c r="J1461" s="2" t="s">
        <v>16</v>
      </c>
      <c r="K1461">
        <f>H1461*I1461</f>
        <v>30.3</v>
      </c>
      <c r="L1461" t="str">
        <f t="shared" si="44"/>
        <v>Sep</v>
      </c>
      <c r="M1461">
        <f t="shared" si="45"/>
        <v>9</v>
      </c>
    </row>
    <row r="1462" spans="1:13" x14ac:dyDescent="0.25">
      <c r="A1462" s="2" t="s">
        <v>1535</v>
      </c>
      <c r="B1462" s="3">
        <v>45930</v>
      </c>
      <c r="C1462" s="2" t="s">
        <v>43</v>
      </c>
      <c r="D1462" s="2" t="s">
        <v>43</v>
      </c>
      <c r="E1462" s="2" t="s">
        <v>44</v>
      </c>
      <c r="F1462" s="2" t="s">
        <v>20</v>
      </c>
      <c r="G1462" s="2" t="s">
        <v>21</v>
      </c>
      <c r="H1462" s="2">
        <v>3</v>
      </c>
      <c r="I1462" s="4">
        <v>18.18</v>
      </c>
      <c r="J1462" s="2" t="s">
        <v>16</v>
      </c>
      <c r="K1462">
        <f>H1462*I1462</f>
        <v>54.54</v>
      </c>
      <c r="L1462" t="str">
        <f t="shared" si="44"/>
        <v>Sep</v>
      </c>
      <c r="M1462">
        <f t="shared" si="45"/>
        <v>9</v>
      </c>
    </row>
    <row r="1463" spans="1:13" x14ac:dyDescent="0.25">
      <c r="A1463" s="2" t="s">
        <v>1536</v>
      </c>
      <c r="B1463" s="3">
        <v>45931</v>
      </c>
      <c r="C1463" s="2" t="s">
        <v>119</v>
      </c>
      <c r="D1463" s="2" t="s">
        <v>120</v>
      </c>
      <c r="E1463" s="2" t="s">
        <v>76</v>
      </c>
      <c r="F1463" s="2" t="s">
        <v>14</v>
      </c>
      <c r="G1463" s="2" t="s">
        <v>121</v>
      </c>
      <c r="H1463" s="2">
        <v>3</v>
      </c>
      <c r="I1463" s="4">
        <v>191.9</v>
      </c>
      <c r="J1463" s="2" t="s">
        <v>16</v>
      </c>
      <c r="K1463">
        <f>H1463*I1463</f>
        <v>575.70000000000005</v>
      </c>
      <c r="L1463" t="str">
        <f t="shared" si="44"/>
        <v>Oct</v>
      </c>
      <c r="M1463">
        <f t="shared" si="45"/>
        <v>10</v>
      </c>
    </row>
    <row r="1464" spans="1:13" x14ac:dyDescent="0.25">
      <c r="A1464" s="2" t="s">
        <v>1537</v>
      </c>
      <c r="B1464" s="3">
        <v>45931</v>
      </c>
      <c r="C1464" s="2" t="s">
        <v>18</v>
      </c>
      <c r="D1464" s="2" t="s">
        <v>18</v>
      </c>
      <c r="E1464" s="2" t="s">
        <v>19</v>
      </c>
      <c r="F1464" s="2" t="s">
        <v>20</v>
      </c>
      <c r="G1464" s="2" t="s">
        <v>21</v>
      </c>
      <c r="H1464" s="2">
        <v>3</v>
      </c>
      <c r="I1464" s="4">
        <v>15.15</v>
      </c>
      <c r="J1464" s="2" t="s">
        <v>38</v>
      </c>
      <c r="K1464">
        <f>H1464*I1464</f>
        <v>45.45</v>
      </c>
      <c r="L1464" t="str">
        <f t="shared" si="44"/>
        <v>Oct</v>
      </c>
      <c r="M1464">
        <f t="shared" si="45"/>
        <v>10</v>
      </c>
    </row>
    <row r="1465" spans="1:13" x14ac:dyDescent="0.25">
      <c r="A1465" s="2" t="s">
        <v>1538</v>
      </c>
      <c r="B1465" s="3">
        <v>45931</v>
      </c>
      <c r="C1465" s="2" t="s">
        <v>108</v>
      </c>
      <c r="D1465" s="2" t="s">
        <v>109</v>
      </c>
      <c r="E1465" s="2" t="s">
        <v>13</v>
      </c>
      <c r="F1465" s="2" t="s">
        <v>14</v>
      </c>
      <c r="G1465" s="2" t="s">
        <v>110</v>
      </c>
      <c r="H1465" s="2">
        <v>1</v>
      </c>
      <c r="I1465" s="4">
        <v>62</v>
      </c>
      <c r="J1465" s="2" t="s">
        <v>38</v>
      </c>
      <c r="K1465">
        <f>H1465*I1465</f>
        <v>62</v>
      </c>
      <c r="L1465" t="str">
        <f t="shared" si="44"/>
        <v>Oct</v>
      </c>
      <c r="M1465">
        <f t="shared" si="45"/>
        <v>10</v>
      </c>
    </row>
    <row r="1466" spans="1:13" x14ac:dyDescent="0.25">
      <c r="A1466" s="2" t="s">
        <v>1539</v>
      </c>
      <c r="B1466" s="3">
        <v>45931</v>
      </c>
      <c r="C1466" s="2" t="s">
        <v>42</v>
      </c>
      <c r="D1466" s="2" t="s">
        <v>43</v>
      </c>
      <c r="E1466" s="2" t="s">
        <v>44</v>
      </c>
      <c r="F1466" s="2" t="s">
        <v>14</v>
      </c>
      <c r="G1466" s="2" t="s">
        <v>45</v>
      </c>
      <c r="H1466" s="2">
        <v>5</v>
      </c>
      <c r="I1466" s="4">
        <v>46.46</v>
      </c>
      <c r="J1466" s="2" t="s">
        <v>31</v>
      </c>
      <c r="K1466">
        <f>H1466*I1466</f>
        <v>232.3</v>
      </c>
      <c r="L1466" t="str">
        <f t="shared" si="44"/>
        <v>Oct</v>
      </c>
      <c r="M1466">
        <f t="shared" si="45"/>
        <v>10</v>
      </c>
    </row>
    <row r="1467" spans="1:13" x14ac:dyDescent="0.25">
      <c r="A1467" s="2" t="s">
        <v>1540</v>
      </c>
      <c r="B1467" s="3">
        <v>45932</v>
      </c>
      <c r="C1467" s="2" t="s">
        <v>11</v>
      </c>
      <c r="D1467" s="2" t="s">
        <v>12</v>
      </c>
      <c r="E1467" s="2" t="s">
        <v>13</v>
      </c>
      <c r="F1467" s="2" t="s">
        <v>14</v>
      </c>
      <c r="G1467" s="2" t="s">
        <v>15</v>
      </c>
      <c r="H1467" s="2">
        <v>3</v>
      </c>
      <c r="I1467" s="4">
        <v>32.32</v>
      </c>
      <c r="J1467" s="2" t="s">
        <v>38</v>
      </c>
      <c r="K1467">
        <f>H1467*I1467</f>
        <v>96.960000000000008</v>
      </c>
      <c r="L1467" t="str">
        <f t="shared" si="44"/>
        <v>Oct</v>
      </c>
      <c r="M1467">
        <f t="shared" si="45"/>
        <v>10</v>
      </c>
    </row>
    <row r="1468" spans="1:13" x14ac:dyDescent="0.25">
      <c r="A1468" s="2" t="s">
        <v>1541</v>
      </c>
      <c r="B1468" s="3">
        <v>45932</v>
      </c>
      <c r="C1468" s="2" t="s">
        <v>48</v>
      </c>
      <c r="D1468" s="2" t="s">
        <v>48</v>
      </c>
      <c r="E1468" s="2" t="s">
        <v>49</v>
      </c>
      <c r="F1468" s="2" t="s">
        <v>20</v>
      </c>
      <c r="G1468" s="2" t="s">
        <v>21</v>
      </c>
      <c r="H1468" s="2">
        <v>2</v>
      </c>
      <c r="I1468" s="4">
        <v>55</v>
      </c>
      <c r="J1468" s="2" t="s">
        <v>22</v>
      </c>
      <c r="K1468">
        <f>H1468*I1468</f>
        <v>110</v>
      </c>
      <c r="L1468" t="str">
        <f t="shared" si="44"/>
        <v>Oct</v>
      </c>
      <c r="M1468">
        <f t="shared" si="45"/>
        <v>10</v>
      </c>
    </row>
    <row r="1469" spans="1:13" x14ac:dyDescent="0.25">
      <c r="A1469" s="2" t="s">
        <v>1542</v>
      </c>
      <c r="B1469" s="3">
        <v>45932</v>
      </c>
      <c r="C1469" s="2" t="s">
        <v>67</v>
      </c>
      <c r="D1469" s="2" t="s">
        <v>68</v>
      </c>
      <c r="E1469" s="2" t="s">
        <v>49</v>
      </c>
      <c r="F1469" s="2" t="s">
        <v>14</v>
      </c>
      <c r="G1469" s="2" t="s">
        <v>69</v>
      </c>
      <c r="H1469" s="2">
        <v>5</v>
      </c>
      <c r="I1469" s="4">
        <v>207.05</v>
      </c>
      <c r="J1469" s="2" t="s">
        <v>31</v>
      </c>
      <c r="K1469">
        <f>H1469*I1469</f>
        <v>1035.25</v>
      </c>
      <c r="L1469" t="str">
        <f t="shared" si="44"/>
        <v>Oct</v>
      </c>
      <c r="M1469">
        <f t="shared" si="45"/>
        <v>10</v>
      </c>
    </row>
    <row r="1470" spans="1:13" x14ac:dyDescent="0.25">
      <c r="A1470" s="2" t="s">
        <v>1543</v>
      </c>
      <c r="B1470" s="3">
        <v>45932</v>
      </c>
      <c r="C1470" s="2" t="s">
        <v>40</v>
      </c>
      <c r="D1470" s="2" t="s">
        <v>40</v>
      </c>
      <c r="E1470" s="2" t="s">
        <v>19</v>
      </c>
      <c r="F1470" s="2" t="s">
        <v>20</v>
      </c>
      <c r="G1470" s="2" t="s">
        <v>21</v>
      </c>
      <c r="H1470" s="2">
        <v>1</v>
      </c>
      <c r="I1470" s="4">
        <v>46</v>
      </c>
      <c r="J1470" s="2" t="s">
        <v>16</v>
      </c>
      <c r="K1470">
        <f>H1470*I1470</f>
        <v>46</v>
      </c>
      <c r="L1470" t="str">
        <f t="shared" si="44"/>
        <v>Oct</v>
      </c>
      <c r="M1470">
        <f t="shared" si="45"/>
        <v>10</v>
      </c>
    </row>
    <row r="1471" spans="1:13" x14ac:dyDescent="0.25">
      <c r="A1471" s="2" t="s">
        <v>1544</v>
      </c>
      <c r="B1471" s="3">
        <v>45933</v>
      </c>
      <c r="C1471" s="2" t="s">
        <v>67</v>
      </c>
      <c r="D1471" s="2" t="s">
        <v>68</v>
      </c>
      <c r="E1471" s="2" t="s">
        <v>49</v>
      </c>
      <c r="F1471" s="2" t="s">
        <v>14</v>
      </c>
      <c r="G1471" s="2" t="s">
        <v>69</v>
      </c>
      <c r="H1471" s="2">
        <v>4</v>
      </c>
      <c r="I1471" s="4">
        <v>207.05</v>
      </c>
      <c r="J1471" s="2" t="s">
        <v>16</v>
      </c>
      <c r="K1471">
        <f>H1471*I1471</f>
        <v>828.2</v>
      </c>
      <c r="L1471" t="str">
        <f t="shared" si="44"/>
        <v>Oct</v>
      </c>
      <c r="M1471">
        <f t="shared" si="45"/>
        <v>10</v>
      </c>
    </row>
    <row r="1472" spans="1:13" x14ac:dyDescent="0.25">
      <c r="A1472" s="2" t="s">
        <v>1545</v>
      </c>
      <c r="B1472" s="3">
        <v>45933</v>
      </c>
      <c r="C1472" s="2" t="s">
        <v>74</v>
      </c>
      <c r="D1472" s="2" t="s">
        <v>75</v>
      </c>
      <c r="E1472" s="2" t="s">
        <v>76</v>
      </c>
      <c r="F1472" s="2" t="s">
        <v>14</v>
      </c>
      <c r="G1472" s="2" t="s">
        <v>77</v>
      </c>
      <c r="H1472" s="2">
        <v>6</v>
      </c>
      <c r="I1472" s="4">
        <v>32.32</v>
      </c>
      <c r="J1472" s="2" t="s">
        <v>22</v>
      </c>
      <c r="K1472">
        <f>H1472*I1472</f>
        <v>193.92000000000002</v>
      </c>
      <c r="L1472" t="str">
        <f t="shared" si="44"/>
        <v>Oct</v>
      </c>
      <c r="M1472">
        <f t="shared" si="45"/>
        <v>10</v>
      </c>
    </row>
    <row r="1473" spans="1:13" x14ac:dyDescent="0.25">
      <c r="A1473" s="2" t="s">
        <v>1546</v>
      </c>
      <c r="B1473" s="3">
        <v>45933</v>
      </c>
      <c r="C1473" s="2" t="s">
        <v>34</v>
      </c>
      <c r="D1473" s="2" t="s">
        <v>35</v>
      </c>
      <c r="E1473" s="2" t="s">
        <v>36</v>
      </c>
      <c r="F1473" s="2" t="s">
        <v>14</v>
      </c>
      <c r="G1473" s="2" t="s">
        <v>37</v>
      </c>
      <c r="H1473" s="2">
        <v>12</v>
      </c>
      <c r="I1473" s="4">
        <v>165</v>
      </c>
      <c r="J1473" s="2" t="s">
        <v>16</v>
      </c>
      <c r="K1473">
        <f>H1473*I1473</f>
        <v>1980</v>
      </c>
      <c r="L1473" t="str">
        <f t="shared" si="44"/>
        <v>Oct</v>
      </c>
      <c r="M1473">
        <f t="shared" si="45"/>
        <v>10</v>
      </c>
    </row>
    <row r="1474" spans="1:13" x14ac:dyDescent="0.25">
      <c r="A1474" s="2" t="s">
        <v>1547</v>
      </c>
      <c r="B1474" s="3">
        <v>45933</v>
      </c>
      <c r="C1474" s="2" t="s">
        <v>190</v>
      </c>
      <c r="D1474" s="2" t="s">
        <v>40</v>
      </c>
      <c r="E1474" s="2" t="s">
        <v>19</v>
      </c>
      <c r="F1474" s="2" t="s">
        <v>14</v>
      </c>
      <c r="G1474" s="2" t="s">
        <v>191</v>
      </c>
      <c r="H1474" s="2">
        <v>6</v>
      </c>
      <c r="I1474" s="4">
        <v>142</v>
      </c>
      <c r="J1474" s="2" t="s">
        <v>16</v>
      </c>
      <c r="K1474">
        <f>H1474*I1474</f>
        <v>852</v>
      </c>
      <c r="L1474" t="str">
        <f t="shared" si="44"/>
        <v>Oct</v>
      </c>
      <c r="M1474">
        <f t="shared" si="45"/>
        <v>10</v>
      </c>
    </row>
    <row r="1475" spans="1:13" x14ac:dyDescent="0.25">
      <c r="A1475" s="2" t="s">
        <v>1548</v>
      </c>
      <c r="B1475" s="3">
        <v>45934</v>
      </c>
      <c r="C1475" s="2" t="s">
        <v>86</v>
      </c>
      <c r="D1475" s="2" t="s">
        <v>48</v>
      </c>
      <c r="E1475" s="2" t="s">
        <v>49</v>
      </c>
      <c r="F1475" s="2" t="s">
        <v>14</v>
      </c>
      <c r="G1475" s="2" t="s">
        <v>87</v>
      </c>
      <c r="H1475" s="2">
        <v>1</v>
      </c>
      <c r="I1475" s="4">
        <v>125</v>
      </c>
      <c r="J1475" s="2" t="s">
        <v>38</v>
      </c>
      <c r="K1475">
        <f>H1475*I1475</f>
        <v>125</v>
      </c>
      <c r="L1475" t="str">
        <f t="shared" ref="L1475:L1538" si="46">TEXT(B1475,"mmm")</f>
        <v>Oct</v>
      </c>
      <c r="M1475">
        <f t="shared" ref="M1475:M1538" si="47">MONTH(B1475)</f>
        <v>10</v>
      </c>
    </row>
    <row r="1476" spans="1:13" x14ac:dyDescent="0.25">
      <c r="A1476" s="2" t="s">
        <v>1549</v>
      </c>
      <c r="B1476" s="3">
        <v>45934</v>
      </c>
      <c r="C1476" s="2" t="s">
        <v>119</v>
      </c>
      <c r="D1476" s="2" t="s">
        <v>120</v>
      </c>
      <c r="E1476" s="2" t="s">
        <v>76</v>
      </c>
      <c r="F1476" s="2" t="s">
        <v>14</v>
      </c>
      <c r="G1476" s="2" t="s">
        <v>121</v>
      </c>
      <c r="H1476" s="2">
        <v>1</v>
      </c>
      <c r="I1476" s="4">
        <v>190</v>
      </c>
      <c r="J1476" s="2" t="s">
        <v>38</v>
      </c>
      <c r="K1476">
        <f>H1476*I1476</f>
        <v>190</v>
      </c>
      <c r="L1476" t="str">
        <f t="shared" si="46"/>
        <v>Oct</v>
      </c>
      <c r="M1476">
        <f t="shared" si="47"/>
        <v>10</v>
      </c>
    </row>
    <row r="1477" spans="1:13" x14ac:dyDescent="0.25">
      <c r="A1477" s="2" t="s">
        <v>1550</v>
      </c>
      <c r="B1477" s="3">
        <v>45934</v>
      </c>
      <c r="C1477" s="2" t="s">
        <v>52</v>
      </c>
      <c r="D1477" s="2" t="s">
        <v>30</v>
      </c>
      <c r="E1477" s="2" t="s">
        <v>13</v>
      </c>
      <c r="F1477" s="2" t="s">
        <v>14</v>
      </c>
      <c r="G1477" s="2" t="s">
        <v>53</v>
      </c>
      <c r="H1477" s="2">
        <v>1</v>
      </c>
      <c r="I1477" s="4">
        <v>42.42</v>
      </c>
      <c r="J1477" s="2" t="s">
        <v>31</v>
      </c>
      <c r="K1477">
        <f>H1477*I1477</f>
        <v>42.42</v>
      </c>
      <c r="L1477" t="str">
        <f t="shared" si="46"/>
        <v>Oct</v>
      </c>
      <c r="M1477">
        <f t="shared" si="47"/>
        <v>10</v>
      </c>
    </row>
    <row r="1478" spans="1:13" x14ac:dyDescent="0.25">
      <c r="A1478" s="2" t="s">
        <v>1551</v>
      </c>
      <c r="B1478" s="3">
        <v>45934</v>
      </c>
      <c r="C1478" s="2" t="s">
        <v>42</v>
      </c>
      <c r="D1478" s="2" t="s">
        <v>43</v>
      </c>
      <c r="E1478" s="2" t="s">
        <v>44</v>
      </c>
      <c r="F1478" s="2" t="s">
        <v>14</v>
      </c>
      <c r="G1478" s="2" t="s">
        <v>45</v>
      </c>
      <c r="H1478" s="2">
        <v>4</v>
      </c>
      <c r="I1478" s="4">
        <v>46</v>
      </c>
      <c r="J1478" s="2" t="s">
        <v>31</v>
      </c>
      <c r="K1478">
        <f>H1478*I1478</f>
        <v>184</v>
      </c>
      <c r="L1478" t="str">
        <f t="shared" si="46"/>
        <v>Oct</v>
      </c>
      <c r="M1478">
        <f t="shared" si="47"/>
        <v>10</v>
      </c>
    </row>
    <row r="1479" spans="1:13" x14ac:dyDescent="0.25">
      <c r="A1479" s="2" t="s">
        <v>1552</v>
      </c>
      <c r="B1479" s="3">
        <v>45934</v>
      </c>
      <c r="C1479" s="2" t="s">
        <v>43</v>
      </c>
      <c r="D1479" s="2" t="s">
        <v>43</v>
      </c>
      <c r="E1479" s="2" t="s">
        <v>44</v>
      </c>
      <c r="F1479" s="2" t="s">
        <v>20</v>
      </c>
      <c r="G1479" s="2" t="s">
        <v>21</v>
      </c>
      <c r="H1479" s="2">
        <v>5</v>
      </c>
      <c r="I1479" s="4">
        <v>18.18</v>
      </c>
      <c r="J1479" s="2" t="s">
        <v>22</v>
      </c>
      <c r="K1479">
        <f>H1479*I1479</f>
        <v>90.9</v>
      </c>
      <c r="L1479" t="str">
        <f t="shared" si="46"/>
        <v>Oct</v>
      </c>
      <c r="M1479">
        <f t="shared" si="47"/>
        <v>10</v>
      </c>
    </row>
    <row r="1480" spans="1:13" x14ac:dyDescent="0.25">
      <c r="A1480" s="2" t="s">
        <v>1553</v>
      </c>
      <c r="B1480" s="3">
        <v>45935</v>
      </c>
      <c r="C1480" s="2" t="s">
        <v>11</v>
      </c>
      <c r="D1480" s="2" t="s">
        <v>12</v>
      </c>
      <c r="E1480" s="2" t="s">
        <v>13</v>
      </c>
      <c r="F1480" s="2" t="s">
        <v>14</v>
      </c>
      <c r="G1480" s="2" t="s">
        <v>15</v>
      </c>
      <c r="H1480" s="2">
        <v>3</v>
      </c>
      <c r="I1480" s="4">
        <v>32.32</v>
      </c>
      <c r="J1480" s="2" t="s">
        <v>22</v>
      </c>
      <c r="K1480">
        <f>H1480*I1480</f>
        <v>96.960000000000008</v>
      </c>
      <c r="L1480" t="str">
        <f t="shared" si="46"/>
        <v>Oct</v>
      </c>
      <c r="M1480">
        <f t="shared" si="47"/>
        <v>10</v>
      </c>
    </row>
    <row r="1481" spans="1:13" x14ac:dyDescent="0.25">
      <c r="A1481" s="2" t="s">
        <v>1554</v>
      </c>
      <c r="B1481" s="3">
        <v>45935</v>
      </c>
      <c r="C1481" s="2" t="s">
        <v>48</v>
      </c>
      <c r="D1481" s="2" t="s">
        <v>48</v>
      </c>
      <c r="E1481" s="2" t="s">
        <v>49</v>
      </c>
      <c r="F1481" s="2" t="s">
        <v>20</v>
      </c>
      <c r="G1481" s="2" t="s">
        <v>21</v>
      </c>
      <c r="H1481" s="2">
        <v>1</v>
      </c>
      <c r="I1481" s="4">
        <v>55.55</v>
      </c>
      <c r="J1481" s="2" t="s">
        <v>38</v>
      </c>
      <c r="K1481">
        <f>H1481*I1481</f>
        <v>55.55</v>
      </c>
      <c r="L1481" t="str">
        <f t="shared" si="46"/>
        <v>Oct</v>
      </c>
      <c r="M1481">
        <f t="shared" si="47"/>
        <v>10</v>
      </c>
    </row>
    <row r="1482" spans="1:13" x14ac:dyDescent="0.25">
      <c r="A1482" s="2" t="s">
        <v>1555</v>
      </c>
      <c r="B1482" s="3">
        <v>45935</v>
      </c>
      <c r="C1482" s="2" t="s">
        <v>74</v>
      </c>
      <c r="D1482" s="2" t="s">
        <v>75</v>
      </c>
      <c r="E1482" s="2" t="s">
        <v>76</v>
      </c>
      <c r="F1482" s="2" t="s">
        <v>14</v>
      </c>
      <c r="G1482" s="2" t="s">
        <v>77</v>
      </c>
      <c r="H1482" s="2">
        <v>3</v>
      </c>
      <c r="I1482" s="4">
        <v>32.32</v>
      </c>
      <c r="J1482" s="2" t="s">
        <v>16</v>
      </c>
      <c r="K1482">
        <f>H1482*I1482</f>
        <v>96.960000000000008</v>
      </c>
      <c r="L1482" t="str">
        <f t="shared" si="46"/>
        <v>Oct</v>
      </c>
      <c r="M1482">
        <f t="shared" si="47"/>
        <v>10</v>
      </c>
    </row>
    <row r="1483" spans="1:13" x14ac:dyDescent="0.25">
      <c r="A1483" s="2" t="s">
        <v>1556</v>
      </c>
      <c r="B1483" s="3">
        <v>45935</v>
      </c>
      <c r="C1483" s="2" t="s">
        <v>79</v>
      </c>
      <c r="D1483" s="2" t="s">
        <v>80</v>
      </c>
      <c r="E1483" s="2" t="s">
        <v>26</v>
      </c>
      <c r="F1483" s="2" t="s">
        <v>14</v>
      </c>
      <c r="G1483" s="2" t="s">
        <v>81</v>
      </c>
      <c r="H1483" s="2">
        <v>1</v>
      </c>
      <c r="I1483" s="4">
        <v>153.52000000000001</v>
      </c>
      <c r="J1483" s="2" t="s">
        <v>16</v>
      </c>
      <c r="K1483">
        <f>H1483*I1483</f>
        <v>153.52000000000001</v>
      </c>
      <c r="L1483" t="str">
        <f t="shared" si="46"/>
        <v>Oct</v>
      </c>
      <c r="M1483">
        <f t="shared" si="47"/>
        <v>10</v>
      </c>
    </row>
    <row r="1484" spans="1:13" x14ac:dyDescent="0.25">
      <c r="A1484" s="2" t="s">
        <v>1557</v>
      </c>
      <c r="B1484" s="3">
        <v>45935</v>
      </c>
      <c r="C1484" s="2" t="s">
        <v>60</v>
      </c>
      <c r="D1484" s="2" t="s">
        <v>61</v>
      </c>
      <c r="E1484" s="2" t="s">
        <v>62</v>
      </c>
      <c r="F1484" s="2" t="s">
        <v>14</v>
      </c>
      <c r="G1484" s="2" t="s">
        <v>63</v>
      </c>
      <c r="H1484" s="2">
        <v>5</v>
      </c>
      <c r="I1484" s="4">
        <v>26</v>
      </c>
      <c r="J1484" s="2" t="s">
        <v>22</v>
      </c>
      <c r="K1484">
        <f>H1484*I1484</f>
        <v>130</v>
      </c>
      <c r="L1484" t="str">
        <f t="shared" si="46"/>
        <v>Oct</v>
      </c>
      <c r="M1484">
        <f t="shared" si="47"/>
        <v>10</v>
      </c>
    </row>
    <row r="1485" spans="1:13" x14ac:dyDescent="0.25">
      <c r="A1485" s="2" t="s">
        <v>1558</v>
      </c>
      <c r="B1485" s="3">
        <v>45935</v>
      </c>
      <c r="C1485" s="2" t="s">
        <v>61</v>
      </c>
      <c r="D1485" s="2" t="s">
        <v>61</v>
      </c>
      <c r="E1485" s="2" t="s">
        <v>62</v>
      </c>
      <c r="F1485" s="2" t="s">
        <v>20</v>
      </c>
      <c r="G1485" s="2" t="s">
        <v>21</v>
      </c>
      <c r="H1485" s="2">
        <v>2</v>
      </c>
      <c r="I1485" s="4">
        <v>8</v>
      </c>
      <c r="J1485" s="2" t="s">
        <v>16</v>
      </c>
      <c r="K1485">
        <f>H1485*I1485</f>
        <v>16</v>
      </c>
      <c r="L1485" t="str">
        <f t="shared" si="46"/>
        <v>Oct</v>
      </c>
      <c r="M1485">
        <f t="shared" si="47"/>
        <v>10</v>
      </c>
    </row>
    <row r="1486" spans="1:13" x14ac:dyDescent="0.25">
      <c r="A1486" s="2" t="s">
        <v>1559</v>
      </c>
      <c r="B1486" s="3">
        <v>45935</v>
      </c>
      <c r="C1486" s="2" t="s">
        <v>194</v>
      </c>
      <c r="D1486" s="2" t="s">
        <v>98</v>
      </c>
      <c r="E1486" s="2" t="s">
        <v>99</v>
      </c>
      <c r="F1486" s="2" t="s">
        <v>20</v>
      </c>
      <c r="G1486" s="2" t="s">
        <v>21</v>
      </c>
      <c r="H1486" s="2">
        <v>2</v>
      </c>
      <c r="I1486" s="4">
        <v>70.7</v>
      </c>
      <c r="J1486" s="2" t="s">
        <v>16</v>
      </c>
      <c r="K1486">
        <f>H1486*I1486</f>
        <v>141.4</v>
      </c>
      <c r="L1486" t="str">
        <f t="shared" si="46"/>
        <v>Oct</v>
      </c>
      <c r="M1486">
        <f t="shared" si="47"/>
        <v>10</v>
      </c>
    </row>
    <row r="1487" spans="1:13" x14ac:dyDescent="0.25">
      <c r="A1487" s="2" t="s">
        <v>1560</v>
      </c>
      <c r="B1487" s="3">
        <v>45935</v>
      </c>
      <c r="C1487" s="2" t="s">
        <v>52</v>
      </c>
      <c r="D1487" s="2" t="s">
        <v>30</v>
      </c>
      <c r="E1487" s="2" t="s">
        <v>13</v>
      </c>
      <c r="F1487" s="2" t="s">
        <v>14</v>
      </c>
      <c r="G1487" s="2" t="s">
        <v>53</v>
      </c>
      <c r="H1487" s="2">
        <v>2</v>
      </c>
      <c r="I1487" s="4">
        <v>42.42</v>
      </c>
      <c r="J1487" s="2" t="s">
        <v>31</v>
      </c>
      <c r="K1487">
        <f>H1487*I1487</f>
        <v>84.84</v>
      </c>
      <c r="L1487" t="str">
        <f t="shared" si="46"/>
        <v>Oct</v>
      </c>
      <c r="M1487">
        <f t="shared" si="47"/>
        <v>10</v>
      </c>
    </row>
    <row r="1488" spans="1:13" x14ac:dyDescent="0.25">
      <c r="A1488" s="2" t="s">
        <v>1561</v>
      </c>
      <c r="B1488" s="3">
        <v>45935</v>
      </c>
      <c r="C1488" s="2" t="s">
        <v>108</v>
      </c>
      <c r="D1488" s="2" t="s">
        <v>109</v>
      </c>
      <c r="E1488" s="2" t="s">
        <v>13</v>
      </c>
      <c r="F1488" s="2" t="s">
        <v>14</v>
      </c>
      <c r="G1488" s="2" t="s">
        <v>110</v>
      </c>
      <c r="H1488" s="2">
        <v>1</v>
      </c>
      <c r="I1488" s="4">
        <v>62.62</v>
      </c>
      <c r="J1488" s="2" t="s">
        <v>31</v>
      </c>
      <c r="K1488">
        <f>H1488*I1488</f>
        <v>62.62</v>
      </c>
      <c r="L1488" t="str">
        <f t="shared" si="46"/>
        <v>Oct</v>
      </c>
      <c r="M1488">
        <f t="shared" si="47"/>
        <v>10</v>
      </c>
    </row>
    <row r="1489" spans="1:13" x14ac:dyDescent="0.25">
      <c r="A1489" s="2" t="s">
        <v>1562</v>
      </c>
      <c r="B1489" s="3">
        <v>45935</v>
      </c>
      <c r="C1489" s="2" t="s">
        <v>43</v>
      </c>
      <c r="D1489" s="2" t="s">
        <v>43</v>
      </c>
      <c r="E1489" s="2" t="s">
        <v>44</v>
      </c>
      <c r="F1489" s="2" t="s">
        <v>20</v>
      </c>
      <c r="G1489" s="2" t="s">
        <v>21</v>
      </c>
      <c r="H1489" s="2">
        <v>1</v>
      </c>
      <c r="I1489" s="4">
        <v>18.18</v>
      </c>
      <c r="J1489" s="2" t="s">
        <v>16</v>
      </c>
      <c r="K1489">
        <f>H1489*I1489</f>
        <v>18.18</v>
      </c>
      <c r="L1489" t="str">
        <f t="shared" si="46"/>
        <v>Oct</v>
      </c>
      <c r="M1489">
        <f t="shared" si="47"/>
        <v>10</v>
      </c>
    </row>
    <row r="1490" spans="1:13" x14ac:dyDescent="0.25">
      <c r="A1490" s="2" t="s">
        <v>1563</v>
      </c>
      <c r="B1490" s="3">
        <v>45936</v>
      </c>
      <c r="C1490" s="2" t="s">
        <v>18</v>
      </c>
      <c r="D1490" s="2" t="s">
        <v>18</v>
      </c>
      <c r="E1490" s="2" t="s">
        <v>19</v>
      </c>
      <c r="F1490" s="2" t="s">
        <v>20</v>
      </c>
      <c r="G1490" s="2" t="s">
        <v>21</v>
      </c>
      <c r="H1490" s="2">
        <v>6</v>
      </c>
      <c r="I1490" s="4">
        <v>15.15</v>
      </c>
      <c r="J1490" s="2" t="s">
        <v>16</v>
      </c>
      <c r="K1490">
        <f>H1490*I1490</f>
        <v>90.9</v>
      </c>
      <c r="L1490" t="str">
        <f t="shared" si="46"/>
        <v>Oct</v>
      </c>
      <c r="M1490">
        <f t="shared" si="47"/>
        <v>10</v>
      </c>
    </row>
    <row r="1491" spans="1:13" x14ac:dyDescent="0.25">
      <c r="A1491" s="2" t="s">
        <v>1564</v>
      </c>
      <c r="B1491" s="3">
        <v>45936</v>
      </c>
      <c r="C1491" s="2" t="s">
        <v>18</v>
      </c>
      <c r="D1491" s="2" t="s">
        <v>18</v>
      </c>
      <c r="E1491" s="2" t="s">
        <v>19</v>
      </c>
      <c r="F1491" s="2" t="s">
        <v>20</v>
      </c>
      <c r="G1491" s="2" t="s">
        <v>21</v>
      </c>
      <c r="H1491" s="2">
        <v>1</v>
      </c>
      <c r="I1491" s="4">
        <v>15.15</v>
      </c>
      <c r="J1491" s="2" t="s">
        <v>31</v>
      </c>
      <c r="K1491">
        <f>H1491*I1491</f>
        <v>15.15</v>
      </c>
      <c r="L1491" t="str">
        <f t="shared" si="46"/>
        <v>Oct</v>
      </c>
      <c r="M1491">
        <f t="shared" si="47"/>
        <v>10</v>
      </c>
    </row>
    <row r="1492" spans="1:13" x14ac:dyDescent="0.25">
      <c r="A1492" s="2" t="s">
        <v>1565</v>
      </c>
      <c r="B1492" s="3">
        <v>45936</v>
      </c>
      <c r="C1492" s="2" t="s">
        <v>109</v>
      </c>
      <c r="D1492" s="2" t="s">
        <v>109</v>
      </c>
      <c r="E1492" s="2" t="s">
        <v>13</v>
      </c>
      <c r="F1492" s="2" t="s">
        <v>20</v>
      </c>
      <c r="G1492" s="2" t="s">
        <v>21</v>
      </c>
      <c r="H1492" s="2">
        <v>1</v>
      </c>
      <c r="I1492" s="4">
        <v>20.2</v>
      </c>
      <c r="J1492" s="2" t="s">
        <v>38</v>
      </c>
      <c r="K1492">
        <f>H1492*I1492</f>
        <v>20.2</v>
      </c>
      <c r="L1492" t="str">
        <f t="shared" si="46"/>
        <v>Oct</v>
      </c>
      <c r="M1492">
        <f t="shared" si="47"/>
        <v>10</v>
      </c>
    </row>
    <row r="1493" spans="1:13" x14ac:dyDescent="0.25">
      <c r="A1493" s="2" t="s">
        <v>1566</v>
      </c>
      <c r="B1493" s="3">
        <v>45937</v>
      </c>
      <c r="C1493" s="2" t="s">
        <v>12</v>
      </c>
      <c r="D1493" s="2" t="s">
        <v>12</v>
      </c>
      <c r="E1493" s="2" t="s">
        <v>13</v>
      </c>
      <c r="F1493" s="2" t="s">
        <v>20</v>
      </c>
      <c r="G1493" s="2" t="s">
        <v>21</v>
      </c>
      <c r="H1493" s="2">
        <v>3</v>
      </c>
      <c r="I1493" s="4">
        <v>14.14</v>
      </c>
      <c r="J1493" s="2" t="s">
        <v>38</v>
      </c>
      <c r="K1493">
        <f>H1493*I1493</f>
        <v>42.42</v>
      </c>
      <c r="L1493" t="str">
        <f t="shared" si="46"/>
        <v>Oct</v>
      </c>
      <c r="M1493">
        <f t="shared" si="47"/>
        <v>10</v>
      </c>
    </row>
    <row r="1494" spans="1:13" x14ac:dyDescent="0.25">
      <c r="A1494" s="2" t="s">
        <v>1567</v>
      </c>
      <c r="B1494" s="3">
        <v>45937</v>
      </c>
      <c r="C1494" s="2" t="s">
        <v>101</v>
      </c>
      <c r="D1494" s="2" t="s">
        <v>102</v>
      </c>
      <c r="E1494" s="2" t="s">
        <v>36</v>
      </c>
      <c r="F1494" s="2" t="s">
        <v>14</v>
      </c>
      <c r="G1494" s="2" t="s">
        <v>103</v>
      </c>
      <c r="H1494" s="2">
        <v>1</v>
      </c>
      <c r="I1494" s="4">
        <v>92.92</v>
      </c>
      <c r="J1494" s="2" t="s">
        <v>31</v>
      </c>
      <c r="K1494">
        <f>H1494*I1494</f>
        <v>92.92</v>
      </c>
      <c r="L1494" t="str">
        <f t="shared" si="46"/>
        <v>Oct</v>
      </c>
      <c r="M1494">
        <f t="shared" si="47"/>
        <v>10</v>
      </c>
    </row>
    <row r="1495" spans="1:13" x14ac:dyDescent="0.25">
      <c r="A1495" s="2" t="s">
        <v>1568</v>
      </c>
      <c r="B1495" s="3">
        <v>45937</v>
      </c>
      <c r="C1495" s="2" t="s">
        <v>24</v>
      </c>
      <c r="D1495" s="2" t="s">
        <v>25</v>
      </c>
      <c r="E1495" s="2" t="s">
        <v>26</v>
      </c>
      <c r="F1495" s="2" t="s">
        <v>14</v>
      </c>
      <c r="G1495" s="2" t="s">
        <v>27</v>
      </c>
      <c r="H1495" s="2">
        <v>1</v>
      </c>
      <c r="I1495" s="4">
        <v>58</v>
      </c>
      <c r="J1495" s="2" t="s">
        <v>31</v>
      </c>
      <c r="K1495">
        <f>H1495*I1495</f>
        <v>58</v>
      </c>
      <c r="L1495" t="str">
        <f t="shared" si="46"/>
        <v>Oct</v>
      </c>
      <c r="M1495">
        <f t="shared" si="47"/>
        <v>10</v>
      </c>
    </row>
    <row r="1496" spans="1:13" x14ac:dyDescent="0.25">
      <c r="A1496" s="2" t="s">
        <v>1569</v>
      </c>
      <c r="B1496" s="3">
        <v>45937</v>
      </c>
      <c r="C1496" s="2" t="s">
        <v>25</v>
      </c>
      <c r="D1496" s="2" t="s">
        <v>25</v>
      </c>
      <c r="E1496" s="2" t="s">
        <v>26</v>
      </c>
      <c r="F1496" s="2" t="s">
        <v>20</v>
      </c>
      <c r="G1496" s="2" t="s">
        <v>21</v>
      </c>
      <c r="H1496" s="2">
        <v>2</v>
      </c>
      <c r="I1496" s="4">
        <v>20.2</v>
      </c>
      <c r="J1496" s="2" t="s">
        <v>31</v>
      </c>
      <c r="K1496">
        <f>H1496*I1496</f>
        <v>40.4</v>
      </c>
      <c r="L1496" t="str">
        <f t="shared" si="46"/>
        <v>Oct</v>
      </c>
      <c r="M1496">
        <f t="shared" si="47"/>
        <v>10</v>
      </c>
    </row>
    <row r="1497" spans="1:13" x14ac:dyDescent="0.25">
      <c r="A1497" s="2" t="s">
        <v>1570</v>
      </c>
      <c r="B1497" s="3">
        <v>45938</v>
      </c>
      <c r="C1497" s="2" t="s">
        <v>11</v>
      </c>
      <c r="D1497" s="2" t="s">
        <v>12</v>
      </c>
      <c r="E1497" s="2" t="s">
        <v>13</v>
      </c>
      <c r="F1497" s="2" t="s">
        <v>14</v>
      </c>
      <c r="G1497" s="2" t="s">
        <v>15</v>
      </c>
      <c r="H1497" s="2">
        <v>1</v>
      </c>
      <c r="I1497" s="4">
        <v>32</v>
      </c>
      <c r="J1497" s="2" t="s">
        <v>22</v>
      </c>
      <c r="K1497">
        <f>H1497*I1497</f>
        <v>32</v>
      </c>
      <c r="L1497" t="str">
        <f t="shared" si="46"/>
        <v>Oct</v>
      </c>
      <c r="M1497">
        <f t="shared" si="47"/>
        <v>10</v>
      </c>
    </row>
    <row r="1498" spans="1:13" x14ac:dyDescent="0.25">
      <c r="A1498" s="2" t="s">
        <v>1571</v>
      </c>
      <c r="B1498" s="3">
        <v>45938</v>
      </c>
      <c r="C1498" s="2" t="s">
        <v>74</v>
      </c>
      <c r="D1498" s="2" t="s">
        <v>75</v>
      </c>
      <c r="E1498" s="2" t="s">
        <v>76</v>
      </c>
      <c r="F1498" s="2" t="s">
        <v>14</v>
      </c>
      <c r="G1498" s="2" t="s">
        <v>77</v>
      </c>
      <c r="H1498" s="2">
        <v>3</v>
      </c>
      <c r="I1498" s="4">
        <v>32.32</v>
      </c>
      <c r="J1498" s="2" t="s">
        <v>16</v>
      </c>
      <c r="K1498">
        <f>H1498*I1498</f>
        <v>96.960000000000008</v>
      </c>
      <c r="L1498" t="str">
        <f t="shared" si="46"/>
        <v>Oct</v>
      </c>
      <c r="M1498">
        <f t="shared" si="47"/>
        <v>10</v>
      </c>
    </row>
    <row r="1499" spans="1:13" x14ac:dyDescent="0.25">
      <c r="A1499" s="2" t="s">
        <v>1572</v>
      </c>
      <c r="B1499" s="3">
        <v>45938</v>
      </c>
      <c r="C1499" s="2" t="s">
        <v>119</v>
      </c>
      <c r="D1499" s="2" t="s">
        <v>120</v>
      </c>
      <c r="E1499" s="2" t="s">
        <v>76</v>
      </c>
      <c r="F1499" s="2" t="s">
        <v>14</v>
      </c>
      <c r="G1499" s="2" t="s">
        <v>121</v>
      </c>
      <c r="H1499" s="2">
        <v>3</v>
      </c>
      <c r="I1499" s="4">
        <v>190</v>
      </c>
      <c r="J1499" s="2" t="s">
        <v>22</v>
      </c>
      <c r="K1499">
        <f>H1499*I1499</f>
        <v>570</v>
      </c>
      <c r="L1499" t="str">
        <f t="shared" si="46"/>
        <v>Oct</v>
      </c>
      <c r="M1499">
        <f t="shared" si="47"/>
        <v>10</v>
      </c>
    </row>
    <row r="1500" spans="1:13" x14ac:dyDescent="0.25">
      <c r="A1500" s="2" t="s">
        <v>1573</v>
      </c>
      <c r="B1500" s="3">
        <v>45939</v>
      </c>
      <c r="C1500" s="2" t="s">
        <v>11</v>
      </c>
      <c r="D1500" s="2" t="s">
        <v>12</v>
      </c>
      <c r="E1500" s="2" t="s">
        <v>13</v>
      </c>
      <c r="F1500" s="2" t="s">
        <v>14</v>
      </c>
      <c r="G1500" s="2" t="s">
        <v>15</v>
      </c>
      <c r="H1500" s="2">
        <v>1</v>
      </c>
      <c r="I1500" s="4">
        <v>32.32</v>
      </c>
      <c r="J1500" s="2" t="s">
        <v>38</v>
      </c>
      <c r="K1500">
        <f>H1500*I1500</f>
        <v>32.32</v>
      </c>
      <c r="L1500" t="str">
        <f t="shared" si="46"/>
        <v>Oct</v>
      </c>
      <c r="M1500">
        <f t="shared" si="47"/>
        <v>10</v>
      </c>
    </row>
    <row r="1501" spans="1:13" x14ac:dyDescent="0.25">
      <c r="A1501" s="2" t="s">
        <v>1574</v>
      </c>
      <c r="B1501" s="3">
        <v>45939</v>
      </c>
      <c r="C1501" s="2" t="s">
        <v>12</v>
      </c>
      <c r="D1501" s="2" t="s">
        <v>12</v>
      </c>
      <c r="E1501" s="2" t="s">
        <v>13</v>
      </c>
      <c r="F1501" s="2" t="s">
        <v>20</v>
      </c>
      <c r="G1501" s="2" t="s">
        <v>21</v>
      </c>
      <c r="H1501" s="2">
        <v>4</v>
      </c>
      <c r="I1501" s="4">
        <v>14.14</v>
      </c>
      <c r="J1501" s="2" t="s">
        <v>22</v>
      </c>
      <c r="K1501">
        <f>H1501*I1501</f>
        <v>56.56</v>
      </c>
      <c r="L1501" t="str">
        <f t="shared" si="46"/>
        <v>Oct</v>
      </c>
      <c r="M1501">
        <f t="shared" si="47"/>
        <v>10</v>
      </c>
    </row>
    <row r="1502" spans="1:13" x14ac:dyDescent="0.25">
      <c r="A1502" s="2" t="s">
        <v>1575</v>
      </c>
      <c r="B1502" s="3">
        <v>45939</v>
      </c>
      <c r="C1502" s="2" t="s">
        <v>48</v>
      </c>
      <c r="D1502" s="2" t="s">
        <v>48</v>
      </c>
      <c r="E1502" s="2" t="s">
        <v>49</v>
      </c>
      <c r="F1502" s="2" t="s">
        <v>20</v>
      </c>
      <c r="G1502" s="2" t="s">
        <v>21</v>
      </c>
      <c r="H1502" s="2">
        <v>5</v>
      </c>
      <c r="I1502" s="4">
        <v>55.55</v>
      </c>
      <c r="J1502" s="2" t="s">
        <v>22</v>
      </c>
      <c r="K1502">
        <f>H1502*I1502</f>
        <v>277.75</v>
      </c>
      <c r="L1502" t="str">
        <f t="shared" si="46"/>
        <v>Oct</v>
      </c>
      <c r="M1502">
        <f t="shared" si="47"/>
        <v>10</v>
      </c>
    </row>
    <row r="1503" spans="1:13" x14ac:dyDescent="0.25">
      <c r="A1503" s="2" t="s">
        <v>1576</v>
      </c>
      <c r="B1503" s="3">
        <v>45939</v>
      </c>
      <c r="C1503" s="2" t="s">
        <v>74</v>
      </c>
      <c r="D1503" s="2" t="s">
        <v>75</v>
      </c>
      <c r="E1503" s="2" t="s">
        <v>76</v>
      </c>
      <c r="F1503" s="2" t="s">
        <v>14</v>
      </c>
      <c r="G1503" s="2" t="s">
        <v>77</v>
      </c>
      <c r="H1503" s="2">
        <v>2</v>
      </c>
      <c r="I1503" s="4">
        <v>32.32</v>
      </c>
      <c r="J1503" s="2" t="s">
        <v>16</v>
      </c>
      <c r="K1503">
        <f>H1503*I1503</f>
        <v>64.64</v>
      </c>
      <c r="L1503" t="str">
        <f t="shared" si="46"/>
        <v>Oct</v>
      </c>
      <c r="M1503">
        <f t="shared" si="47"/>
        <v>10</v>
      </c>
    </row>
    <row r="1504" spans="1:13" x14ac:dyDescent="0.25">
      <c r="A1504" s="2" t="s">
        <v>1577</v>
      </c>
      <c r="B1504" s="3">
        <v>45939</v>
      </c>
      <c r="C1504" s="2" t="s">
        <v>97</v>
      </c>
      <c r="D1504" s="2" t="s">
        <v>98</v>
      </c>
      <c r="E1504" s="2" t="s">
        <v>99</v>
      </c>
      <c r="F1504" s="2" t="s">
        <v>14</v>
      </c>
      <c r="G1504" s="2" t="s">
        <v>37</v>
      </c>
      <c r="H1504" s="2">
        <v>4</v>
      </c>
      <c r="I1504" s="4">
        <v>182</v>
      </c>
      <c r="J1504" s="2" t="s">
        <v>16</v>
      </c>
      <c r="K1504">
        <f>H1504*I1504</f>
        <v>728</v>
      </c>
      <c r="L1504" t="str">
        <f t="shared" si="46"/>
        <v>Oct</v>
      </c>
      <c r="M1504">
        <f t="shared" si="47"/>
        <v>10</v>
      </c>
    </row>
    <row r="1505" spans="1:13" x14ac:dyDescent="0.25">
      <c r="A1505" s="2" t="s">
        <v>1578</v>
      </c>
      <c r="B1505" s="3">
        <v>45939</v>
      </c>
      <c r="C1505" s="2" t="s">
        <v>30</v>
      </c>
      <c r="D1505" s="2" t="s">
        <v>30</v>
      </c>
      <c r="E1505" s="2" t="s">
        <v>13</v>
      </c>
      <c r="F1505" s="2" t="s">
        <v>20</v>
      </c>
      <c r="G1505" s="2" t="s">
        <v>21</v>
      </c>
      <c r="H1505" s="2">
        <v>3</v>
      </c>
      <c r="I1505" s="4">
        <v>15.15</v>
      </c>
      <c r="J1505" s="2" t="s">
        <v>22</v>
      </c>
      <c r="K1505">
        <f>H1505*I1505</f>
        <v>45.45</v>
      </c>
      <c r="L1505" t="str">
        <f t="shared" si="46"/>
        <v>Oct</v>
      </c>
      <c r="M1505">
        <f t="shared" si="47"/>
        <v>10</v>
      </c>
    </row>
    <row r="1506" spans="1:13" x14ac:dyDescent="0.25">
      <c r="A1506" s="2" t="s">
        <v>1579</v>
      </c>
      <c r="B1506" s="3">
        <v>45940</v>
      </c>
      <c r="C1506" s="2" t="s">
        <v>11</v>
      </c>
      <c r="D1506" s="2" t="s">
        <v>12</v>
      </c>
      <c r="E1506" s="2" t="s">
        <v>13</v>
      </c>
      <c r="F1506" s="2" t="s">
        <v>14</v>
      </c>
      <c r="G1506" s="2" t="s">
        <v>15</v>
      </c>
      <c r="H1506" s="2">
        <v>4</v>
      </c>
      <c r="I1506" s="4">
        <v>32</v>
      </c>
      <c r="J1506" s="2" t="s">
        <v>16</v>
      </c>
      <c r="K1506">
        <f>H1506*I1506</f>
        <v>128</v>
      </c>
      <c r="L1506" t="str">
        <f t="shared" si="46"/>
        <v>Oct</v>
      </c>
      <c r="M1506">
        <f t="shared" si="47"/>
        <v>10</v>
      </c>
    </row>
    <row r="1507" spans="1:13" x14ac:dyDescent="0.25">
      <c r="A1507" s="2" t="s">
        <v>1580</v>
      </c>
      <c r="B1507" s="3">
        <v>45940</v>
      </c>
      <c r="C1507" s="2" t="s">
        <v>67</v>
      </c>
      <c r="D1507" s="2" t="s">
        <v>68</v>
      </c>
      <c r="E1507" s="2" t="s">
        <v>49</v>
      </c>
      <c r="F1507" s="2" t="s">
        <v>14</v>
      </c>
      <c r="G1507" s="2" t="s">
        <v>69</v>
      </c>
      <c r="H1507" s="2">
        <v>4</v>
      </c>
      <c r="I1507" s="4">
        <v>205</v>
      </c>
      <c r="J1507" s="2" t="s">
        <v>16</v>
      </c>
      <c r="K1507">
        <f>H1507*I1507</f>
        <v>820</v>
      </c>
      <c r="L1507" t="str">
        <f t="shared" si="46"/>
        <v>Oct</v>
      </c>
      <c r="M1507">
        <f t="shared" si="47"/>
        <v>10</v>
      </c>
    </row>
    <row r="1508" spans="1:13" x14ac:dyDescent="0.25">
      <c r="A1508" s="2" t="s">
        <v>1581</v>
      </c>
      <c r="B1508" s="3">
        <v>45940</v>
      </c>
      <c r="C1508" s="2" t="s">
        <v>18</v>
      </c>
      <c r="D1508" s="2" t="s">
        <v>18</v>
      </c>
      <c r="E1508" s="2" t="s">
        <v>19</v>
      </c>
      <c r="F1508" s="2" t="s">
        <v>20</v>
      </c>
      <c r="G1508" s="2" t="s">
        <v>21</v>
      </c>
      <c r="H1508" s="2">
        <v>6</v>
      </c>
      <c r="I1508" s="4">
        <v>15</v>
      </c>
      <c r="J1508" s="2" t="s">
        <v>16</v>
      </c>
      <c r="K1508">
        <f>H1508*I1508</f>
        <v>90</v>
      </c>
      <c r="L1508" t="str">
        <f t="shared" si="46"/>
        <v>Oct</v>
      </c>
      <c r="M1508">
        <f t="shared" si="47"/>
        <v>10</v>
      </c>
    </row>
    <row r="1509" spans="1:13" x14ac:dyDescent="0.25">
      <c r="A1509" s="2" t="s">
        <v>1582</v>
      </c>
      <c r="B1509" s="3">
        <v>45940</v>
      </c>
      <c r="C1509" s="2" t="s">
        <v>25</v>
      </c>
      <c r="D1509" s="2" t="s">
        <v>25</v>
      </c>
      <c r="E1509" s="2" t="s">
        <v>26</v>
      </c>
      <c r="F1509" s="2" t="s">
        <v>20</v>
      </c>
      <c r="G1509" s="2" t="s">
        <v>21</v>
      </c>
      <c r="H1509" s="2">
        <v>2</v>
      </c>
      <c r="I1509" s="4">
        <v>20.2</v>
      </c>
      <c r="J1509" s="2" t="s">
        <v>38</v>
      </c>
      <c r="K1509">
        <f>H1509*I1509</f>
        <v>40.4</v>
      </c>
      <c r="L1509" t="str">
        <f t="shared" si="46"/>
        <v>Oct</v>
      </c>
      <c r="M1509">
        <f t="shared" si="47"/>
        <v>10</v>
      </c>
    </row>
    <row r="1510" spans="1:13" x14ac:dyDescent="0.25">
      <c r="A1510" s="2" t="s">
        <v>1583</v>
      </c>
      <c r="B1510" s="3">
        <v>45940</v>
      </c>
      <c r="C1510" s="2" t="s">
        <v>97</v>
      </c>
      <c r="D1510" s="2" t="s">
        <v>98</v>
      </c>
      <c r="E1510" s="2" t="s">
        <v>99</v>
      </c>
      <c r="F1510" s="2" t="s">
        <v>14</v>
      </c>
      <c r="G1510" s="2" t="s">
        <v>37</v>
      </c>
      <c r="H1510" s="2">
        <v>1</v>
      </c>
      <c r="I1510" s="4">
        <v>182</v>
      </c>
      <c r="J1510" s="2" t="s">
        <v>16</v>
      </c>
      <c r="K1510">
        <f>H1510*I1510</f>
        <v>182</v>
      </c>
      <c r="L1510" t="str">
        <f t="shared" si="46"/>
        <v>Oct</v>
      </c>
      <c r="M1510">
        <f t="shared" si="47"/>
        <v>10</v>
      </c>
    </row>
    <row r="1511" spans="1:13" x14ac:dyDescent="0.25">
      <c r="A1511" s="2" t="s">
        <v>1584</v>
      </c>
      <c r="B1511" s="3">
        <v>45940</v>
      </c>
      <c r="C1511" s="2" t="s">
        <v>42</v>
      </c>
      <c r="D1511" s="2" t="s">
        <v>43</v>
      </c>
      <c r="E1511" s="2" t="s">
        <v>44</v>
      </c>
      <c r="F1511" s="2" t="s">
        <v>14</v>
      </c>
      <c r="G1511" s="2" t="s">
        <v>45</v>
      </c>
      <c r="H1511" s="2">
        <v>3</v>
      </c>
      <c r="I1511" s="4">
        <v>46</v>
      </c>
      <c r="J1511" s="2" t="s">
        <v>22</v>
      </c>
      <c r="K1511">
        <f>H1511*I1511</f>
        <v>138</v>
      </c>
      <c r="L1511" t="str">
        <f t="shared" si="46"/>
        <v>Oct</v>
      </c>
      <c r="M1511">
        <f t="shared" si="47"/>
        <v>10</v>
      </c>
    </row>
    <row r="1512" spans="1:13" x14ac:dyDescent="0.25">
      <c r="A1512" s="2" t="s">
        <v>1585</v>
      </c>
      <c r="B1512" s="3">
        <v>45941</v>
      </c>
      <c r="C1512" s="2" t="s">
        <v>11</v>
      </c>
      <c r="D1512" s="2" t="s">
        <v>12</v>
      </c>
      <c r="E1512" s="2" t="s">
        <v>13</v>
      </c>
      <c r="F1512" s="2" t="s">
        <v>14</v>
      </c>
      <c r="G1512" s="2" t="s">
        <v>15</v>
      </c>
      <c r="H1512" s="2">
        <v>1</v>
      </c>
      <c r="I1512" s="4">
        <v>32.32</v>
      </c>
      <c r="J1512" s="2" t="s">
        <v>38</v>
      </c>
      <c r="K1512">
        <f>H1512*I1512</f>
        <v>32.32</v>
      </c>
      <c r="L1512" t="str">
        <f t="shared" si="46"/>
        <v>Oct</v>
      </c>
      <c r="M1512">
        <f t="shared" si="47"/>
        <v>10</v>
      </c>
    </row>
    <row r="1513" spans="1:13" x14ac:dyDescent="0.25">
      <c r="A1513" s="2" t="s">
        <v>1586</v>
      </c>
      <c r="B1513" s="3">
        <v>45941</v>
      </c>
      <c r="C1513" s="2" t="s">
        <v>86</v>
      </c>
      <c r="D1513" s="2" t="s">
        <v>48</v>
      </c>
      <c r="E1513" s="2" t="s">
        <v>49</v>
      </c>
      <c r="F1513" s="2" t="s">
        <v>14</v>
      </c>
      <c r="G1513" s="2" t="s">
        <v>87</v>
      </c>
      <c r="H1513" s="2">
        <v>1</v>
      </c>
      <c r="I1513" s="4">
        <v>126.25</v>
      </c>
      <c r="J1513" s="2" t="s">
        <v>16</v>
      </c>
      <c r="K1513">
        <f>H1513*I1513</f>
        <v>126.25</v>
      </c>
      <c r="L1513" t="str">
        <f t="shared" si="46"/>
        <v>Oct</v>
      </c>
      <c r="M1513">
        <f t="shared" si="47"/>
        <v>10</v>
      </c>
    </row>
    <row r="1514" spans="1:13" x14ac:dyDescent="0.25">
      <c r="A1514" s="2" t="s">
        <v>1587</v>
      </c>
      <c r="B1514" s="3">
        <v>45941</v>
      </c>
      <c r="C1514" s="2" t="s">
        <v>75</v>
      </c>
      <c r="D1514" s="2" t="s">
        <v>75</v>
      </c>
      <c r="E1514" s="2" t="s">
        <v>76</v>
      </c>
      <c r="F1514" s="2" t="s">
        <v>20</v>
      </c>
      <c r="G1514" s="2" t="s">
        <v>21</v>
      </c>
      <c r="H1514" s="2">
        <v>2</v>
      </c>
      <c r="I1514" s="4">
        <v>12</v>
      </c>
      <c r="J1514" s="2" t="s">
        <v>16</v>
      </c>
      <c r="K1514">
        <f>H1514*I1514</f>
        <v>24</v>
      </c>
      <c r="L1514" t="str">
        <f t="shared" si="46"/>
        <v>Oct</v>
      </c>
      <c r="M1514">
        <f t="shared" si="47"/>
        <v>10</v>
      </c>
    </row>
    <row r="1515" spans="1:13" x14ac:dyDescent="0.25">
      <c r="A1515" s="2" t="s">
        <v>1588</v>
      </c>
      <c r="B1515" s="3">
        <v>45941</v>
      </c>
      <c r="C1515" s="2" t="s">
        <v>101</v>
      </c>
      <c r="D1515" s="2" t="s">
        <v>102</v>
      </c>
      <c r="E1515" s="2" t="s">
        <v>36</v>
      </c>
      <c r="F1515" s="2" t="s">
        <v>14</v>
      </c>
      <c r="G1515" s="2" t="s">
        <v>103</v>
      </c>
      <c r="H1515" s="2">
        <v>3</v>
      </c>
      <c r="I1515" s="4">
        <v>92.92</v>
      </c>
      <c r="J1515" s="2" t="s">
        <v>16</v>
      </c>
      <c r="K1515">
        <f>H1515*I1515</f>
        <v>278.76</v>
      </c>
      <c r="L1515" t="str">
        <f t="shared" si="46"/>
        <v>Oct</v>
      </c>
      <c r="M1515">
        <f t="shared" si="47"/>
        <v>10</v>
      </c>
    </row>
    <row r="1516" spans="1:13" x14ac:dyDescent="0.25">
      <c r="A1516" s="2" t="s">
        <v>1589</v>
      </c>
      <c r="B1516" s="3">
        <v>45941</v>
      </c>
      <c r="C1516" s="2" t="s">
        <v>124</v>
      </c>
      <c r="D1516" s="2" t="s">
        <v>18</v>
      </c>
      <c r="E1516" s="2" t="s">
        <v>19</v>
      </c>
      <c r="F1516" s="2" t="s">
        <v>14</v>
      </c>
      <c r="G1516" s="2" t="s">
        <v>125</v>
      </c>
      <c r="H1516" s="2">
        <v>12</v>
      </c>
      <c r="I1516" s="4">
        <v>45.45</v>
      </c>
      <c r="J1516" s="2" t="s">
        <v>16</v>
      </c>
      <c r="K1516">
        <f>H1516*I1516</f>
        <v>545.40000000000009</v>
      </c>
      <c r="L1516" t="str">
        <f t="shared" si="46"/>
        <v>Oct</v>
      </c>
      <c r="M1516">
        <f t="shared" si="47"/>
        <v>10</v>
      </c>
    </row>
    <row r="1517" spans="1:13" x14ac:dyDescent="0.25">
      <c r="A1517" s="2" t="s">
        <v>1590</v>
      </c>
      <c r="B1517" s="3">
        <v>45941</v>
      </c>
      <c r="C1517" s="2" t="s">
        <v>79</v>
      </c>
      <c r="D1517" s="2" t="s">
        <v>80</v>
      </c>
      <c r="E1517" s="2" t="s">
        <v>26</v>
      </c>
      <c r="F1517" s="2" t="s">
        <v>14</v>
      </c>
      <c r="G1517" s="2" t="s">
        <v>81</v>
      </c>
      <c r="H1517" s="2">
        <v>4</v>
      </c>
      <c r="I1517" s="4">
        <v>153.52000000000001</v>
      </c>
      <c r="J1517" s="2" t="s">
        <v>16</v>
      </c>
      <c r="K1517">
        <f>H1517*I1517</f>
        <v>614.08000000000004</v>
      </c>
      <c r="L1517" t="str">
        <f t="shared" si="46"/>
        <v>Oct</v>
      </c>
      <c r="M1517">
        <f t="shared" si="47"/>
        <v>10</v>
      </c>
    </row>
    <row r="1518" spans="1:13" x14ac:dyDescent="0.25">
      <c r="A1518" s="2" t="s">
        <v>1591</v>
      </c>
      <c r="B1518" s="3">
        <v>45941</v>
      </c>
      <c r="C1518" s="2" t="s">
        <v>25</v>
      </c>
      <c r="D1518" s="2" t="s">
        <v>25</v>
      </c>
      <c r="E1518" s="2" t="s">
        <v>26</v>
      </c>
      <c r="F1518" s="2" t="s">
        <v>20</v>
      </c>
      <c r="G1518" s="2" t="s">
        <v>21</v>
      </c>
      <c r="H1518" s="2">
        <v>1</v>
      </c>
      <c r="I1518" s="4">
        <v>20</v>
      </c>
      <c r="J1518" s="2" t="s">
        <v>22</v>
      </c>
      <c r="K1518">
        <f>H1518*I1518</f>
        <v>20</v>
      </c>
      <c r="L1518" t="str">
        <f t="shared" si="46"/>
        <v>Oct</v>
      </c>
      <c r="M1518">
        <f t="shared" si="47"/>
        <v>10</v>
      </c>
    </row>
    <row r="1519" spans="1:13" x14ac:dyDescent="0.25">
      <c r="A1519" s="2" t="s">
        <v>1592</v>
      </c>
      <c r="B1519" s="3">
        <v>45941</v>
      </c>
      <c r="C1519" s="2" t="s">
        <v>60</v>
      </c>
      <c r="D1519" s="2" t="s">
        <v>61</v>
      </c>
      <c r="E1519" s="2" t="s">
        <v>62</v>
      </c>
      <c r="F1519" s="2" t="s">
        <v>14</v>
      </c>
      <c r="G1519" s="2" t="s">
        <v>63</v>
      </c>
      <c r="H1519" s="2">
        <v>3</v>
      </c>
      <c r="I1519" s="4">
        <v>26.26</v>
      </c>
      <c r="J1519" s="2" t="s">
        <v>16</v>
      </c>
      <c r="K1519">
        <f>H1519*I1519</f>
        <v>78.78</v>
      </c>
      <c r="L1519" t="str">
        <f t="shared" si="46"/>
        <v>Oct</v>
      </c>
      <c r="M1519">
        <f t="shared" si="47"/>
        <v>10</v>
      </c>
    </row>
    <row r="1520" spans="1:13" x14ac:dyDescent="0.25">
      <c r="A1520" s="2" t="s">
        <v>1593</v>
      </c>
      <c r="B1520" s="3">
        <v>45941</v>
      </c>
      <c r="C1520" s="2" t="s">
        <v>30</v>
      </c>
      <c r="D1520" s="2" t="s">
        <v>30</v>
      </c>
      <c r="E1520" s="2" t="s">
        <v>13</v>
      </c>
      <c r="F1520" s="2" t="s">
        <v>20</v>
      </c>
      <c r="G1520" s="2" t="s">
        <v>21</v>
      </c>
      <c r="H1520" s="2">
        <v>2</v>
      </c>
      <c r="I1520" s="4">
        <v>15</v>
      </c>
      <c r="J1520" s="2" t="s">
        <v>16</v>
      </c>
      <c r="K1520">
        <f>H1520*I1520</f>
        <v>30</v>
      </c>
      <c r="L1520" t="str">
        <f t="shared" si="46"/>
        <v>Oct</v>
      </c>
      <c r="M1520">
        <f t="shared" si="47"/>
        <v>10</v>
      </c>
    </row>
    <row r="1521" spans="1:13" x14ac:dyDescent="0.25">
      <c r="A1521" s="2" t="s">
        <v>1594</v>
      </c>
      <c r="B1521" s="3">
        <v>45942</v>
      </c>
      <c r="C1521" s="2" t="s">
        <v>12</v>
      </c>
      <c r="D1521" s="2" t="s">
        <v>12</v>
      </c>
      <c r="E1521" s="2" t="s">
        <v>13</v>
      </c>
      <c r="F1521" s="2" t="s">
        <v>20</v>
      </c>
      <c r="G1521" s="2" t="s">
        <v>21</v>
      </c>
      <c r="H1521" s="2">
        <v>5</v>
      </c>
      <c r="I1521" s="4">
        <v>14.14</v>
      </c>
      <c r="J1521" s="2" t="s">
        <v>16</v>
      </c>
      <c r="K1521">
        <f>H1521*I1521</f>
        <v>70.7</v>
      </c>
      <c r="L1521" t="str">
        <f t="shared" si="46"/>
        <v>Oct</v>
      </c>
      <c r="M1521">
        <f t="shared" si="47"/>
        <v>10</v>
      </c>
    </row>
    <row r="1522" spans="1:13" x14ac:dyDescent="0.25">
      <c r="A1522" s="2" t="s">
        <v>1595</v>
      </c>
      <c r="B1522" s="3">
        <v>45942</v>
      </c>
      <c r="C1522" s="2" t="s">
        <v>86</v>
      </c>
      <c r="D1522" s="2" t="s">
        <v>48</v>
      </c>
      <c r="E1522" s="2" t="s">
        <v>49</v>
      </c>
      <c r="F1522" s="2" t="s">
        <v>14</v>
      </c>
      <c r="G1522" s="2" t="s">
        <v>87</v>
      </c>
      <c r="H1522" s="2">
        <v>1</v>
      </c>
      <c r="I1522" s="4">
        <v>126.25</v>
      </c>
      <c r="J1522" s="2" t="s">
        <v>31</v>
      </c>
      <c r="K1522">
        <f>H1522*I1522</f>
        <v>126.25</v>
      </c>
      <c r="L1522" t="str">
        <f t="shared" si="46"/>
        <v>Oct</v>
      </c>
      <c r="M1522">
        <f t="shared" si="47"/>
        <v>10</v>
      </c>
    </row>
    <row r="1523" spans="1:13" x14ac:dyDescent="0.25">
      <c r="A1523" s="2" t="s">
        <v>1596</v>
      </c>
      <c r="B1523" s="3">
        <v>45942</v>
      </c>
      <c r="C1523" s="2" t="s">
        <v>74</v>
      </c>
      <c r="D1523" s="2" t="s">
        <v>75</v>
      </c>
      <c r="E1523" s="2" t="s">
        <v>76</v>
      </c>
      <c r="F1523" s="2" t="s">
        <v>14</v>
      </c>
      <c r="G1523" s="2" t="s">
        <v>77</v>
      </c>
      <c r="H1523" s="2">
        <v>6</v>
      </c>
      <c r="I1523" s="4">
        <v>32</v>
      </c>
      <c r="J1523" s="2" t="s">
        <v>38</v>
      </c>
      <c r="K1523">
        <f>H1523*I1523</f>
        <v>192</v>
      </c>
      <c r="L1523" t="str">
        <f t="shared" si="46"/>
        <v>Oct</v>
      </c>
      <c r="M1523">
        <f t="shared" si="47"/>
        <v>10</v>
      </c>
    </row>
    <row r="1524" spans="1:13" x14ac:dyDescent="0.25">
      <c r="A1524" s="2" t="s">
        <v>1597</v>
      </c>
      <c r="B1524" s="3">
        <v>45942</v>
      </c>
      <c r="C1524" s="2" t="s">
        <v>120</v>
      </c>
      <c r="D1524" s="2" t="s">
        <v>120</v>
      </c>
      <c r="E1524" s="2" t="s">
        <v>76</v>
      </c>
      <c r="F1524" s="2" t="s">
        <v>20</v>
      </c>
      <c r="G1524" s="2" t="s">
        <v>21</v>
      </c>
      <c r="H1524" s="2">
        <v>1</v>
      </c>
      <c r="I1524" s="4">
        <v>42.42</v>
      </c>
      <c r="J1524" s="2" t="s">
        <v>16</v>
      </c>
      <c r="K1524">
        <f>H1524*I1524</f>
        <v>42.42</v>
      </c>
      <c r="L1524" t="str">
        <f t="shared" si="46"/>
        <v>Oct</v>
      </c>
      <c r="M1524">
        <f t="shared" si="47"/>
        <v>10</v>
      </c>
    </row>
    <row r="1525" spans="1:13" x14ac:dyDescent="0.25">
      <c r="A1525" s="2" t="s">
        <v>1598</v>
      </c>
      <c r="B1525" s="3">
        <v>45942</v>
      </c>
      <c r="C1525" s="2" t="s">
        <v>40</v>
      </c>
      <c r="D1525" s="2" t="s">
        <v>40</v>
      </c>
      <c r="E1525" s="2" t="s">
        <v>19</v>
      </c>
      <c r="F1525" s="2" t="s">
        <v>20</v>
      </c>
      <c r="G1525" s="2" t="s">
        <v>21</v>
      </c>
      <c r="H1525" s="2">
        <v>1</v>
      </c>
      <c r="I1525" s="4">
        <v>46</v>
      </c>
      <c r="J1525" s="2" t="s">
        <v>22</v>
      </c>
      <c r="K1525">
        <f>H1525*I1525</f>
        <v>46</v>
      </c>
      <c r="L1525" t="str">
        <f t="shared" si="46"/>
        <v>Oct</v>
      </c>
      <c r="M1525">
        <f t="shared" si="47"/>
        <v>10</v>
      </c>
    </row>
    <row r="1526" spans="1:13" x14ac:dyDescent="0.25">
      <c r="A1526" s="2" t="s">
        <v>1599</v>
      </c>
      <c r="B1526" s="3">
        <v>45942</v>
      </c>
      <c r="C1526" s="2" t="s">
        <v>25</v>
      </c>
      <c r="D1526" s="2" t="s">
        <v>25</v>
      </c>
      <c r="E1526" s="2" t="s">
        <v>26</v>
      </c>
      <c r="F1526" s="2" t="s">
        <v>20</v>
      </c>
      <c r="G1526" s="2" t="s">
        <v>21</v>
      </c>
      <c r="H1526" s="2">
        <v>2</v>
      </c>
      <c r="I1526" s="4">
        <v>20</v>
      </c>
      <c r="J1526" s="2" t="s">
        <v>22</v>
      </c>
      <c r="K1526">
        <f>H1526*I1526</f>
        <v>40</v>
      </c>
      <c r="L1526" t="str">
        <f t="shared" si="46"/>
        <v>Oct</v>
      </c>
      <c r="M1526">
        <f t="shared" si="47"/>
        <v>10</v>
      </c>
    </row>
    <row r="1527" spans="1:13" x14ac:dyDescent="0.25">
      <c r="A1527" s="2" t="s">
        <v>1600</v>
      </c>
      <c r="B1527" s="3">
        <v>45942</v>
      </c>
      <c r="C1527" s="2" t="s">
        <v>108</v>
      </c>
      <c r="D1527" s="2" t="s">
        <v>109</v>
      </c>
      <c r="E1527" s="2" t="s">
        <v>13</v>
      </c>
      <c r="F1527" s="2" t="s">
        <v>14</v>
      </c>
      <c r="G1527" s="2" t="s">
        <v>110</v>
      </c>
      <c r="H1527" s="2">
        <v>3</v>
      </c>
      <c r="I1527" s="4">
        <v>62.62</v>
      </c>
      <c r="J1527" s="2" t="s">
        <v>16</v>
      </c>
      <c r="K1527">
        <f>H1527*I1527</f>
        <v>187.85999999999999</v>
      </c>
      <c r="L1527" t="str">
        <f t="shared" si="46"/>
        <v>Oct</v>
      </c>
      <c r="M1527">
        <f t="shared" si="47"/>
        <v>10</v>
      </c>
    </row>
    <row r="1528" spans="1:13" x14ac:dyDescent="0.25">
      <c r="A1528" s="2" t="s">
        <v>1601</v>
      </c>
      <c r="B1528" s="3">
        <v>45943</v>
      </c>
      <c r="C1528" s="2" t="s">
        <v>11</v>
      </c>
      <c r="D1528" s="2" t="s">
        <v>12</v>
      </c>
      <c r="E1528" s="2" t="s">
        <v>13</v>
      </c>
      <c r="F1528" s="2" t="s">
        <v>14</v>
      </c>
      <c r="G1528" s="2" t="s">
        <v>15</v>
      </c>
      <c r="H1528" s="2">
        <v>1</v>
      </c>
      <c r="I1528" s="4">
        <v>32.32</v>
      </c>
      <c r="J1528" s="2" t="s">
        <v>38</v>
      </c>
      <c r="K1528">
        <f>H1528*I1528</f>
        <v>32.32</v>
      </c>
      <c r="L1528" t="str">
        <f t="shared" si="46"/>
        <v>Oct</v>
      </c>
      <c r="M1528">
        <f t="shared" si="47"/>
        <v>10</v>
      </c>
    </row>
    <row r="1529" spans="1:13" x14ac:dyDescent="0.25">
      <c r="A1529" s="2" t="s">
        <v>1602</v>
      </c>
      <c r="B1529" s="3">
        <v>45943</v>
      </c>
      <c r="C1529" s="2" t="s">
        <v>72</v>
      </c>
      <c r="D1529" s="2" t="s">
        <v>68</v>
      </c>
      <c r="E1529" s="2" t="s">
        <v>49</v>
      </c>
      <c r="F1529" s="2" t="s">
        <v>20</v>
      </c>
      <c r="G1529" s="2" t="s">
        <v>21</v>
      </c>
      <c r="H1529" s="2">
        <v>1</v>
      </c>
      <c r="I1529" s="4">
        <v>95</v>
      </c>
      <c r="J1529" s="2" t="s">
        <v>16</v>
      </c>
      <c r="K1529">
        <f>H1529*I1529</f>
        <v>95</v>
      </c>
      <c r="L1529" t="str">
        <f t="shared" si="46"/>
        <v>Oct</v>
      </c>
      <c r="M1529">
        <f t="shared" si="47"/>
        <v>10</v>
      </c>
    </row>
    <row r="1530" spans="1:13" x14ac:dyDescent="0.25">
      <c r="A1530" s="2" t="s">
        <v>1603</v>
      </c>
      <c r="B1530" s="3">
        <v>45943</v>
      </c>
      <c r="C1530" s="2" t="s">
        <v>102</v>
      </c>
      <c r="D1530" s="2" t="s">
        <v>102</v>
      </c>
      <c r="E1530" s="2" t="s">
        <v>36</v>
      </c>
      <c r="F1530" s="2" t="s">
        <v>20</v>
      </c>
      <c r="G1530" s="2" t="s">
        <v>21</v>
      </c>
      <c r="H1530" s="2">
        <v>6</v>
      </c>
      <c r="I1530" s="4">
        <v>35.35</v>
      </c>
      <c r="J1530" s="2" t="s">
        <v>38</v>
      </c>
      <c r="K1530">
        <f>H1530*I1530</f>
        <v>212.10000000000002</v>
      </c>
      <c r="L1530" t="str">
        <f t="shared" si="46"/>
        <v>Oct</v>
      </c>
      <c r="M1530">
        <f t="shared" si="47"/>
        <v>10</v>
      </c>
    </row>
    <row r="1531" spans="1:13" x14ac:dyDescent="0.25">
      <c r="A1531" s="2" t="s">
        <v>1604</v>
      </c>
      <c r="B1531" s="3">
        <v>45943</v>
      </c>
      <c r="C1531" s="2" t="s">
        <v>60</v>
      </c>
      <c r="D1531" s="2" t="s">
        <v>61</v>
      </c>
      <c r="E1531" s="2" t="s">
        <v>62</v>
      </c>
      <c r="F1531" s="2" t="s">
        <v>14</v>
      </c>
      <c r="G1531" s="2" t="s">
        <v>63</v>
      </c>
      <c r="H1531" s="2">
        <v>1</v>
      </c>
      <c r="I1531" s="4">
        <v>26</v>
      </c>
      <c r="J1531" s="2" t="s">
        <v>16</v>
      </c>
      <c r="K1531">
        <f>H1531*I1531</f>
        <v>26</v>
      </c>
      <c r="L1531" t="str">
        <f t="shared" si="46"/>
        <v>Oct</v>
      </c>
      <c r="M1531">
        <f t="shared" si="47"/>
        <v>10</v>
      </c>
    </row>
    <row r="1532" spans="1:13" x14ac:dyDescent="0.25">
      <c r="A1532" s="2" t="s">
        <v>1605</v>
      </c>
      <c r="B1532" s="3">
        <v>45943</v>
      </c>
      <c r="C1532" s="2" t="s">
        <v>61</v>
      </c>
      <c r="D1532" s="2" t="s">
        <v>61</v>
      </c>
      <c r="E1532" s="2" t="s">
        <v>62</v>
      </c>
      <c r="F1532" s="2" t="s">
        <v>20</v>
      </c>
      <c r="G1532" s="2" t="s">
        <v>21</v>
      </c>
      <c r="H1532" s="2">
        <v>1</v>
      </c>
      <c r="I1532" s="4">
        <v>8.08</v>
      </c>
      <c r="J1532" s="2" t="s">
        <v>38</v>
      </c>
      <c r="K1532">
        <f>H1532*I1532</f>
        <v>8.08</v>
      </c>
      <c r="L1532" t="str">
        <f t="shared" si="46"/>
        <v>Oct</v>
      </c>
      <c r="M1532">
        <f t="shared" si="47"/>
        <v>10</v>
      </c>
    </row>
    <row r="1533" spans="1:13" x14ac:dyDescent="0.25">
      <c r="A1533" s="2" t="s">
        <v>1606</v>
      </c>
      <c r="B1533" s="3">
        <v>45943</v>
      </c>
      <c r="C1533" s="2" t="s">
        <v>61</v>
      </c>
      <c r="D1533" s="2" t="s">
        <v>61</v>
      </c>
      <c r="E1533" s="2" t="s">
        <v>62</v>
      </c>
      <c r="F1533" s="2" t="s">
        <v>20</v>
      </c>
      <c r="G1533" s="2" t="s">
        <v>21</v>
      </c>
      <c r="H1533" s="2">
        <v>1</v>
      </c>
      <c r="I1533" s="4">
        <v>8.08</v>
      </c>
      <c r="J1533" s="2" t="s">
        <v>31</v>
      </c>
      <c r="K1533">
        <f>H1533*I1533</f>
        <v>8.08</v>
      </c>
      <c r="L1533" t="str">
        <f t="shared" si="46"/>
        <v>Oct</v>
      </c>
      <c r="M1533">
        <f t="shared" si="47"/>
        <v>10</v>
      </c>
    </row>
    <row r="1534" spans="1:13" x14ac:dyDescent="0.25">
      <c r="A1534" s="2" t="s">
        <v>1607</v>
      </c>
      <c r="B1534" s="3">
        <v>45944</v>
      </c>
      <c r="C1534" s="2" t="s">
        <v>11</v>
      </c>
      <c r="D1534" s="2" t="s">
        <v>12</v>
      </c>
      <c r="E1534" s="2" t="s">
        <v>13</v>
      </c>
      <c r="F1534" s="2" t="s">
        <v>14</v>
      </c>
      <c r="G1534" s="2" t="s">
        <v>15</v>
      </c>
      <c r="H1534" s="2">
        <v>1</v>
      </c>
      <c r="I1534" s="4">
        <v>32</v>
      </c>
      <c r="J1534" s="2" t="s">
        <v>16</v>
      </c>
      <c r="K1534">
        <f>H1534*I1534</f>
        <v>32</v>
      </c>
      <c r="L1534" t="str">
        <f t="shared" si="46"/>
        <v>Oct</v>
      </c>
      <c r="M1534">
        <f t="shared" si="47"/>
        <v>10</v>
      </c>
    </row>
    <row r="1535" spans="1:13" x14ac:dyDescent="0.25">
      <c r="A1535" s="2" t="s">
        <v>1608</v>
      </c>
      <c r="B1535" s="3">
        <v>45944</v>
      </c>
      <c r="C1535" s="2" t="s">
        <v>12</v>
      </c>
      <c r="D1535" s="2" t="s">
        <v>12</v>
      </c>
      <c r="E1535" s="2" t="s">
        <v>13</v>
      </c>
      <c r="F1535" s="2" t="s">
        <v>20</v>
      </c>
      <c r="G1535" s="2" t="s">
        <v>21</v>
      </c>
      <c r="H1535" s="2">
        <v>4</v>
      </c>
      <c r="I1535" s="4">
        <v>14.14</v>
      </c>
      <c r="J1535" s="2" t="s">
        <v>16</v>
      </c>
      <c r="K1535">
        <f>H1535*I1535</f>
        <v>56.56</v>
      </c>
      <c r="L1535" t="str">
        <f t="shared" si="46"/>
        <v>Oct</v>
      </c>
      <c r="M1535">
        <f t="shared" si="47"/>
        <v>10</v>
      </c>
    </row>
    <row r="1536" spans="1:13" x14ac:dyDescent="0.25">
      <c r="A1536" s="2" t="s">
        <v>1609</v>
      </c>
      <c r="B1536" s="3">
        <v>45944</v>
      </c>
      <c r="C1536" s="2" t="s">
        <v>34</v>
      </c>
      <c r="D1536" s="2" t="s">
        <v>35</v>
      </c>
      <c r="E1536" s="2" t="s">
        <v>36</v>
      </c>
      <c r="F1536" s="2" t="s">
        <v>14</v>
      </c>
      <c r="G1536" s="2" t="s">
        <v>37</v>
      </c>
      <c r="H1536" s="2">
        <v>6</v>
      </c>
      <c r="I1536" s="4">
        <v>165</v>
      </c>
      <c r="J1536" s="2" t="s">
        <v>22</v>
      </c>
      <c r="K1536">
        <f>H1536*I1536</f>
        <v>990</v>
      </c>
      <c r="L1536" t="str">
        <f t="shared" si="46"/>
        <v>Oct</v>
      </c>
      <c r="M1536">
        <f t="shared" si="47"/>
        <v>10</v>
      </c>
    </row>
    <row r="1537" spans="1:13" x14ac:dyDescent="0.25">
      <c r="A1537" s="2" t="s">
        <v>1610</v>
      </c>
      <c r="B1537" s="3">
        <v>45944</v>
      </c>
      <c r="C1537" s="2" t="s">
        <v>35</v>
      </c>
      <c r="D1537" s="2" t="s">
        <v>35</v>
      </c>
      <c r="E1537" s="2" t="s">
        <v>36</v>
      </c>
      <c r="F1537" s="2" t="s">
        <v>20</v>
      </c>
      <c r="G1537" s="2" t="s">
        <v>21</v>
      </c>
      <c r="H1537" s="2">
        <v>3</v>
      </c>
      <c r="I1537" s="4">
        <v>58</v>
      </c>
      <c r="J1537" s="2" t="s">
        <v>16</v>
      </c>
      <c r="K1537">
        <f>H1537*I1537</f>
        <v>174</v>
      </c>
      <c r="L1537" t="str">
        <f t="shared" si="46"/>
        <v>Oct</v>
      </c>
      <c r="M1537">
        <f t="shared" si="47"/>
        <v>10</v>
      </c>
    </row>
    <row r="1538" spans="1:13" x14ac:dyDescent="0.25">
      <c r="A1538" s="2" t="s">
        <v>1611</v>
      </c>
      <c r="B1538" s="3">
        <v>45944</v>
      </c>
      <c r="C1538" s="2" t="s">
        <v>18</v>
      </c>
      <c r="D1538" s="2" t="s">
        <v>18</v>
      </c>
      <c r="E1538" s="2" t="s">
        <v>19</v>
      </c>
      <c r="F1538" s="2" t="s">
        <v>20</v>
      </c>
      <c r="G1538" s="2" t="s">
        <v>21</v>
      </c>
      <c r="H1538" s="2">
        <v>3</v>
      </c>
      <c r="I1538" s="4">
        <v>15.15</v>
      </c>
      <c r="J1538" s="2" t="s">
        <v>16</v>
      </c>
      <c r="K1538">
        <f>H1538*I1538</f>
        <v>45.45</v>
      </c>
      <c r="L1538" t="str">
        <f t="shared" si="46"/>
        <v>Oct</v>
      </c>
      <c r="M1538">
        <f t="shared" si="47"/>
        <v>10</v>
      </c>
    </row>
    <row r="1539" spans="1:13" x14ac:dyDescent="0.25">
      <c r="A1539" s="2" t="s">
        <v>1612</v>
      </c>
      <c r="B1539" s="3">
        <v>45944</v>
      </c>
      <c r="C1539" s="2" t="s">
        <v>25</v>
      </c>
      <c r="D1539" s="2" t="s">
        <v>25</v>
      </c>
      <c r="E1539" s="2" t="s">
        <v>26</v>
      </c>
      <c r="F1539" s="2" t="s">
        <v>20</v>
      </c>
      <c r="G1539" s="2" t="s">
        <v>21</v>
      </c>
      <c r="H1539" s="2">
        <v>4</v>
      </c>
      <c r="I1539" s="4">
        <v>20</v>
      </c>
      <c r="J1539" s="2" t="s">
        <v>16</v>
      </c>
      <c r="K1539">
        <f>H1539*I1539</f>
        <v>80</v>
      </c>
      <c r="L1539" t="str">
        <f t="shared" ref="L1539:L1602" si="48">TEXT(B1539,"mmm")</f>
        <v>Oct</v>
      </c>
      <c r="M1539">
        <f t="shared" ref="M1539:M1602" si="49">MONTH(B1539)</f>
        <v>10</v>
      </c>
    </row>
    <row r="1540" spans="1:13" x14ac:dyDescent="0.25">
      <c r="A1540" s="2" t="s">
        <v>1613</v>
      </c>
      <c r="B1540" s="3">
        <v>45944</v>
      </c>
      <c r="C1540" s="2" t="s">
        <v>42</v>
      </c>
      <c r="D1540" s="2" t="s">
        <v>43</v>
      </c>
      <c r="E1540" s="2" t="s">
        <v>44</v>
      </c>
      <c r="F1540" s="2" t="s">
        <v>14</v>
      </c>
      <c r="G1540" s="2" t="s">
        <v>45</v>
      </c>
      <c r="H1540" s="2">
        <v>4</v>
      </c>
      <c r="I1540" s="4">
        <v>46</v>
      </c>
      <c r="J1540" s="2" t="s">
        <v>22</v>
      </c>
      <c r="K1540">
        <f>H1540*I1540</f>
        <v>184</v>
      </c>
      <c r="L1540" t="str">
        <f t="shared" si="48"/>
        <v>Oct</v>
      </c>
      <c r="M1540">
        <f t="shared" si="49"/>
        <v>10</v>
      </c>
    </row>
    <row r="1541" spans="1:13" x14ac:dyDescent="0.25">
      <c r="A1541" s="2" t="s">
        <v>1614</v>
      </c>
      <c r="B1541" s="3">
        <v>45945</v>
      </c>
      <c r="C1541" s="2" t="s">
        <v>72</v>
      </c>
      <c r="D1541" s="2" t="s">
        <v>68</v>
      </c>
      <c r="E1541" s="2" t="s">
        <v>49</v>
      </c>
      <c r="F1541" s="2" t="s">
        <v>20</v>
      </c>
      <c r="G1541" s="2" t="s">
        <v>21</v>
      </c>
      <c r="H1541" s="2">
        <v>1</v>
      </c>
      <c r="I1541" s="4">
        <v>95</v>
      </c>
      <c r="J1541" s="2" t="s">
        <v>16</v>
      </c>
      <c r="K1541">
        <f>H1541*I1541</f>
        <v>95</v>
      </c>
      <c r="L1541" t="str">
        <f t="shared" si="48"/>
        <v>Oct</v>
      </c>
      <c r="M1541">
        <f t="shared" si="49"/>
        <v>10</v>
      </c>
    </row>
    <row r="1542" spans="1:13" x14ac:dyDescent="0.25">
      <c r="A1542" s="2" t="s">
        <v>1615</v>
      </c>
      <c r="B1542" s="3">
        <v>45945</v>
      </c>
      <c r="C1542" s="2" t="s">
        <v>35</v>
      </c>
      <c r="D1542" s="2" t="s">
        <v>35</v>
      </c>
      <c r="E1542" s="2" t="s">
        <v>36</v>
      </c>
      <c r="F1542" s="2" t="s">
        <v>20</v>
      </c>
      <c r="G1542" s="2" t="s">
        <v>21</v>
      </c>
      <c r="H1542" s="2">
        <v>6</v>
      </c>
      <c r="I1542" s="4">
        <v>58</v>
      </c>
      <c r="J1542" s="2" t="s">
        <v>16</v>
      </c>
      <c r="K1542">
        <f>H1542*I1542</f>
        <v>348</v>
      </c>
      <c r="L1542" t="str">
        <f t="shared" si="48"/>
        <v>Oct</v>
      </c>
      <c r="M1542">
        <f t="shared" si="49"/>
        <v>10</v>
      </c>
    </row>
    <row r="1543" spans="1:13" x14ac:dyDescent="0.25">
      <c r="A1543" s="2" t="s">
        <v>1616</v>
      </c>
      <c r="B1543" s="3">
        <v>45945</v>
      </c>
      <c r="C1543" s="2" t="s">
        <v>24</v>
      </c>
      <c r="D1543" s="2" t="s">
        <v>25</v>
      </c>
      <c r="E1543" s="2" t="s">
        <v>26</v>
      </c>
      <c r="F1543" s="2" t="s">
        <v>14</v>
      </c>
      <c r="G1543" s="2" t="s">
        <v>27</v>
      </c>
      <c r="H1543" s="2">
        <v>1</v>
      </c>
      <c r="I1543" s="4">
        <v>58.58</v>
      </c>
      <c r="J1543" s="2" t="s">
        <v>16</v>
      </c>
      <c r="K1543">
        <f>H1543*I1543</f>
        <v>58.58</v>
      </c>
      <c r="L1543" t="str">
        <f t="shared" si="48"/>
        <v>Oct</v>
      </c>
      <c r="M1543">
        <f t="shared" si="49"/>
        <v>10</v>
      </c>
    </row>
    <row r="1544" spans="1:13" x14ac:dyDescent="0.25">
      <c r="A1544" s="2" t="s">
        <v>1617</v>
      </c>
      <c r="B1544" s="3">
        <v>45945</v>
      </c>
      <c r="C1544" s="2" t="s">
        <v>60</v>
      </c>
      <c r="D1544" s="2" t="s">
        <v>61</v>
      </c>
      <c r="E1544" s="2" t="s">
        <v>62</v>
      </c>
      <c r="F1544" s="2" t="s">
        <v>14</v>
      </c>
      <c r="G1544" s="2" t="s">
        <v>63</v>
      </c>
      <c r="H1544" s="2">
        <v>3</v>
      </c>
      <c r="I1544" s="4">
        <v>26.26</v>
      </c>
      <c r="J1544" s="2" t="s">
        <v>16</v>
      </c>
      <c r="K1544">
        <f>H1544*I1544</f>
        <v>78.78</v>
      </c>
      <c r="L1544" t="str">
        <f t="shared" si="48"/>
        <v>Oct</v>
      </c>
      <c r="M1544">
        <f t="shared" si="49"/>
        <v>10</v>
      </c>
    </row>
    <row r="1545" spans="1:13" x14ac:dyDescent="0.25">
      <c r="A1545" s="2" t="s">
        <v>1618</v>
      </c>
      <c r="B1545" s="3">
        <v>45945</v>
      </c>
      <c r="C1545" s="2" t="s">
        <v>52</v>
      </c>
      <c r="D1545" s="2" t="s">
        <v>30</v>
      </c>
      <c r="E1545" s="2" t="s">
        <v>13</v>
      </c>
      <c r="F1545" s="2" t="s">
        <v>14</v>
      </c>
      <c r="G1545" s="2" t="s">
        <v>53</v>
      </c>
      <c r="H1545" s="2">
        <v>4</v>
      </c>
      <c r="I1545" s="4">
        <v>42.42</v>
      </c>
      <c r="J1545" s="2" t="s">
        <v>38</v>
      </c>
      <c r="K1545">
        <f>H1545*I1545</f>
        <v>169.68</v>
      </c>
      <c r="L1545" t="str">
        <f t="shared" si="48"/>
        <v>Oct</v>
      </c>
      <c r="M1545">
        <f t="shared" si="49"/>
        <v>10</v>
      </c>
    </row>
    <row r="1546" spans="1:13" x14ac:dyDescent="0.25">
      <c r="A1546" s="2" t="s">
        <v>1619</v>
      </c>
      <c r="B1546" s="3">
        <v>45946</v>
      </c>
      <c r="C1546" s="2" t="s">
        <v>86</v>
      </c>
      <c r="D1546" s="2" t="s">
        <v>48</v>
      </c>
      <c r="E1546" s="2" t="s">
        <v>49</v>
      </c>
      <c r="F1546" s="2" t="s">
        <v>14</v>
      </c>
      <c r="G1546" s="2" t="s">
        <v>87</v>
      </c>
      <c r="H1546" s="2">
        <v>1</v>
      </c>
      <c r="I1546" s="4">
        <v>126.25</v>
      </c>
      <c r="J1546" s="2" t="s">
        <v>16</v>
      </c>
      <c r="K1546">
        <f>H1546*I1546</f>
        <v>126.25</v>
      </c>
      <c r="L1546" t="str">
        <f t="shared" si="48"/>
        <v>Oct</v>
      </c>
      <c r="M1546">
        <f t="shared" si="49"/>
        <v>10</v>
      </c>
    </row>
    <row r="1547" spans="1:13" x14ac:dyDescent="0.25">
      <c r="A1547" s="2" t="s">
        <v>1620</v>
      </c>
      <c r="B1547" s="3">
        <v>45947</v>
      </c>
      <c r="C1547" s="2" t="s">
        <v>12</v>
      </c>
      <c r="D1547" s="2" t="s">
        <v>12</v>
      </c>
      <c r="E1547" s="2" t="s">
        <v>13</v>
      </c>
      <c r="F1547" s="2" t="s">
        <v>20</v>
      </c>
      <c r="G1547" s="2" t="s">
        <v>21</v>
      </c>
      <c r="H1547" s="2">
        <v>2</v>
      </c>
      <c r="I1547" s="4">
        <v>14</v>
      </c>
      <c r="J1547" s="2" t="s">
        <v>31</v>
      </c>
      <c r="K1547">
        <f>H1547*I1547</f>
        <v>28</v>
      </c>
      <c r="L1547" t="str">
        <f t="shared" si="48"/>
        <v>Oct</v>
      </c>
      <c r="M1547">
        <f t="shared" si="49"/>
        <v>10</v>
      </c>
    </row>
    <row r="1548" spans="1:13" x14ac:dyDescent="0.25">
      <c r="A1548" s="2" t="s">
        <v>1621</v>
      </c>
      <c r="B1548" s="3">
        <v>45947</v>
      </c>
      <c r="C1548" s="2" t="s">
        <v>67</v>
      </c>
      <c r="D1548" s="2" t="s">
        <v>68</v>
      </c>
      <c r="E1548" s="2" t="s">
        <v>49</v>
      </c>
      <c r="F1548" s="2" t="s">
        <v>14</v>
      </c>
      <c r="G1548" s="2" t="s">
        <v>69</v>
      </c>
      <c r="H1548" s="2">
        <v>1</v>
      </c>
      <c r="I1548" s="4">
        <v>207.05</v>
      </c>
      <c r="J1548" s="2" t="s">
        <v>16</v>
      </c>
      <c r="K1548">
        <f>H1548*I1548</f>
        <v>207.05</v>
      </c>
      <c r="L1548" t="str">
        <f t="shared" si="48"/>
        <v>Oct</v>
      </c>
      <c r="M1548">
        <f t="shared" si="49"/>
        <v>10</v>
      </c>
    </row>
    <row r="1549" spans="1:13" x14ac:dyDescent="0.25">
      <c r="A1549" s="2" t="s">
        <v>1622</v>
      </c>
      <c r="B1549" s="3">
        <v>45947</v>
      </c>
      <c r="C1549" s="2" t="s">
        <v>102</v>
      </c>
      <c r="D1549" s="2" t="s">
        <v>102</v>
      </c>
      <c r="E1549" s="2" t="s">
        <v>36</v>
      </c>
      <c r="F1549" s="2" t="s">
        <v>20</v>
      </c>
      <c r="G1549" s="2" t="s">
        <v>21</v>
      </c>
      <c r="H1549" s="2">
        <v>1</v>
      </c>
      <c r="I1549" s="4">
        <v>35.35</v>
      </c>
      <c r="J1549" s="2" t="s">
        <v>31</v>
      </c>
      <c r="K1549">
        <f>H1549*I1549</f>
        <v>35.35</v>
      </c>
      <c r="L1549" t="str">
        <f t="shared" si="48"/>
        <v>Oct</v>
      </c>
      <c r="M1549">
        <f t="shared" si="49"/>
        <v>10</v>
      </c>
    </row>
    <row r="1550" spans="1:13" x14ac:dyDescent="0.25">
      <c r="A1550" s="2" t="s">
        <v>1623</v>
      </c>
      <c r="B1550" s="3">
        <v>45947</v>
      </c>
      <c r="C1550" s="2" t="s">
        <v>34</v>
      </c>
      <c r="D1550" s="2" t="s">
        <v>35</v>
      </c>
      <c r="E1550" s="2" t="s">
        <v>36</v>
      </c>
      <c r="F1550" s="2" t="s">
        <v>14</v>
      </c>
      <c r="G1550" s="2" t="s">
        <v>37</v>
      </c>
      <c r="H1550" s="2">
        <v>1</v>
      </c>
      <c r="I1550" s="4">
        <v>166.65</v>
      </c>
      <c r="J1550" s="2" t="s">
        <v>16</v>
      </c>
      <c r="K1550">
        <f>H1550*I1550</f>
        <v>166.65</v>
      </c>
      <c r="L1550" t="str">
        <f t="shared" si="48"/>
        <v>Oct</v>
      </c>
      <c r="M1550">
        <f t="shared" si="49"/>
        <v>10</v>
      </c>
    </row>
    <row r="1551" spans="1:13" x14ac:dyDescent="0.25">
      <c r="A1551" s="2" t="s">
        <v>1624</v>
      </c>
      <c r="B1551" s="3">
        <v>45947</v>
      </c>
      <c r="C1551" s="2" t="s">
        <v>124</v>
      </c>
      <c r="D1551" s="2" t="s">
        <v>18</v>
      </c>
      <c r="E1551" s="2" t="s">
        <v>19</v>
      </c>
      <c r="F1551" s="2" t="s">
        <v>14</v>
      </c>
      <c r="G1551" s="2" t="s">
        <v>125</v>
      </c>
      <c r="H1551" s="2">
        <v>6</v>
      </c>
      <c r="I1551" s="4">
        <v>45.45</v>
      </c>
      <c r="J1551" s="2" t="s">
        <v>38</v>
      </c>
      <c r="K1551">
        <f>H1551*I1551</f>
        <v>272.70000000000005</v>
      </c>
      <c r="L1551" t="str">
        <f t="shared" si="48"/>
        <v>Oct</v>
      </c>
      <c r="M1551">
        <f t="shared" si="49"/>
        <v>10</v>
      </c>
    </row>
    <row r="1552" spans="1:13" x14ac:dyDescent="0.25">
      <c r="A1552" s="2" t="s">
        <v>1625</v>
      </c>
      <c r="B1552" s="3">
        <v>45947</v>
      </c>
      <c r="C1552" s="2" t="s">
        <v>24</v>
      </c>
      <c r="D1552" s="2" t="s">
        <v>25</v>
      </c>
      <c r="E1552" s="2" t="s">
        <v>26</v>
      </c>
      <c r="F1552" s="2" t="s">
        <v>14</v>
      </c>
      <c r="G1552" s="2" t="s">
        <v>27</v>
      </c>
      <c r="H1552" s="2">
        <v>5</v>
      </c>
      <c r="I1552" s="4">
        <v>58.58</v>
      </c>
      <c r="J1552" s="2" t="s">
        <v>16</v>
      </c>
      <c r="K1552">
        <f>H1552*I1552</f>
        <v>292.89999999999998</v>
      </c>
      <c r="L1552" t="str">
        <f t="shared" si="48"/>
        <v>Oct</v>
      </c>
      <c r="M1552">
        <f t="shared" si="49"/>
        <v>10</v>
      </c>
    </row>
    <row r="1553" spans="1:13" x14ac:dyDescent="0.25">
      <c r="A1553" s="2" t="s">
        <v>1626</v>
      </c>
      <c r="B1553" s="3">
        <v>45947</v>
      </c>
      <c r="C1553" s="2" t="s">
        <v>194</v>
      </c>
      <c r="D1553" s="2" t="s">
        <v>98</v>
      </c>
      <c r="E1553" s="2" t="s">
        <v>99</v>
      </c>
      <c r="F1553" s="2" t="s">
        <v>20</v>
      </c>
      <c r="G1553" s="2" t="s">
        <v>21</v>
      </c>
      <c r="H1553" s="2">
        <v>1</v>
      </c>
      <c r="I1553" s="4">
        <v>70.7</v>
      </c>
      <c r="J1553" s="2" t="s">
        <v>38</v>
      </c>
      <c r="K1553">
        <f>H1553*I1553</f>
        <v>70.7</v>
      </c>
      <c r="L1553" t="str">
        <f t="shared" si="48"/>
        <v>Oct</v>
      </c>
      <c r="M1553">
        <f t="shared" si="49"/>
        <v>10</v>
      </c>
    </row>
    <row r="1554" spans="1:13" x14ac:dyDescent="0.25">
      <c r="A1554" s="2" t="s">
        <v>1627</v>
      </c>
      <c r="B1554" s="3">
        <v>45947</v>
      </c>
      <c r="C1554" s="2" t="s">
        <v>52</v>
      </c>
      <c r="D1554" s="2" t="s">
        <v>30</v>
      </c>
      <c r="E1554" s="2" t="s">
        <v>13</v>
      </c>
      <c r="F1554" s="2" t="s">
        <v>14</v>
      </c>
      <c r="G1554" s="2" t="s">
        <v>53</v>
      </c>
      <c r="H1554" s="2">
        <v>2</v>
      </c>
      <c r="I1554" s="4">
        <v>42.42</v>
      </c>
      <c r="J1554" s="2" t="s">
        <v>16</v>
      </c>
      <c r="K1554">
        <f>H1554*I1554</f>
        <v>84.84</v>
      </c>
      <c r="L1554" t="str">
        <f t="shared" si="48"/>
        <v>Oct</v>
      </c>
      <c r="M1554">
        <f t="shared" si="49"/>
        <v>10</v>
      </c>
    </row>
    <row r="1555" spans="1:13" x14ac:dyDescent="0.25">
      <c r="A1555" s="2" t="s">
        <v>1628</v>
      </c>
      <c r="B1555" s="3">
        <v>45948</v>
      </c>
      <c r="C1555" s="2" t="s">
        <v>11</v>
      </c>
      <c r="D1555" s="2" t="s">
        <v>12</v>
      </c>
      <c r="E1555" s="2" t="s">
        <v>13</v>
      </c>
      <c r="F1555" s="2" t="s">
        <v>14</v>
      </c>
      <c r="G1555" s="2" t="s">
        <v>15</v>
      </c>
      <c r="H1555" s="2">
        <v>2</v>
      </c>
      <c r="I1555" s="4">
        <v>32.32</v>
      </c>
      <c r="J1555" s="2" t="s">
        <v>16</v>
      </c>
      <c r="K1555">
        <f>H1555*I1555</f>
        <v>64.64</v>
      </c>
      <c r="L1555" t="str">
        <f t="shared" si="48"/>
        <v>Oct</v>
      </c>
      <c r="M1555">
        <f t="shared" si="49"/>
        <v>10</v>
      </c>
    </row>
    <row r="1556" spans="1:13" x14ac:dyDescent="0.25">
      <c r="A1556" s="2" t="s">
        <v>1629</v>
      </c>
      <c r="B1556" s="3">
        <v>45948</v>
      </c>
      <c r="C1556" s="2" t="s">
        <v>75</v>
      </c>
      <c r="D1556" s="2" t="s">
        <v>75</v>
      </c>
      <c r="E1556" s="2" t="s">
        <v>76</v>
      </c>
      <c r="F1556" s="2" t="s">
        <v>20</v>
      </c>
      <c r="G1556" s="2" t="s">
        <v>21</v>
      </c>
      <c r="H1556" s="2">
        <v>6</v>
      </c>
      <c r="I1556" s="4">
        <v>12</v>
      </c>
      <c r="J1556" s="2" t="s">
        <v>16</v>
      </c>
      <c r="K1556">
        <f>H1556*I1556</f>
        <v>72</v>
      </c>
      <c r="L1556" t="str">
        <f t="shared" si="48"/>
        <v>Oct</v>
      </c>
      <c r="M1556">
        <f t="shared" si="49"/>
        <v>10</v>
      </c>
    </row>
    <row r="1557" spans="1:13" x14ac:dyDescent="0.25">
      <c r="A1557" s="2" t="s">
        <v>1630</v>
      </c>
      <c r="B1557" s="3">
        <v>45948</v>
      </c>
      <c r="C1557" s="2" t="s">
        <v>102</v>
      </c>
      <c r="D1557" s="2" t="s">
        <v>102</v>
      </c>
      <c r="E1557" s="2" t="s">
        <v>36</v>
      </c>
      <c r="F1557" s="2" t="s">
        <v>20</v>
      </c>
      <c r="G1557" s="2" t="s">
        <v>21</v>
      </c>
      <c r="H1557" s="2">
        <v>6</v>
      </c>
      <c r="I1557" s="4">
        <v>35.35</v>
      </c>
      <c r="J1557" s="2" t="s">
        <v>31</v>
      </c>
      <c r="K1557">
        <f>H1557*I1557</f>
        <v>212.10000000000002</v>
      </c>
      <c r="L1557" t="str">
        <f t="shared" si="48"/>
        <v>Oct</v>
      </c>
      <c r="M1557">
        <f t="shared" si="49"/>
        <v>10</v>
      </c>
    </row>
    <row r="1558" spans="1:13" x14ac:dyDescent="0.25">
      <c r="A1558" s="2" t="s">
        <v>1631</v>
      </c>
      <c r="B1558" s="3">
        <v>45948</v>
      </c>
      <c r="C1558" s="2" t="s">
        <v>190</v>
      </c>
      <c r="D1558" s="2" t="s">
        <v>40</v>
      </c>
      <c r="E1558" s="2" t="s">
        <v>19</v>
      </c>
      <c r="F1558" s="2" t="s">
        <v>14</v>
      </c>
      <c r="G1558" s="2" t="s">
        <v>191</v>
      </c>
      <c r="H1558" s="2">
        <v>1</v>
      </c>
      <c r="I1558" s="4">
        <v>142</v>
      </c>
      <c r="J1558" s="2" t="s">
        <v>16</v>
      </c>
      <c r="K1558">
        <f>H1558*I1558</f>
        <v>142</v>
      </c>
      <c r="L1558" t="str">
        <f t="shared" si="48"/>
        <v>Oct</v>
      </c>
      <c r="M1558">
        <f t="shared" si="49"/>
        <v>10</v>
      </c>
    </row>
    <row r="1559" spans="1:13" x14ac:dyDescent="0.25">
      <c r="A1559" s="2" t="s">
        <v>1632</v>
      </c>
      <c r="B1559" s="3">
        <v>45949</v>
      </c>
      <c r="C1559" s="2" t="s">
        <v>11</v>
      </c>
      <c r="D1559" s="2" t="s">
        <v>12</v>
      </c>
      <c r="E1559" s="2" t="s">
        <v>13</v>
      </c>
      <c r="F1559" s="2" t="s">
        <v>14</v>
      </c>
      <c r="G1559" s="2" t="s">
        <v>15</v>
      </c>
      <c r="H1559" s="2">
        <v>1</v>
      </c>
      <c r="I1559" s="4">
        <v>32</v>
      </c>
      <c r="J1559" s="2" t="s">
        <v>16</v>
      </c>
      <c r="K1559">
        <f>H1559*I1559</f>
        <v>32</v>
      </c>
      <c r="L1559" t="str">
        <f t="shared" si="48"/>
        <v>Oct</v>
      </c>
      <c r="M1559">
        <f t="shared" si="49"/>
        <v>10</v>
      </c>
    </row>
    <row r="1560" spans="1:13" x14ac:dyDescent="0.25">
      <c r="A1560" s="2" t="s">
        <v>1633</v>
      </c>
      <c r="B1560" s="3">
        <v>45949</v>
      </c>
      <c r="C1560" s="2" t="s">
        <v>40</v>
      </c>
      <c r="D1560" s="2" t="s">
        <v>40</v>
      </c>
      <c r="E1560" s="2" t="s">
        <v>19</v>
      </c>
      <c r="F1560" s="2" t="s">
        <v>20</v>
      </c>
      <c r="G1560" s="2" t="s">
        <v>21</v>
      </c>
      <c r="H1560" s="2">
        <v>3</v>
      </c>
      <c r="I1560" s="4">
        <v>46.46</v>
      </c>
      <c r="J1560" s="2" t="s">
        <v>31</v>
      </c>
      <c r="K1560">
        <f>H1560*I1560</f>
        <v>139.38</v>
      </c>
      <c r="L1560" t="str">
        <f t="shared" si="48"/>
        <v>Oct</v>
      </c>
      <c r="M1560">
        <f t="shared" si="49"/>
        <v>10</v>
      </c>
    </row>
    <row r="1561" spans="1:13" x14ac:dyDescent="0.25">
      <c r="A1561" s="2" t="s">
        <v>1634</v>
      </c>
      <c r="B1561" s="3">
        <v>45949</v>
      </c>
      <c r="C1561" s="2" t="s">
        <v>79</v>
      </c>
      <c r="D1561" s="2" t="s">
        <v>80</v>
      </c>
      <c r="E1561" s="2" t="s">
        <v>26</v>
      </c>
      <c r="F1561" s="2" t="s">
        <v>14</v>
      </c>
      <c r="G1561" s="2" t="s">
        <v>81</v>
      </c>
      <c r="H1561" s="2">
        <v>3</v>
      </c>
      <c r="I1561" s="4">
        <v>152</v>
      </c>
      <c r="J1561" s="2" t="s">
        <v>31</v>
      </c>
      <c r="K1561">
        <f>H1561*I1561</f>
        <v>456</v>
      </c>
      <c r="L1561" t="str">
        <f t="shared" si="48"/>
        <v>Oct</v>
      </c>
      <c r="M1561">
        <f t="shared" si="49"/>
        <v>10</v>
      </c>
    </row>
    <row r="1562" spans="1:13" x14ac:dyDescent="0.25">
      <c r="A1562" s="2" t="s">
        <v>1635</v>
      </c>
      <c r="B1562" s="3">
        <v>45949</v>
      </c>
      <c r="C1562" s="2" t="s">
        <v>80</v>
      </c>
      <c r="D1562" s="2" t="s">
        <v>80</v>
      </c>
      <c r="E1562" s="2" t="s">
        <v>26</v>
      </c>
      <c r="F1562" s="2" t="s">
        <v>20</v>
      </c>
      <c r="G1562" s="2" t="s">
        <v>21</v>
      </c>
      <c r="H1562" s="2">
        <v>3</v>
      </c>
      <c r="I1562" s="4">
        <v>50</v>
      </c>
      <c r="J1562" s="2" t="s">
        <v>38</v>
      </c>
      <c r="K1562">
        <f>H1562*I1562</f>
        <v>150</v>
      </c>
      <c r="L1562" t="str">
        <f t="shared" si="48"/>
        <v>Oct</v>
      </c>
      <c r="M1562">
        <f t="shared" si="49"/>
        <v>10</v>
      </c>
    </row>
    <row r="1563" spans="1:13" x14ac:dyDescent="0.25">
      <c r="A1563" s="2" t="s">
        <v>1636</v>
      </c>
      <c r="B1563" s="3">
        <v>45949</v>
      </c>
      <c r="C1563" s="2" t="s">
        <v>60</v>
      </c>
      <c r="D1563" s="2" t="s">
        <v>61</v>
      </c>
      <c r="E1563" s="2" t="s">
        <v>62</v>
      </c>
      <c r="F1563" s="2" t="s">
        <v>14</v>
      </c>
      <c r="G1563" s="2" t="s">
        <v>63</v>
      </c>
      <c r="H1563" s="2">
        <v>3</v>
      </c>
      <c r="I1563" s="4">
        <v>26.26</v>
      </c>
      <c r="J1563" s="2" t="s">
        <v>38</v>
      </c>
      <c r="K1563">
        <f>H1563*I1563</f>
        <v>78.78</v>
      </c>
      <c r="L1563" t="str">
        <f t="shared" si="48"/>
        <v>Oct</v>
      </c>
      <c r="M1563">
        <f t="shared" si="49"/>
        <v>10</v>
      </c>
    </row>
    <row r="1564" spans="1:13" x14ac:dyDescent="0.25">
      <c r="A1564" s="2" t="s">
        <v>1637</v>
      </c>
      <c r="B1564" s="3">
        <v>45949</v>
      </c>
      <c r="C1564" s="2" t="s">
        <v>61</v>
      </c>
      <c r="D1564" s="2" t="s">
        <v>61</v>
      </c>
      <c r="E1564" s="2" t="s">
        <v>62</v>
      </c>
      <c r="F1564" s="2" t="s">
        <v>20</v>
      </c>
      <c r="G1564" s="2" t="s">
        <v>21</v>
      </c>
      <c r="H1564" s="2">
        <v>3</v>
      </c>
      <c r="I1564" s="4">
        <v>8.08</v>
      </c>
      <c r="J1564" s="2" t="s">
        <v>31</v>
      </c>
      <c r="K1564">
        <f>H1564*I1564</f>
        <v>24.240000000000002</v>
      </c>
      <c r="L1564" t="str">
        <f t="shared" si="48"/>
        <v>Oct</v>
      </c>
      <c r="M1564">
        <f t="shared" si="49"/>
        <v>10</v>
      </c>
    </row>
    <row r="1565" spans="1:13" x14ac:dyDescent="0.25">
      <c r="A1565" s="2" t="s">
        <v>1638</v>
      </c>
      <c r="B1565" s="3">
        <v>45950</v>
      </c>
      <c r="C1565" s="2" t="s">
        <v>74</v>
      </c>
      <c r="D1565" s="2" t="s">
        <v>75</v>
      </c>
      <c r="E1565" s="2" t="s">
        <v>76</v>
      </c>
      <c r="F1565" s="2" t="s">
        <v>14</v>
      </c>
      <c r="G1565" s="2" t="s">
        <v>77</v>
      </c>
      <c r="H1565" s="2">
        <v>12</v>
      </c>
      <c r="I1565" s="4">
        <v>32</v>
      </c>
      <c r="J1565" s="2" t="s">
        <v>16</v>
      </c>
      <c r="K1565">
        <f>H1565*I1565</f>
        <v>384</v>
      </c>
      <c r="L1565" t="str">
        <f t="shared" si="48"/>
        <v>Oct</v>
      </c>
      <c r="M1565">
        <f t="shared" si="49"/>
        <v>10</v>
      </c>
    </row>
    <row r="1566" spans="1:13" x14ac:dyDescent="0.25">
      <c r="A1566" s="2" t="s">
        <v>1639</v>
      </c>
      <c r="B1566" s="3">
        <v>45950</v>
      </c>
      <c r="C1566" s="2" t="s">
        <v>119</v>
      </c>
      <c r="D1566" s="2" t="s">
        <v>120</v>
      </c>
      <c r="E1566" s="2" t="s">
        <v>76</v>
      </c>
      <c r="F1566" s="2" t="s">
        <v>14</v>
      </c>
      <c r="G1566" s="2" t="s">
        <v>121</v>
      </c>
      <c r="H1566" s="2">
        <v>6</v>
      </c>
      <c r="I1566" s="4">
        <v>191.9</v>
      </c>
      <c r="J1566" s="2" t="s">
        <v>38</v>
      </c>
      <c r="K1566">
        <f>H1566*I1566</f>
        <v>1151.4000000000001</v>
      </c>
      <c r="L1566" t="str">
        <f t="shared" si="48"/>
        <v>Oct</v>
      </c>
      <c r="M1566">
        <f t="shared" si="49"/>
        <v>10</v>
      </c>
    </row>
    <row r="1567" spans="1:13" x14ac:dyDescent="0.25">
      <c r="A1567" s="2" t="s">
        <v>1640</v>
      </c>
      <c r="B1567" s="3">
        <v>45950</v>
      </c>
      <c r="C1567" s="2" t="s">
        <v>124</v>
      </c>
      <c r="D1567" s="2" t="s">
        <v>18</v>
      </c>
      <c r="E1567" s="2" t="s">
        <v>19</v>
      </c>
      <c r="F1567" s="2" t="s">
        <v>14</v>
      </c>
      <c r="G1567" s="2" t="s">
        <v>125</v>
      </c>
      <c r="H1567" s="2">
        <v>1</v>
      </c>
      <c r="I1567" s="4">
        <v>45.45</v>
      </c>
      <c r="J1567" s="2" t="s">
        <v>16</v>
      </c>
      <c r="K1567">
        <f>H1567*I1567</f>
        <v>45.45</v>
      </c>
      <c r="L1567" t="str">
        <f t="shared" si="48"/>
        <v>Oct</v>
      </c>
      <c r="M1567">
        <f t="shared" si="49"/>
        <v>10</v>
      </c>
    </row>
    <row r="1568" spans="1:13" x14ac:dyDescent="0.25">
      <c r="A1568" s="2" t="s">
        <v>1641</v>
      </c>
      <c r="B1568" s="3">
        <v>45950</v>
      </c>
      <c r="C1568" s="2" t="s">
        <v>79</v>
      </c>
      <c r="D1568" s="2" t="s">
        <v>80</v>
      </c>
      <c r="E1568" s="2" t="s">
        <v>26</v>
      </c>
      <c r="F1568" s="2" t="s">
        <v>14</v>
      </c>
      <c r="G1568" s="2" t="s">
        <v>81</v>
      </c>
      <c r="H1568" s="2">
        <v>1</v>
      </c>
      <c r="I1568" s="4">
        <v>153.52000000000001</v>
      </c>
      <c r="J1568" s="2" t="s">
        <v>22</v>
      </c>
      <c r="K1568">
        <f>H1568*I1568</f>
        <v>153.52000000000001</v>
      </c>
      <c r="L1568" t="str">
        <f t="shared" si="48"/>
        <v>Oct</v>
      </c>
      <c r="M1568">
        <f t="shared" si="49"/>
        <v>10</v>
      </c>
    </row>
    <row r="1569" spans="1:13" x14ac:dyDescent="0.25">
      <c r="A1569" s="2" t="s">
        <v>1642</v>
      </c>
      <c r="B1569" s="3">
        <v>45950</v>
      </c>
      <c r="C1569" s="2" t="s">
        <v>80</v>
      </c>
      <c r="D1569" s="2" t="s">
        <v>80</v>
      </c>
      <c r="E1569" s="2" t="s">
        <v>26</v>
      </c>
      <c r="F1569" s="2" t="s">
        <v>20</v>
      </c>
      <c r="G1569" s="2" t="s">
        <v>21</v>
      </c>
      <c r="H1569" s="2">
        <v>1</v>
      </c>
      <c r="I1569" s="4">
        <v>50</v>
      </c>
      <c r="J1569" s="2" t="s">
        <v>38</v>
      </c>
      <c r="K1569">
        <f>H1569*I1569</f>
        <v>50</v>
      </c>
      <c r="L1569" t="str">
        <f t="shared" si="48"/>
        <v>Oct</v>
      </c>
      <c r="M1569">
        <f t="shared" si="49"/>
        <v>10</v>
      </c>
    </row>
    <row r="1570" spans="1:13" x14ac:dyDescent="0.25">
      <c r="A1570" s="2" t="s">
        <v>1643</v>
      </c>
      <c r="B1570" s="3">
        <v>45950</v>
      </c>
      <c r="C1570" s="2" t="s">
        <v>42</v>
      </c>
      <c r="D1570" s="2" t="s">
        <v>43</v>
      </c>
      <c r="E1570" s="2" t="s">
        <v>44</v>
      </c>
      <c r="F1570" s="2" t="s">
        <v>14</v>
      </c>
      <c r="G1570" s="2" t="s">
        <v>45</v>
      </c>
      <c r="H1570" s="2">
        <v>5</v>
      </c>
      <c r="I1570" s="4">
        <v>46.46</v>
      </c>
      <c r="J1570" s="2" t="s">
        <v>16</v>
      </c>
      <c r="K1570">
        <f>H1570*I1570</f>
        <v>232.3</v>
      </c>
      <c r="L1570" t="str">
        <f t="shared" si="48"/>
        <v>Oct</v>
      </c>
      <c r="M1570">
        <f t="shared" si="49"/>
        <v>10</v>
      </c>
    </row>
    <row r="1571" spans="1:13" x14ac:dyDescent="0.25">
      <c r="A1571" s="2" t="s">
        <v>1644</v>
      </c>
      <c r="B1571" s="3">
        <v>45951</v>
      </c>
      <c r="C1571" s="2" t="s">
        <v>11</v>
      </c>
      <c r="D1571" s="2" t="s">
        <v>12</v>
      </c>
      <c r="E1571" s="2" t="s">
        <v>13</v>
      </c>
      <c r="F1571" s="2" t="s">
        <v>14</v>
      </c>
      <c r="G1571" s="2" t="s">
        <v>15</v>
      </c>
      <c r="H1571" s="2">
        <v>1</v>
      </c>
      <c r="I1571" s="4">
        <v>32.32</v>
      </c>
      <c r="J1571" s="2" t="s">
        <v>22</v>
      </c>
      <c r="K1571">
        <f>H1571*I1571</f>
        <v>32.32</v>
      </c>
      <c r="L1571" t="str">
        <f t="shared" si="48"/>
        <v>Oct</v>
      </c>
      <c r="M1571">
        <f t="shared" si="49"/>
        <v>10</v>
      </c>
    </row>
    <row r="1572" spans="1:13" x14ac:dyDescent="0.25">
      <c r="A1572" s="2" t="s">
        <v>1645</v>
      </c>
      <c r="B1572" s="3">
        <v>45951</v>
      </c>
      <c r="C1572" s="2" t="s">
        <v>11</v>
      </c>
      <c r="D1572" s="2" t="s">
        <v>12</v>
      </c>
      <c r="E1572" s="2" t="s">
        <v>13</v>
      </c>
      <c r="F1572" s="2" t="s">
        <v>14</v>
      </c>
      <c r="G1572" s="2" t="s">
        <v>15</v>
      </c>
      <c r="H1572" s="2">
        <v>2</v>
      </c>
      <c r="I1572" s="4">
        <v>32.32</v>
      </c>
      <c r="J1572" s="2" t="s">
        <v>38</v>
      </c>
      <c r="K1572">
        <f>H1572*I1572</f>
        <v>64.64</v>
      </c>
      <c r="L1572" t="str">
        <f t="shared" si="48"/>
        <v>Oct</v>
      </c>
      <c r="M1572">
        <f t="shared" si="49"/>
        <v>10</v>
      </c>
    </row>
    <row r="1573" spans="1:13" x14ac:dyDescent="0.25">
      <c r="A1573" s="2" t="s">
        <v>1646</v>
      </c>
      <c r="B1573" s="3">
        <v>45951</v>
      </c>
      <c r="C1573" s="2" t="s">
        <v>12</v>
      </c>
      <c r="D1573" s="2" t="s">
        <v>12</v>
      </c>
      <c r="E1573" s="2" t="s">
        <v>13</v>
      </c>
      <c r="F1573" s="2" t="s">
        <v>20</v>
      </c>
      <c r="G1573" s="2" t="s">
        <v>21</v>
      </c>
      <c r="H1573" s="2">
        <v>1</v>
      </c>
      <c r="I1573" s="4">
        <v>14.14</v>
      </c>
      <c r="J1573" s="2" t="s">
        <v>16</v>
      </c>
      <c r="K1573">
        <f>H1573*I1573</f>
        <v>14.14</v>
      </c>
      <c r="L1573" t="str">
        <f t="shared" si="48"/>
        <v>Oct</v>
      </c>
      <c r="M1573">
        <f t="shared" si="49"/>
        <v>10</v>
      </c>
    </row>
    <row r="1574" spans="1:13" x14ac:dyDescent="0.25">
      <c r="A1574" s="2" t="s">
        <v>1647</v>
      </c>
      <c r="B1574" s="3">
        <v>45951</v>
      </c>
      <c r="C1574" s="2" t="s">
        <v>75</v>
      </c>
      <c r="D1574" s="2" t="s">
        <v>75</v>
      </c>
      <c r="E1574" s="2" t="s">
        <v>76</v>
      </c>
      <c r="F1574" s="2" t="s">
        <v>20</v>
      </c>
      <c r="G1574" s="2" t="s">
        <v>21</v>
      </c>
      <c r="H1574" s="2">
        <v>2</v>
      </c>
      <c r="I1574" s="4">
        <v>12.12</v>
      </c>
      <c r="J1574" s="2" t="s">
        <v>22</v>
      </c>
      <c r="K1574">
        <f>H1574*I1574</f>
        <v>24.24</v>
      </c>
      <c r="L1574" t="str">
        <f t="shared" si="48"/>
        <v>Oct</v>
      </c>
      <c r="M1574">
        <f t="shared" si="49"/>
        <v>10</v>
      </c>
    </row>
    <row r="1575" spans="1:13" x14ac:dyDescent="0.25">
      <c r="A1575" s="2" t="s">
        <v>1648</v>
      </c>
      <c r="B1575" s="3">
        <v>45951</v>
      </c>
      <c r="C1575" s="2" t="s">
        <v>75</v>
      </c>
      <c r="D1575" s="2" t="s">
        <v>75</v>
      </c>
      <c r="E1575" s="2" t="s">
        <v>76</v>
      </c>
      <c r="F1575" s="2" t="s">
        <v>20</v>
      </c>
      <c r="G1575" s="2" t="s">
        <v>21</v>
      </c>
      <c r="H1575" s="2">
        <v>3</v>
      </c>
      <c r="I1575" s="4">
        <v>12.12</v>
      </c>
      <c r="J1575" s="2" t="s">
        <v>31</v>
      </c>
      <c r="K1575">
        <f>H1575*I1575</f>
        <v>36.36</v>
      </c>
      <c r="L1575" t="str">
        <f t="shared" si="48"/>
        <v>Oct</v>
      </c>
      <c r="M1575">
        <f t="shared" si="49"/>
        <v>10</v>
      </c>
    </row>
    <row r="1576" spans="1:13" x14ac:dyDescent="0.25">
      <c r="A1576" s="2" t="s">
        <v>1649</v>
      </c>
      <c r="B1576" s="3">
        <v>45952</v>
      </c>
      <c r="C1576" s="2" t="s">
        <v>67</v>
      </c>
      <c r="D1576" s="2" t="s">
        <v>68</v>
      </c>
      <c r="E1576" s="2" t="s">
        <v>49</v>
      </c>
      <c r="F1576" s="2" t="s">
        <v>14</v>
      </c>
      <c r="G1576" s="2" t="s">
        <v>69</v>
      </c>
      <c r="H1576" s="2">
        <v>3</v>
      </c>
      <c r="I1576" s="4">
        <v>205</v>
      </c>
      <c r="J1576" s="2" t="s">
        <v>31</v>
      </c>
      <c r="K1576">
        <f>H1576*I1576</f>
        <v>615</v>
      </c>
      <c r="L1576" t="str">
        <f t="shared" si="48"/>
        <v>Oct</v>
      </c>
      <c r="M1576">
        <f t="shared" si="49"/>
        <v>10</v>
      </c>
    </row>
    <row r="1577" spans="1:13" x14ac:dyDescent="0.25">
      <c r="A1577" s="2" t="s">
        <v>1650</v>
      </c>
      <c r="B1577" s="3">
        <v>45952</v>
      </c>
      <c r="C1577" s="2" t="s">
        <v>101</v>
      </c>
      <c r="D1577" s="2" t="s">
        <v>102</v>
      </c>
      <c r="E1577" s="2" t="s">
        <v>36</v>
      </c>
      <c r="F1577" s="2" t="s">
        <v>14</v>
      </c>
      <c r="G1577" s="2" t="s">
        <v>103</v>
      </c>
      <c r="H1577" s="2">
        <v>1</v>
      </c>
      <c r="I1577" s="4">
        <v>92</v>
      </c>
      <c r="J1577" s="2" t="s">
        <v>16</v>
      </c>
      <c r="K1577">
        <f>H1577*I1577</f>
        <v>92</v>
      </c>
      <c r="L1577" t="str">
        <f t="shared" si="48"/>
        <v>Oct</v>
      </c>
      <c r="M1577">
        <f t="shared" si="49"/>
        <v>10</v>
      </c>
    </row>
    <row r="1578" spans="1:13" x14ac:dyDescent="0.25">
      <c r="A1578" s="2" t="s">
        <v>1651</v>
      </c>
      <c r="B1578" s="3">
        <v>45952</v>
      </c>
      <c r="C1578" s="2" t="s">
        <v>190</v>
      </c>
      <c r="D1578" s="2" t="s">
        <v>40</v>
      </c>
      <c r="E1578" s="2" t="s">
        <v>19</v>
      </c>
      <c r="F1578" s="2" t="s">
        <v>14</v>
      </c>
      <c r="G1578" s="2" t="s">
        <v>191</v>
      </c>
      <c r="H1578" s="2">
        <v>3</v>
      </c>
      <c r="I1578" s="4">
        <v>143.41999999999999</v>
      </c>
      <c r="J1578" s="2" t="s">
        <v>16</v>
      </c>
      <c r="K1578">
        <f>H1578*I1578</f>
        <v>430.26</v>
      </c>
      <c r="L1578" t="str">
        <f t="shared" si="48"/>
        <v>Oct</v>
      </c>
      <c r="M1578">
        <f t="shared" si="49"/>
        <v>10</v>
      </c>
    </row>
    <row r="1579" spans="1:13" x14ac:dyDescent="0.25">
      <c r="A1579" s="2" t="s">
        <v>1652</v>
      </c>
      <c r="B1579" s="3">
        <v>45952</v>
      </c>
      <c r="C1579" s="2" t="s">
        <v>52</v>
      </c>
      <c r="D1579" s="2" t="s">
        <v>30</v>
      </c>
      <c r="E1579" s="2" t="s">
        <v>13</v>
      </c>
      <c r="F1579" s="2" t="s">
        <v>14</v>
      </c>
      <c r="G1579" s="2" t="s">
        <v>53</v>
      </c>
      <c r="H1579" s="2">
        <v>1</v>
      </c>
      <c r="I1579" s="4">
        <v>42.42</v>
      </c>
      <c r="J1579" s="2" t="s">
        <v>16</v>
      </c>
      <c r="K1579">
        <f>H1579*I1579</f>
        <v>42.42</v>
      </c>
      <c r="L1579" t="str">
        <f t="shared" si="48"/>
        <v>Oct</v>
      </c>
      <c r="M1579">
        <f t="shared" si="49"/>
        <v>10</v>
      </c>
    </row>
    <row r="1580" spans="1:13" x14ac:dyDescent="0.25">
      <c r="A1580" s="2" t="s">
        <v>1653</v>
      </c>
      <c r="B1580" s="3">
        <v>45953</v>
      </c>
      <c r="C1580" s="2" t="s">
        <v>75</v>
      </c>
      <c r="D1580" s="2" t="s">
        <v>75</v>
      </c>
      <c r="E1580" s="2" t="s">
        <v>76</v>
      </c>
      <c r="F1580" s="2" t="s">
        <v>20</v>
      </c>
      <c r="G1580" s="2" t="s">
        <v>21</v>
      </c>
      <c r="H1580" s="2">
        <v>3</v>
      </c>
      <c r="I1580" s="4">
        <v>12.12</v>
      </c>
      <c r="J1580" s="2" t="s">
        <v>16</v>
      </c>
      <c r="K1580">
        <f>H1580*I1580</f>
        <v>36.36</v>
      </c>
      <c r="L1580" t="str">
        <f t="shared" si="48"/>
        <v>Oct</v>
      </c>
      <c r="M1580">
        <f t="shared" si="49"/>
        <v>10</v>
      </c>
    </row>
    <row r="1581" spans="1:13" x14ac:dyDescent="0.25">
      <c r="A1581" s="2" t="s">
        <v>1654</v>
      </c>
      <c r="B1581" s="3">
        <v>45953</v>
      </c>
      <c r="C1581" s="2" t="s">
        <v>124</v>
      </c>
      <c r="D1581" s="2" t="s">
        <v>18</v>
      </c>
      <c r="E1581" s="2" t="s">
        <v>19</v>
      </c>
      <c r="F1581" s="2" t="s">
        <v>14</v>
      </c>
      <c r="G1581" s="2" t="s">
        <v>125</v>
      </c>
      <c r="H1581" s="2">
        <v>6</v>
      </c>
      <c r="I1581" s="4">
        <v>45</v>
      </c>
      <c r="J1581" s="2" t="s">
        <v>31</v>
      </c>
      <c r="K1581">
        <f>H1581*I1581</f>
        <v>270</v>
      </c>
      <c r="L1581" t="str">
        <f t="shared" si="48"/>
        <v>Oct</v>
      </c>
      <c r="M1581">
        <f t="shared" si="49"/>
        <v>10</v>
      </c>
    </row>
    <row r="1582" spans="1:13" x14ac:dyDescent="0.25">
      <c r="A1582" s="2" t="s">
        <v>1655</v>
      </c>
      <c r="B1582" s="3">
        <v>45953</v>
      </c>
      <c r="C1582" s="2" t="s">
        <v>124</v>
      </c>
      <c r="D1582" s="2" t="s">
        <v>18</v>
      </c>
      <c r="E1582" s="2" t="s">
        <v>19</v>
      </c>
      <c r="F1582" s="2" t="s">
        <v>14</v>
      </c>
      <c r="G1582" s="2" t="s">
        <v>125</v>
      </c>
      <c r="H1582" s="2">
        <v>6</v>
      </c>
      <c r="I1582" s="4">
        <v>45.45</v>
      </c>
      <c r="J1582" s="2" t="s">
        <v>31</v>
      </c>
      <c r="K1582">
        <f>H1582*I1582</f>
        <v>272.70000000000005</v>
      </c>
      <c r="L1582" t="str">
        <f t="shared" si="48"/>
        <v>Oct</v>
      </c>
      <c r="M1582">
        <f t="shared" si="49"/>
        <v>10</v>
      </c>
    </row>
    <row r="1583" spans="1:13" x14ac:dyDescent="0.25">
      <c r="A1583" s="2" t="s">
        <v>1656</v>
      </c>
      <c r="B1583" s="3">
        <v>45953</v>
      </c>
      <c r="C1583" s="2" t="s">
        <v>80</v>
      </c>
      <c r="D1583" s="2" t="s">
        <v>80</v>
      </c>
      <c r="E1583" s="2" t="s">
        <v>26</v>
      </c>
      <c r="F1583" s="2" t="s">
        <v>20</v>
      </c>
      <c r="G1583" s="2" t="s">
        <v>21</v>
      </c>
      <c r="H1583" s="2">
        <v>2</v>
      </c>
      <c r="I1583" s="4">
        <v>50.5</v>
      </c>
      <c r="J1583" s="2" t="s">
        <v>38</v>
      </c>
      <c r="K1583">
        <f>H1583*I1583</f>
        <v>101</v>
      </c>
      <c r="L1583" t="str">
        <f t="shared" si="48"/>
        <v>Oct</v>
      </c>
      <c r="M1583">
        <f t="shared" si="49"/>
        <v>10</v>
      </c>
    </row>
    <row r="1584" spans="1:13" x14ac:dyDescent="0.25">
      <c r="A1584" s="2" t="s">
        <v>1657</v>
      </c>
      <c r="B1584" s="3">
        <v>45954</v>
      </c>
      <c r="C1584" s="2" t="s">
        <v>11</v>
      </c>
      <c r="D1584" s="2" t="s">
        <v>12</v>
      </c>
      <c r="E1584" s="2" t="s">
        <v>13</v>
      </c>
      <c r="F1584" s="2" t="s">
        <v>14</v>
      </c>
      <c r="G1584" s="2" t="s">
        <v>15</v>
      </c>
      <c r="H1584" s="2">
        <v>4</v>
      </c>
      <c r="I1584" s="4">
        <v>32.32</v>
      </c>
      <c r="J1584" s="2" t="s">
        <v>38</v>
      </c>
      <c r="K1584">
        <f>H1584*I1584</f>
        <v>129.28</v>
      </c>
      <c r="L1584" t="str">
        <f t="shared" si="48"/>
        <v>Oct</v>
      </c>
      <c r="M1584">
        <f t="shared" si="49"/>
        <v>10</v>
      </c>
    </row>
    <row r="1585" spans="1:13" x14ac:dyDescent="0.25">
      <c r="A1585" s="2" t="s">
        <v>1658</v>
      </c>
      <c r="B1585" s="3">
        <v>45954</v>
      </c>
      <c r="C1585" s="2" t="s">
        <v>11</v>
      </c>
      <c r="D1585" s="2" t="s">
        <v>12</v>
      </c>
      <c r="E1585" s="2" t="s">
        <v>13</v>
      </c>
      <c r="F1585" s="2" t="s">
        <v>14</v>
      </c>
      <c r="G1585" s="2" t="s">
        <v>15</v>
      </c>
      <c r="H1585" s="2">
        <v>1</v>
      </c>
      <c r="I1585" s="4">
        <v>32.32</v>
      </c>
      <c r="J1585" s="2" t="s">
        <v>16</v>
      </c>
      <c r="K1585">
        <f>H1585*I1585</f>
        <v>32.32</v>
      </c>
      <c r="L1585" t="str">
        <f t="shared" si="48"/>
        <v>Oct</v>
      </c>
      <c r="M1585">
        <f t="shared" si="49"/>
        <v>10</v>
      </c>
    </row>
    <row r="1586" spans="1:13" x14ac:dyDescent="0.25">
      <c r="A1586" s="2" t="s">
        <v>1659</v>
      </c>
      <c r="B1586" s="3">
        <v>45954</v>
      </c>
      <c r="C1586" s="2" t="s">
        <v>86</v>
      </c>
      <c r="D1586" s="2" t="s">
        <v>48</v>
      </c>
      <c r="E1586" s="2" t="s">
        <v>49</v>
      </c>
      <c r="F1586" s="2" t="s">
        <v>14</v>
      </c>
      <c r="G1586" s="2" t="s">
        <v>87</v>
      </c>
      <c r="H1586" s="2">
        <v>2</v>
      </c>
      <c r="I1586" s="4">
        <v>125</v>
      </c>
      <c r="J1586" s="2" t="s">
        <v>38</v>
      </c>
      <c r="K1586">
        <f>H1586*I1586</f>
        <v>250</v>
      </c>
      <c r="L1586" t="str">
        <f t="shared" si="48"/>
        <v>Oct</v>
      </c>
      <c r="M1586">
        <f t="shared" si="49"/>
        <v>10</v>
      </c>
    </row>
    <row r="1587" spans="1:13" x14ac:dyDescent="0.25">
      <c r="A1587" s="2" t="s">
        <v>1660</v>
      </c>
      <c r="B1587" s="3">
        <v>45954</v>
      </c>
      <c r="C1587" s="2" t="s">
        <v>75</v>
      </c>
      <c r="D1587" s="2" t="s">
        <v>75</v>
      </c>
      <c r="E1587" s="2" t="s">
        <v>76</v>
      </c>
      <c r="F1587" s="2" t="s">
        <v>20</v>
      </c>
      <c r="G1587" s="2" t="s">
        <v>21</v>
      </c>
      <c r="H1587" s="2">
        <v>12</v>
      </c>
      <c r="I1587" s="4">
        <v>12.12</v>
      </c>
      <c r="J1587" s="2" t="s">
        <v>16</v>
      </c>
      <c r="K1587">
        <f>H1587*I1587</f>
        <v>145.44</v>
      </c>
      <c r="L1587" t="str">
        <f t="shared" si="48"/>
        <v>Oct</v>
      </c>
      <c r="M1587">
        <f t="shared" si="49"/>
        <v>10</v>
      </c>
    </row>
    <row r="1588" spans="1:13" x14ac:dyDescent="0.25">
      <c r="A1588" s="2" t="s">
        <v>1661</v>
      </c>
      <c r="B1588" s="3">
        <v>45954</v>
      </c>
      <c r="C1588" s="2" t="s">
        <v>102</v>
      </c>
      <c r="D1588" s="2" t="s">
        <v>102</v>
      </c>
      <c r="E1588" s="2" t="s">
        <v>36</v>
      </c>
      <c r="F1588" s="2" t="s">
        <v>20</v>
      </c>
      <c r="G1588" s="2" t="s">
        <v>21</v>
      </c>
      <c r="H1588" s="2">
        <v>2</v>
      </c>
      <c r="I1588" s="4">
        <v>35.35</v>
      </c>
      <c r="J1588" s="2" t="s">
        <v>38</v>
      </c>
      <c r="K1588">
        <f>H1588*I1588</f>
        <v>70.7</v>
      </c>
      <c r="L1588" t="str">
        <f t="shared" si="48"/>
        <v>Oct</v>
      </c>
      <c r="M1588">
        <f t="shared" si="49"/>
        <v>10</v>
      </c>
    </row>
    <row r="1589" spans="1:13" x14ac:dyDescent="0.25">
      <c r="A1589" s="2" t="s">
        <v>1662</v>
      </c>
      <c r="B1589" s="3">
        <v>45954</v>
      </c>
      <c r="C1589" s="2" t="s">
        <v>80</v>
      </c>
      <c r="D1589" s="2" t="s">
        <v>80</v>
      </c>
      <c r="E1589" s="2" t="s">
        <v>26</v>
      </c>
      <c r="F1589" s="2" t="s">
        <v>20</v>
      </c>
      <c r="G1589" s="2" t="s">
        <v>21</v>
      </c>
      <c r="H1589" s="2">
        <v>1</v>
      </c>
      <c r="I1589" s="4">
        <v>50.5</v>
      </c>
      <c r="J1589" s="2" t="s">
        <v>22</v>
      </c>
      <c r="K1589">
        <f>H1589*I1589</f>
        <v>50.5</v>
      </c>
      <c r="L1589" t="str">
        <f t="shared" si="48"/>
        <v>Oct</v>
      </c>
      <c r="M1589">
        <f t="shared" si="49"/>
        <v>10</v>
      </c>
    </row>
    <row r="1590" spans="1:13" x14ac:dyDescent="0.25">
      <c r="A1590" s="2" t="s">
        <v>1663</v>
      </c>
      <c r="B1590" s="3">
        <v>45954</v>
      </c>
      <c r="C1590" s="2" t="s">
        <v>30</v>
      </c>
      <c r="D1590" s="2" t="s">
        <v>30</v>
      </c>
      <c r="E1590" s="2" t="s">
        <v>13</v>
      </c>
      <c r="F1590" s="2" t="s">
        <v>20</v>
      </c>
      <c r="G1590" s="2" t="s">
        <v>21</v>
      </c>
      <c r="H1590" s="2">
        <v>2</v>
      </c>
      <c r="I1590" s="4">
        <v>15</v>
      </c>
      <c r="J1590" s="2" t="s">
        <v>38</v>
      </c>
      <c r="K1590">
        <f>H1590*I1590</f>
        <v>30</v>
      </c>
      <c r="L1590" t="str">
        <f t="shared" si="48"/>
        <v>Oct</v>
      </c>
      <c r="M1590">
        <f t="shared" si="49"/>
        <v>10</v>
      </c>
    </row>
    <row r="1591" spans="1:13" x14ac:dyDescent="0.25">
      <c r="A1591" s="2" t="s">
        <v>1664</v>
      </c>
      <c r="B1591" s="3">
        <v>45955</v>
      </c>
      <c r="C1591" s="2" t="s">
        <v>101</v>
      </c>
      <c r="D1591" s="2" t="s">
        <v>102</v>
      </c>
      <c r="E1591" s="2" t="s">
        <v>36</v>
      </c>
      <c r="F1591" s="2" t="s">
        <v>14</v>
      </c>
      <c r="G1591" s="2" t="s">
        <v>103</v>
      </c>
      <c r="H1591" s="2">
        <v>2</v>
      </c>
      <c r="I1591" s="4">
        <v>92.92</v>
      </c>
      <c r="J1591" s="2" t="s">
        <v>16</v>
      </c>
      <c r="K1591">
        <f>H1591*I1591</f>
        <v>185.84</v>
      </c>
      <c r="L1591" t="str">
        <f t="shared" si="48"/>
        <v>Oct</v>
      </c>
      <c r="M1591">
        <f t="shared" si="49"/>
        <v>10</v>
      </c>
    </row>
    <row r="1592" spans="1:13" x14ac:dyDescent="0.25">
      <c r="A1592" s="2" t="s">
        <v>1665</v>
      </c>
      <c r="B1592" s="3">
        <v>45955</v>
      </c>
      <c r="C1592" s="2" t="s">
        <v>102</v>
      </c>
      <c r="D1592" s="2" t="s">
        <v>102</v>
      </c>
      <c r="E1592" s="2" t="s">
        <v>36</v>
      </c>
      <c r="F1592" s="2" t="s">
        <v>20</v>
      </c>
      <c r="G1592" s="2" t="s">
        <v>21</v>
      </c>
      <c r="H1592" s="2">
        <v>6</v>
      </c>
      <c r="I1592" s="4">
        <v>35</v>
      </c>
      <c r="J1592" s="2" t="s">
        <v>16</v>
      </c>
      <c r="K1592">
        <f>H1592*I1592</f>
        <v>210</v>
      </c>
      <c r="L1592" t="str">
        <f t="shared" si="48"/>
        <v>Oct</v>
      </c>
      <c r="M1592">
        <f t="shared" si="49"/>
        <v>10</v>
      </c>
    </row>
    <row r="1593" spans="1:13" x14ac:dyDescent="0.25">
      <c r="A1593" s="2" t="s">
        <v>1666</v>
      </c>
      <c r="B1593" s="3">
        <v>45955</v>
      </c>
      <c r="C1593" s="2" t="s">
        <v>79</v>
      </c>
      <c r="D1593" s="2" t="s">
        <v>80</v>
      </c>
      <c r="E1593" s="2" t="s">
        <v>26</v>
      </c>
      <c r="F1593" s="2" t="s">
        <v>14</v>
      </c>
      <c r="G1593" s="2" t="s">
        <v>81</v>
      </c>
      <c r="H1593" s="2">
        <v>2</v>
      </c>
      <c r="I1593" s="4">
        <v>153.52000000000001</v>
      </c>
      <c r="J1593" s="2" t="s">
        <v>16</v>
      </c>
      <c r="K1593">
        <f>H1593*I1593</f>
        <v>307.04000000000002</v>
      </c>
      <c r="L1593" t="str">
        <f t="shared" si="48"/>
        <v>Oct</v>
      </c>
      <c r="M1593">
        <f t="shared" si="49"/>
        <v>10</v>
      </c>
    </row>
    <row r="1594" spans="1:13" x14ac:dyDescent="0.25">
      <c r="A1594" s="2" t="s">
        <v>1667</v>
      </c>
      <c r="B1594" s="3">
        <v>45955</v>
      </c>
      <c r="C1594" s="2" t="s">
        <v>194</v>
      </c>
      <c r="D1594" s="2" t="s">
        <v>98</v>
      </c>
      <c r="E1594" s="2" t="s">
        <v>99</v>
      </c>
      <c r="F1594" s="2" t="s">
        <v>20</v>
      </c>
      <c r="G1594" s="2" t="s">
        <v>21</v>
      </c>
      <c r="H1594" s="2">
        <v>2</v>
      </c>
      <c r="I1594" s="4">
        <v>70</v>
      </c>
      <c r="J1594" s="2" t="s">
        <v>16</v>
      </c>
      <c r="K1594">
        <f>H1594*I1594</f>
        <v>140</v>
      </c>
      <c r="L1594" t="str">
        <f t="shared" si="48"/>
        <v>Oct</v>
      </c>
      <c r="M1594">
        <f t="shared" si="49"/>
        <v>10</v>
      </c>
    </row>
    <row r="1595" spans="1:13" x14ac:dyDescent="0.25">
      <c r="A1595" s="2" t="s">
        <v>1668</v>
      </c>
      <c r="B1595" s="3">
        <v>45955</v>
      </c>
      <c r="C1595" s="2" t="s">
        <v>52</v>
      </c>
      <c r="D1595" s="2" t="s">
        <v>30</v>
      </c>
      <c r="E1595" s="2" t="s">
        <v>13</v>
      </c>
      <c r="F1595" s="2" t="s">
        <v>14</v>
      </c>
      <c r="G1595" s="2" t="s">
        <v>53</v>
      </c>
      <c r="H1595" s="2">
        <v>1</v>
      </c>
      <c r="I1595" s="4">
        <v>42.42</v>
      </c>
      <c r="J1595" s="2" t="s">
        <v>22</v>
      </c>
      <c r="K1595">
        <f>H1595*I1595</f>
        <v>42.42</v>
      </c>
      <c r="L1595" t="str">
        <f t="shared" si="48"/>
        <v>Oct</v>
      </c>
      <c r="M1595">
        <f t="shared" si="49"/>
        <v>10</v>
      </c>
    </row>
    <row r="1596" spans="1:13" x14ac:dyDescent="0.25">
      <c r="A1596" s="2" t="s">
        <v>1669</v>
      </c>
      <c r="B1596" s="3">
        <v>45955</v>
      </c>
      <c r="C1596" s="2" t="s">
        <v>30</v>
      </c>
      <c r="D1596" s="2" t="s">
        <v>30</v>
      </c>
      <c r="E1596" s="2" t="s">
        <v>13</v>
      </c>
      <c r="F1596" s="2" t="s">
        <v>20</v>
      </c>
      <c r="G1596" s="2" t="s">
        <v>21</v>
      </c>
      <c r="H1596" s="2">
        <v>2</v>
      </c>
      <c r="I1596" s="4">
        <v>15.15</v>
      </c>
      <c r="J1596" s="2" t="s">
        <v>16</v>
      </c>
      <c r="K1596">
        <f>H1596*I1596</f>
        <v>30.3</v>
      </c>
      <c r="L1596" t="str">
        <f t="shared" si="48"/>
        <v>Oct</v>
      </c>
      <c r="M1596">
        <f t="shared" si="49"/>
        <v>10</v>
      </c>
    </row>
    <row r="1597" spans="1:13" x14ac:dyDescent="0.25">
      <c r="A1597" s="2" t="s">
        <v>1670</v>
      </c>
      <c r="B1597" s="3">
        <v>45956</v>
      </c>
      <c r="C1597" s="2" t="s">
        <v>75</v>
      </c>
      <c r="D1597" s="2" t="s">
        <v>75</v>
      </c>
      <c r="E1597" s="2" t="s">
        <v>76</v>
      </c>
      <c r="F1597" s="2" t="s">
        <v>20</v>
      </c>
      <c r="G1597" s="2" t="s">
        <v>21</v>
      </c>
      <c r="H1597" s="2">
        <v>1</v>
      </c>
      <c r="I1597" s="4">
        <v>12.12</v>
      </c>
      <c r="J1597" s="2" t="s">
        <v>22</v>
      </c>
      <c r="K1597">
        <f>H1597*I1597</f>
        <v>12.12</v>
      </c>
      <c r="L1597" t="str">
        <f t="shared" si="48"/>
        <v>Oct</v>
      </c>
      <c r="M1597">
        <f t="shared" si="49"/>
        <v>10</v>
      </c>
    </row>
    <row r="1598" spans="1:13" x14ac:dyDescent="0.25">
      <c r="A1598" s="2" t="s">
        <v>1671</v>
      </c>
      <c r="B1598" s="3">
        <v>45956</v>
      </c>
      <c r="C1598" s="2" t="s">
        <v>18</v>
      </c>
      <c r="D1598" s="2" t="s">
        <v>18</v>
      </c>
      <c r="E1598" s="2" t="s">
        <v>19</v>
      </c>
      <c r="F1598" s="2" t="s">
        <v>20</v>
      </c>
      <c r="G1598" s="2" t="s">
        <v>21</v>
      </c>
      <c r="H1598" s="2">
        <v>2</v>
      </c>
      <c r="I1598" s="4">
        <v>15.15</v>
      </c>
      <c r="J1598" s="2" t="s">
        <v>16</v>
      </c>
      <c r="K1598">
        <f>H1598*I1598</f>
        <v>30.3</v>
      </c>
      <c r="L1598" t="str">
        <f t="shared" si="48"/>
        <v>Oct</v>
      </c>
      <c r="M1598">
        <f t="shared" si="49"/>
        <v>10</v>
      </c>
    </row>
    <row r="1599" spans="1:13" x14ac:dyDescent="0.25">
      <c r="A1599" s="2" t="s">
        <v>1672</v>
      </c>
      <c r="B1599" s="3">
        <v>45956</v>
      </c>
      <c r="C1599" s="2" t="s">
        <v>109</v>
      </c>
      <c r="D1599" s="2" t="s">
        <v>109</v>
      </c>
      <c r="E1599" s="2" t="s">
        <v>13</v>
      </c>
      <c r="F1599" s="2" t="s">
        <v>20</v>
      </c>
      <c r="G1599" s="2" t="s">
        <v>21</v>
      </c>
      <c r="H1599" s="2">
        <v>2</v>
      </c>
      <c r="I1599" s="4">
        <v>20.2</v>
      </c>
      <c r="J1599" s="2" t="s">
        <v>16</v>
      </c>
      <c r="K1599">
        <f>H1599*I1599</f>
        <v>40.4</v>
      </c>
      <c r="L1599" t="str">
        <f t="shared" si="48"/>
        <v>Oct</v>
      </c>
      <c r="M1599">
        <f t="shared" si="49"/>
        <v>10</v>
      </c>
    </row>
    <row r="1600" spans="1:13" x14ac:dyDescent="0.25">
      <c r="A1600" s="2" t="s">
        <v>1673</v>
      </c>
      <c r="B1600" s="3">
        <v>45956</v>
      </c>
      <c r="C1600" s="2" t="s">
        <v>43</v>
      </c>
      <c r="D1600" s="2" t="s">
        <v>43</v>
      </c>
      <c r="E1600" s="2" t="s">
        <v>44</v>
      </c>
      <c r="F1600" s="2" t="s">
        <v>20</v>
      </c>
      <c r="G1600" s="2" t="s">
        <v>21</v>
      </c>
      <c r="H1600" s="2">
        <v>1</v>
      </c>
      <c r="I1600" s="4">
        <v>18.18</v>
      </c>
      <c r="J1600" s="2" t="s">
        <v>38</v>
      </c>
      <c r="K1600">
        <f>H1600*I1600</f>
        <v>18.18</v>
      </c>
      <c r="L1600" t="str">
        <f t="shared" si="48"/>
        <v>Oct</v>
      </c>
      <c r="M1600">
        <f t="shared" si="49"/>
        <v>10</v>
      </c>
    </row>
    <row r="1601" spans="1:13" x14ac:dyDescent="0.25">
      <c r="A1601" s="2" t="s">
        <v>1674</v>
      </c>
      <c r="B1601" s="3">
        <v>45957</v>
      </c>
      <c r="C1601" s="2" t="s">
        <v>79</v>
      </c>
      <c r="D1601" s="2" t="s">
        <v>80</v>
      </c>
      <c r="E1601" s="2" t="s">
        <v>26</v>
      </c>
      <c r="F1601" s="2" t="s">
        <v>14</v>
      </c>
      <c r="G1601" s="2" t="s">
        <v>81</v>
      </c>
      <c r="H1601" s="2">
        <v>1</v>
      </c>
      <c r="I1601" s="4">
        <v>153.52000000000001</v>
      </c>
      <c r="J1601" s="2" t="s">
        <v>16</v>
      </c>
      <c r="K1601">
        <f>H1601*I1601</f>
        <v>153.52000000000001</v>
      </c>
      <c r="L1601" t="str">
        <f t="shared" si="48"/>
        <v>Oct</v>
      </c>
      <c r="M1601">
        <f t="shared" si="49"/>
        <v>10</v>
      </c>
    </row>
    <row r="1602" spans="1:13" x14ac:dyDescent="0.25">
      <c r="A1602" s="2" t="s">
        <v>1675</v>
      </c>
      <c r="B1602" s="3">
        <v>45957</v>
      </c>
      <c r="C1602" s="2" t="s">
        <v>97</v>
      </c>
      <c r="D1602" s="2" t="s">
        <v>98</v>
      </c>
      <c r="E1602" s="2" t="s">
        <v>99</v>
      </c>
      <c r="F1602" s="2" t="s">
        <v>14</v>
      </c>
      <c r="G1602" s="2" t="s">
        <v>37</v>
      </c>
      <c r="H1602" s="2">
        <v>2</v>
      </c>
      <c r="I1602" s="4">
        <v>182</v>
      </c>
      <c r="J1602" s="2" t="s">
        <v>38</v>
      </c>
      <c r="K1602">
        <f>H1602*I1602</f>
        <v>364</v>
      </c>
      <c r="L1602" t="str">
        <f t="shared" si="48"/>
        <v>Oct</v>
      </c>
      <c r="M1602">
        <f t="shared" si="49"/>
        <v>10</v>
      </c>
    </row>
    <row r="1603" spans="1:13" x14ac:dyDescent="0.25">
      <c r="A1603" s="2" t="s">
        <v>1676</v>
      </c>
      <c r="B1603" s="3">
        <v>45958</v>
      </c>
      <c r="C1603" s="2" t="s">
        <v>11</v>
      </c>
      <c r="D1603" s="2" t="s">
        <v>12</v>
      </c>
      <c r="E1603" s="2" t="s">
        <v>13</v>
      </c>
      <c r="F1603" s="2" t="s">
        <v>14</v>
      </c>
      <c r="G1603" s="2" t="s">
        <v>15</v>
      </c>
      <c r="H1603" s="2">
        <v>1</v>
      </c>
      <c r="I1603" s="4">
        <v>32</v>
      </c>
      <c r="J1603" s="2" t="s">
        <v>22</v>
      </c>
      <c r="K1603">
        <f>H1603*I1603</f>
        <v>32</v>
      </c>
      <c r="L1603" t="str">
        <f t="shared" ref="L1603:L1666" si="50">TEXT(B1603,"mmm")</f>
        <v>Oct</v>
      </c>
      <c r="M1603">
        <f t="shared" ref="M1603:M1666" si="51">MONTH(B1603)</f>
        <v>10</v>
      </c>
    </row>
    <row r="1604" spans="1:13" x14ac:dyDescent="0.25">
      <c r="A1604" s="2" t="s">
        <v>1677</v>
      </c>
      <c r="B1604" s="3">
        <v>45958</v>
      </c>
      <c r="C1604" s="2" t="s">
        <v>67</v>
      </c>
      <c r="D1604" s="2" t="s">
        <v>68</v>
      </c>
      <c r="E1604" s="2" t="s">
        <v>49</v>
      </c>
      <c r="F1604" s="2" t="s">
        <v>14</v>
      </c>
      <c r="G1604" s="2" t="s">
        <v>69</v>
      </c>
      <c r="H1604" s="2">
        <v>1</v>
      </c>
      <c r="I1604" s="4">
        <v>205</v>
      </c>
      <c r="J1604" s="2" t="s">
        <v>16</v>
      </c>
      <c r="K1604">
        <f>H1604*I1604</f>
        <v>205</v>
      </c>
      <c r="L1604" t="str">
        <f t="shared" si="50"/>
        <v>Oct</v>
      </c>
      <c r="M1604">
        <f t="shared" si="51"/>
        <v>10</v>
      </c>
    </row>
    <row r="1605" spans="1:13" x14ac:dyDescent="0.25">
      <c r="A1605" s="2" t="s">
        <v>1678</v>
      </c>
      <c r="B1605" s="3">
        <v>45958</v>
      </c>
      <c r="C1605" s="2" t="s">
        <v>120</v>
      </c>
      <c r="D1605" s="2" t="s">
        <v>120</v>
      </c>
      <c r="E1605" s="2" t="s">
        <v>76</v>
      </c>
      <c r="F1605" s="2" t="s">
        <v>20</v>
      </c>
      <c r="G1605" s="2" t="s">
        <v>21</v>
      </c>
      <c r="H1605" s="2">
        <v>3</v>
      </c>
      <c r="I1605" s="4">
        <v>42.42</v>
      </c>
      <c r="J1605" s="2" t="s">
        <v>22</v>
      </c>
      <c r="K1605">
        <f>H1605*I1605</f>
        <v>127.26</v>
      </c>
      <c r="L1605" t="str">
        <f t="shared" si="50"/>
        <v>Oct</v>
      </c>
      <c r="M1605">
        <f t="shared" si="51"/>
        <v>10</v>
      </c>
    </row>
    <row r="1606" spans="1:13" x14ac:dyDescent="0.25">
      <c r="A1606" s="2" t="s">
        <v>1679</v>
      </c>
      <c r="B1606" s="3">
        <v>45958</v>
      </c>
      <c r="C1606" s="2" t="s">
        <v>80</v>
      </c>
      <c r="D1606" s="2" t="s">
        <v>80</v>
      </c>
      <c r="E1606" s="2" t="s">
        <v>26</v>
      </c>
      <c r="F1606" s="2" t="s">
        <v>20</v>
      </c>
      <c r="G1606" s="2" t="s">
        <v>21</v>
      </c>
      <c r="H1606" s="2">
        <v>3</v>
      </c>
      <c r="I1606" s="4">
        <v>50.5</v>
      </c>
      <c r="J1606" s="2" t="s">
        <v>38</v>
      </c>
      <c r="K1606">
        <f>H1606*I1606</f>
        <v>151.5</v>
      </c>
      <c r="L1606" t="str">
        <f t="shared" si="50"/>
        <v>Oct</v>
      </c>
      <c r="M1606">
        <f t="shared" si="51"/>
        <v>10</v>
      </c>
    </row>
    <row r="1607" spans="1:13" x14ac:dyDescent="0.25">
      <c r="A1607" s="2" t="s">
        <v>1680</v>
      </c>
      <c r="B1607" s="3">
        <v>45958</v>
      </c>
      <c r="C1607" s="2" t="s">
        <v>61</v>
      </c>
      <c r="D1607" s="2" t="s">
        <v>61</v>
      </c>
      <c r="E1607" s="2" t="s">
        <v>62</v>
      </c>
      <c r="F1607" s="2" t="s">
        <v>20</v>
      </c>
      <c r="G1607" s="2" t="s">
        <v>21</v>
      </c>
      <c r="H1607" s="2">
        <v>2</v>
      </c>
      <c r="I1607" s="4">
        <v>8.08</v>
      </c>
      <c r="J1607" s="2" t="s">
        <v>16</v>
      </c>
      <c r="K1607">
        <f>H1607*I1607</f>
        <v>16.16</v>
      </c>
      <c r="L1607" t="str">
        <f t="shared" si="50"/>
        <v>Oct</v>
      </c>
      <c r="M1607">
        <f t="shared" si="51"/>
        <v>10</v>
      </c>
    </row>
    <row r="1608" spans="1:13" x14ac:dyDescent="0.25">
      <c r="A1608" s="2" t="s">
        <v>1681</v>
      </c>
      <c r="B1608" s="3">
        <v>45959</v>
      </c>
      <c r="C1608" s="2" t="s">
        <v>48</v>
      </c>
      <c r="D1608" s="2" t="s">
        <v>48</v>
      </c>
      <c r="E1608" s="2" t="s">
        <v>49</v>
      </c>
      <c r="F1608" s="2" t="s">
        <v>20</v>
      </c>
      <c r="G1608" s="2" t="s">
        <v>21</v>
      </c>
      <c r="H1608" s="2">
        <v>1</v>
      </c>
      <c r="I1608" s="4">
        <v>55.55</v>
      </c>
      <c r="J1608" s="2" t="s">
        <v>16</v>
      </c>
      <c r="K1608">
        <f>H1608*I1608</f>
        <v>55.55</v>
      </c>
      <c r="L1608" t="str">
        <f t="shared" si="50"/>
        <v>Oct</v>
      </c>
      <c r="M1608">
        <f t="shared" si="51"/>
        <v>10</v>
      </c>
    </row>
    <row r="1609" spans="1:13" x14ac:dyDescent="0.25">
      <c r="A1609" s="2" t="s">
        <v>1682</v>
      </c>
      <c r="B1609" s="3">
        <v>45959</v>
      </c>
      <c r="C1609" s="2" t="s">
        <v>74</v>
      </c>
      <c r="D1609" s="2" t="s">
        <v>75</v>
      </c>
      <c r="E1609" s="2" t="s">
        <v>76</v>
      </c>
      <c r="F1609" s="2" t="s">
        <v>14</v>
      </c>
      <c r="G1609" s="2" t="s">
        <v>77</v>
      </c>
      <c r="H1609" s="2">
        <v>2</v>
      </c>
      <c r="I1609" s="4">
        <v>32.32</v>
      </c>
      <c r="J1609" s="2" t="s">
        <v>16</v>
      </c>
      <c r="K1609">
        <f>H1609*I1609</f>
        <v>64.64</v>
      </c>
      <c r="L1609" t="str">
        <f t="shared" si="50"/>
        <v>Oct</v>
      </c>
      <c r="M1609">
        <f t="shared" si="51"/>
        <v>10</v>
      </c>
    </row>
    <row r="1610" spans="1:13" x14ac:dyDescent="0.25">
      <c r="A1610" s="2" t="s">
        <v>1683</v>
      </c>
      <c r="B1610" s="3">
        <v>45959</v>
      </c>
      <c r="C1610" s="2" t="s">
        <v>75</v>
      </c>
      <c r="D1610" s="2" t="s">
        <v>75</v>
      </c>
      <c r="E1610" s="2" t="s">
        <v>76</v>
      </c>
      <c r="F1610" s="2" t="s">
        <v>20</v>
      </c>
      <c r="G1610" s="2" t="s">
        <v>21</v>
      </c>
      <c r="H1610" s="2">
        <v>3</v>
      </c>
      <c r="I1610" s="4">
        <v>12.12</v>
      </c>
      <c r="J1610" s="2" t="s">
        <v>16</v>
      </c>
      <c r="K1610">
        <f>H1610*I1610</f>
        <v>36.36</v>
      </c>
      <c r="L1610" t="str">
        <f t="shared" si="50"/>
        <v>Oct</v>
      </c>
      <c r="M1610">
        <f t="shared" si="51"/>
        <v>10</v>
      </c>
    </row>
    <row r="1611" spans="1:13" x14ac:dyDescent="0.25">
      <c r="A1611" s="2" t="s">
        <v>1684</v>
      </c>
      <c r="B1611" s="3">
        <v>45959</v>
      </c>
      <c r="C1611" s="2" t="s">
        <v>102</v>
      </c>
      <c r="D1611" s="2" t="s">
        <v>102</v>
      </c>
      <c r="E1611" s="2" t="s">
        <v>36</v>
      </c>
      <c r="F1611" s="2" t="s">
        <v>20</v>
      </c>
      <c r="G1611" s="2" t="s">
        <v>21</v>
      </c>
      <c r="H1611" s="2">
        <v>2</v>
      </c>
      <c r="I1611" s="4">
        <v>35.35</v>
      </c>
      <c r="J1611" s="2" t="s">
        <v>16</v>
      </c>
      <c r="K1611">
        <f>H1611*I1611</f>
        <v>70.7</v>
      </c>
      <c r="L1611" t="str">
        <f t="shared" si="50"/>
        <v>Oct</v>
      </c>
      <c r="M1611">
        <f t="shared" si="51"/>
        <v>10</v>
      </c>
    </row>
    <row r="1612" spans="1:13" x14ac:dyDescent="0.25">
      <c r="A1612" s="2" t="s">
        <v>1685</v>
      </c>
      <c r="B1612" s="3">
        <v>45959</v>
      </c>
      <c r="C1612" s="2" t="s">
        <v>34</v>
      </c>
      <c r="D1612" s="2" t="s">
        <v>35</v>
      </c>
      <c r="E1612" s="2" t="s">
        <v>36</v>
      </c>
      <c r="F1612" s="2" t="s">
        <v>14</v>
      </c>
      <c r="G1612" s="2" t="s">
        <v>37</v>
      </c>
      <c r="H1612" s="2">
        <v>3</v>
      </c>
      <c r="I1612" s="4">
        <v>166.65</v>
      </c>
      <c r="J1612" s="2" t="s">
        <v>16</v>
      </c>
      <c r="K1612">
        <f>H1612*I1612</f>
        <v>499.95000000000005</v>
      </c>
      <c r="L1612" t="str">
        <f t="shared" si="50"/>
        <v>Oct</v>
      </c>
      <c r="M1612">
        <f t="shared" si="51"/>
        <v>10</v>
      </c>
    </row>
    <row r="1613" spans="1:13" x14ac:dyDescent="0.25">
      <c r="A1613" s="2" t="s">
        <v>1686</v>
      </c>
      <c r="B1613" s="3">
        <v>45959</v>
      </c>
      <c r="C1613" s="2" t="s">
        <v>190</v>
      </c>
      <c r="D1613" s="2" t="s">
        <v>40</v>
      </c>
      <c r="E1613" s="2" t="s">
        <v>19</v>
      </c>
      <c r="F1613" s="2" t="s">
        <v>14</v>
      </c>
      <c r="G1613" s="2" t="s">
        <v>191</v>
      </c>
      <c r="H1613" s="2">
        <v>3</v>
      </c>
      <c r="I1613" s="4">
        <v>143.41999999999999</v>
      </c>
      <c r="J1613" s="2" t="s">
        <v>22</v>
      </c>
      <c r="K1613">
        <f>H1613*I1613</f>
        <v>430.26</v>
      </c>
      <c r="L1613" t="str">
        <f t="shared" si="50"/>
        <v>Oct</v>
      </c>
      <c r="M1613">
        <f t="shared" si="51"/>
        <v>10</v>
      </c>
    </row>
    <row r="1614" spans="1:13" x14ac:dyDescent="0.25">
      <c r="A1614" s="2" t="s">
        <v>1687</v>
      </c>
      <c r="B1614" s="3">
        <v>45959</v>
      </c>
      <c r="C1614" s="2" t="s">
        <v>79</v>
      </c>
      <c r="D1614" s="2" t="s">
        <v>80</v>
      </c>
      <c r="E1614" s="2" t="s">
        <v>26</v>
      </c>
      <c r="F1614" s="2" t="s">
        <v>14</v>
      </c>
      <c r="G1614" s="2" t="s">
        <v>81</v>
      </c>
      <c r="H1614" s="2">
        <v>4</v>
      </c>
      <c r="I1614" s="4">
        <v>152</v>
      </c>
      <c r="J1614" s="2" t="s">
        <v>16</v>
      </c>
      <c r="K1614">
        <f>H1614*I1614</f>
        <v>608</v>
      </c>
      <c r="L1614" t="str">
        <f t="shared" si="50"/>
        <v>Oct</v>
      </c>
      <c r="M1614">
        <f t="shared" si="51"/>
        <v>10</v>
      </c>
    </row>
    <row r="1615" spans="1:13" x14ac:dyDescent="0.25">
      <c r="A1615" s="2" t="s">
        <v>1688</v>
      </c>
      <c r="B1615" s="3">
        <v>45959</v>
      </c>
      <c r="C1615" s="2" t="s">
        <v>24</v>
      </c>
      <c r="D1615" s="2" t="s">
        <v>25</v>
      </c>
      <c r="E1615" s="2" t="s">
        <v>26</v>
      </c>
      <c r="F1615" s="2" t="s">
        <v>14</v>
      </c>
      <c r="G1615" s="2" t="s">
        <v>27</v>
      </c>
      <c r="H1615" s="2">
        <v>2</v>
      </c>
      <c r="I1615" s="4">
        <v>58.58</v>
      </c>
      <c r="J1615" s="2" t="s">
        <v>16</v>
      </c>
      <c r="K1615">
        <f>H1615*I1615</f>
        <v>117.16</v>
      </c>
      <c r="L1615" t="str">
        <f t="shared" si="50"/>
        <v>Oct</v>
      </c>
      <c r="M1615">
        <f t="shared" si="51"/>
        <v>10</v>
      </c>
    </row>
    <row r="1616" spans="1:13" x14ac:dyDescent="0.25">
      <c r="A1616" s="2" t="s">
        <v>1689</v>
      </c>
      <c r="B1616" s="3">
        <v>45959</v>
      </c>
      <c r="C1616" s="2" t="s">
        <v>97</v>
      </c>
      <c r="D1616" s="2" t="s">
        <v>98</v>
      </c>
      <c r="E1616" s="2" t="s">
        <v>99</v>
      </c>
      <c r="F1616" s="2" t="s">
        <v>14</v>
      </c>
      <c r="G1616" s="2" t="s">
        <v>37</v>
      </c>
      <c r="H1616" s="2">
        <v>2</v>
      </c>
      <c r="I1616" s="4">
        <v>183.82</v>
      </c>
      <c r="J1616" s="2" t="s">
        <v>16</v>
      </c>
      <c r="K1616">
        <f>H1616*I1616</f>
        <v>367.64</v>
      </c>
      <c r="L1616" t="str">
        <f t="shared" si="50"/>
        <v>Oct</v>
      </c>
      <c r="M1616">
        <f t="shared" si="51"/>
        <v>10</v>
      </c>
    </row>
    <row r="1617" spans="1:13" x14ac:dyDescent="0.25">
      <c r="A1617" s="2" t="s">
        <v>1690</v>
      </c>
      <c r="B1617" s="3">
        <v>45959</v>
      </c>
      <c r="C1617" s="2" t="s">
        <v>52</v>
      </c>
      <c r="D1617" s="2" t="s">
        <v>30</v>
      </c>
      <c r="E1617" s="2" t="s">
        <v>13</v>
      </c>
      <c r="F1617" s="2" t="s">
        <v>14</v>
      </c>
      <c r="G1617" s="2" t="s">
        <v>53</v>
      </c>
      <c r="H1617" s="2">
        <v>1</v>
      </c>
      <c r="I1617" s="4">
        <v>42</v>
      </c>
      <c r="J1617" s="2" t="s">
        <v>38</v>
      </c>
      <c r="K1617">
        <f>H1617*I1617</f>
        <v>42</v>
      </c>
      <c r="L1617" t="str">
        <f t="shared" si="50"/>
        <v>Oct</v>
      </c>
      <c r="M1617">
        <f t="shared" si="51"/>
        <v>10</v>
      </c>
    </row>
    <row r="1618" spans="1:13" x14ac:dyDescent="0.25">
      <c r="A1618" s="2" t="s">
        <v>1691</v>
      </c>
      <c r="B1618" s="3">
        <v>45959</v>
      </c>
      <c r="C1618" s="2" t="s">
        <v>109</v>
      </c>
      <c r="D1618" s="2" t="s">
        <v>109</v>
      </c>
      <c r="E1618" s="2" t="s">
        <v>13</v>
      </c>
      <c r="F1618" s="2" t="s">
        <v>20</v>
      </c>
      <c r="G1618" s="2" t="s">
        <v>21</v>
      </c>
      <c r="H1618" s="2">
        <v>3</v>
      </c>
      <c r="I1618" s="4">
        <v>20.2</v>
      </c>
      <c r="J1618" s="2" t="s">
        <v>16</v>
      </c>
      <c r="K1618">
        <f>H1618*I1618</f>
        <v>60.599999999999994</v>
      </c>
      <c r="L1618" t="str">
        <f t="shared" si="50"/>
        <v>Oct</v>
      </c>
      <c r="M1618">
        <f t="shared" si="51"/>
        <v>10</v>
      </c>
    </row>
    <row r="1619" spans="1:13" x14ac:dyDescent="0.25">
      <c r="A1619" s="2" t="s">
        <v>1692</v>
      </c>
      <c r="B1619" s="3">
        <v>45960</v>
      </c>
      <c r="C1619" s="2" t="s">
        <v>12</v>
      </c>
      <c r="D1619" s="2" t="s">
        <v>12</v>
      </c>
      <c r="E1619" s="2" t="s">
        <v>13</v>
      </c>
      <c r="F1619" s="2" t="s">
        <v>20</v>
      </c>
      <c r="G1619" s="2" t="s">
        <v>21</v>
      </c>
      <c r="H1619" s="2">
        <v>1</v>
      </c>
      <c r="I1619" s="4">
        <v>14</v>
      </c>
      <c r="J1619" s="2" t="s">
        <v>22</v>
      </c>
      <c r="K1619">
        <f>H1619*I1619</f>
        <v>14</v>
      </c>
      <c r="L1619" t="str">
        <f t="shared" si="50"/>
        <v>Oct</v>
      </c>
      <c r="M1619">
        <f t="shared" si="51"/>
        <v>10</v>
      </c>
    </row>
    <row r="1620" spans="1:13" x14ac:dyDescent="0.25">
      <c r="A1620" s="2" t="s">
        <v>1693</v>
      </c>
      <c r="B1620" s="3">
        <v>45960</v>
      </c>
      <c r="C1620" s="2" t="s">
        <v>86</v>
      </c>
      <c r="D1620" s="2" t="s">
        <v>48</v>
      </c>
      <c r="E1620" s="2" t="s">
        <v>49</v>
      </c>
      <c r="F1620" s="2" t="s">
        <v>14</v>
      </c>
      <c r="G1620" s="2" t="s">
        <v>87</v>
      </c>
      <c r="H1620" s="2">
        <v>2</v>
      </c>
      <c r="I1620" s="4">
        <v>125</v>
      </c>
      <c r="J1620" s="2" t="s">
        <v>22</v>
      </c>
      <c r="K1620">
        <f>H1620*I1620</f>
        <v>250</v>
      </c>
      <c r="L1620" t="str">
        <f t="shared" si="50"/>
        <v>Oct</v>
      </c>
      <c r="M1620">
        <f t="shared" si="51"/>
        <v>10</v>
      </c>
    </row>
    <row r="1621" spans="1:13" x14ac:dyDescent="0.25">
      <c r="A1621" s="2" t="s">
        <v>1694</v>
      </c>
      <c r="B1621" s="3">
        <v>45960</v>
      </c>
      <c r="C1621" s="2" t="s">
        <v>86</v>
      </c>
      <c r="D1621" s="2" t="s">
        <v>48</v>
      </c>
      <c r="E1621" s="2" t="s">
        <v>49</v>
      </c>
      <c r="F1621" s="2" t="s">
        <v>14</v>
      </c>
      <c r="G1621" s="2" t="s">
        <v>87</v>
      </c>
      <c r="H1621" s="2">
        <v>1</v>
      </c>
      <c r="I1621" s="4">
        <v>126.25</v>
      </c>
      <c r="J1621" s="2" t="s">
        <v>31</v>
      </c>
      <c r="K1621">
        <f>H1621*I1621</f>
        <v>126.25</v>
      </c>
      <c r="L1621" t="str">
        <f t="shared" si="50"/>
        <v>Oct</v>
      </c>
      <c r="M1621">
        <f t="shared" si="51"/>
        <v>10</v>
      </c>
    </row>
    <row r="1622" spans="1:13" x14ac:dyDescent="0.25">
      <c r="A1622" s="2" t="s">
        <v>1695</v>
      </c>
      <c r="B1622" s="3">
        <v>45960</v>
      </c>
      <c r="C1622" s="2" t="s">
        <v>72</v>
      </c>
      <c r="D1622" s="2" t="s">
        <v>68</v>
      </c>
      <c r="E1622" s="2" t="s">
        <v>49</v>
      </c>
      <c r="F1622" s="2" t="s">
        <v>20</v>
      </c>
      <c r="G1622" s="2" t="s">
        <v>21</v>
      </c>
      <c r="H1622" s="2">
        <v>2</v>
      </c>
      <c r="I1622" s="4">
        <v>95.95</v>
      </c>
      <c r="J1622" s="2" t="s">
        <v>16</v>
      </c>
      <c r="K1622">
        <f>H1622*I1622</f>
        <v>191.9</v>
      </c>
      <c r="L1622" t="str">
        <f t="shared" si="50"/>
        <v>Oct</v>
      </c>
      <c r="M1622">
        <f t="shared" si="51"/>
        <v>10</v>
      </c>
    </row>
    <row r="1623" spans="1:13" x14ac:dyDescent="0.25">
      <c r="A1623" s="2" t="s">
        <v>1696</v>
      </c>
      <c r="B1623" s="3">
        <v>45960</v>
      </c>
      <c r="C1623" s="2" t="s">
        <v>74</v>
      </c>
      <c r="D1623" s="2" t="s">
        <v>75</v>
      </c>
      <c r="E1623" s="2" t="s">
        <v>76</v>
      </c>
      <c r="F1623" s="2" t="s">
        <v>14</v>
      </c>
      <c r="G1623" s="2" t="s">
        <v>77</v>
      </c>
      <c r="H1623" s="2">
        <v>3</v>
      </c>
      <c r="I1623" s="4">
        <v>32.32</v>
      </c>
      <c r="J1623" s="2" t="s">
        <v>38</v>
      </c>
      <c r="K1623">
        <f>H1623*I1623</f>
        <v>96.960000000000008</v>
      </c>
      <c r="L1623" t="str">
        <f t="shared" si="50"/>
        <v>Oct</v>
      </c>
      <c r="M1623">
        <f t="shared" si="51"/>
        <v>10</v>
      </c>
    </row>
    <row r="1624" spans="1:13" x14ac:dyDescent="0.25">
      <c r="A1624" s="2" t="s">
        <v>1697</v>
      </c>
      <c r="B1624" s="3">
        <v>45960</v>
      </c>
      <c r="C1624" s="2" t="s">
        <v>101</v>
      </c>
      <c r="D1624" s="2" t="s">
        <v>102</v>
      </c>
      <c r="E1624" s="2" t="s">
        <v>36</v>
      </c>
      <c r="F1624" s="2" t="s">
        <v>14</v>
      </c>
      <c r="G1624" s="2" t="s">
        <v>103</v>
      </c>
      <c r="H1624" s="2">
        <v>3</v>
      </c>
      <c r="I1624" s="4">
        <v>92</v>
      </c>
      <c r="J1624" s="2" t="s">
        <v>22</v>
      </c>
      <c r="K1624">
        <f>H1624*I1624</f>
        <v>276</v>
      </c>
      <c r="L1624" t="str">
        <f t="shared" si="50"/>
        <v>Oct</v>
      </c>
      <c r="M1624">
        <f t="shared" si="51"/>
        <v>10</v>
      </c>
    </row>
    <row r="1625" spans="1:13" x14ac:dyDescent="0.25">
      <c r="A1625" s="2" t="s">
        <v>1698</v>
      </c>
      <c r="B1625" s="3">
        <v>45960</v>
      </c>
      <c r="C1625" s="2" t="s">
        <v>101</v>
      </c>
      <c r="D1625" s="2" t="s">
        <v>102</v>
      </c>
      <c r="E1625" s="2" t="s">
        <v>36</v>
      </c>
      <c r="F1625" s="2" t="s">
        <v>14</v>
      </c>
      <c r="G1625" s="2" t="s">
        <v>103</v>
      </c>
      <c r="H1625" s="2">
        <v>6</v>
      </c>
      <c r="I1625" s="4">
        <v>92.92</v>
      </c>
      <c r="J1625" s="2" t="s">
        <v>22</v>
      </c>
      <c r="K1625">
        <f>H1625*I1625</f>
        <v>557.52</v>
      </c>
      <c r="L1625" t="str">
        <f t="shared" si="50"/>
        <v>Oct</v>
      </c>
      <c r="M1625">
        <f t="shared" si="51"/>
        <v>10</v>
      </c>
    </row>
    <row r="1626" spans="1:13" x14ac:dyDescent="0.25">
      <c r="A1626" s="2" t="s">
        <v>1699</v>
      </c>
      <c r="B1626" s="3">
        <v>45960</v>
      </c>
      <c r="C1626" s="2" t="s">
        <v>60</v>
      </c>
      <c r="D1626" s="2" t="s">
        <v>61</v>
      </c>
      <c r="E1626" s="2" t="s">
        <v>62</v>
      </c>
      <c r="F1626" s="2" t="s">
        <v>14</v>
      </c>
      <c r="G1626" s="2" t="s">
        <v>63</v>
      </c>
      <c r="H1626" s="2">
        <v>5</v>
      </c>
      <c r="I1626" s="4">
        <v>26</v>
      </c>
      <c r="J1626" s="2" t="s">
        <v>22</v>
      </c>
      <c r="K1626">
        <f>H1626*I1626</f>
        <v>130</v>
      </c>
      <c r="L1626" t="str">
        <f t="shared" si="50"/>
        <v>Oct</v>
      </c>
      <c r="M1626">
        <f t="shared" si="51"/>
        <v>10</v>
      </c>
    </row>
    <row r="1627" spans="1:13" x14ac:dyDescent="0.25">
      <c r="A1627" s="2" t="s">
        <v>1700</v>
      </c>
      <c r="B1627" s="3">
        <v>45960</v>
      </c>
      <c r="C1627" s="2" t="s">
        <v>60</v>
      </c>
      <c r="D1627" s="2" t="s">
        <v>61</v>
      </c>
      <c r="E1627" s="2" t="s">
        <v>62</v>
      </c>
      <c r="F1627" s="2" t="s">
        <v>14</v>
      </c>
      <c r="G1627" s="2" t="s">
        <v>63</v>
      </c>
      <c r="H1627" s="2">
        <v>1</v>
      </c>
      <c r="I1627" s="4">
        <v>26.26</v>
      </c>
      <c r="J1627" s="2" t="s">
        <v>16</v>
      </c>
      <c r="K1627">
        <f>H1627*I1627</f>
        <v>26.26</v>
      </c>
      <c r="L1627" t="str">
        <f t="shared" si="50"/>
        <v>Oct</v>
      </c>
      <c r="M1627">
        <f t="shared" si="51"/>
        <v>10</v>
      </c>
    </row>
    <row r="1628" spans="1:13" x14ac:dyDescent="0.25">
      <c r="A1628" s="2" t="s">
        <v>1701</v>
      </c>
      <c r="B1628" s="3">
        <v>45961</v>
      </c>
      <c r="C1628" s="2" t="s">
        <v>35</v>
      </c>
      <c r="D1628" s="2" t="s">
        <v>35</v>
      </c>
      <c r="E1628" s="2" t="s">
        <v>36</v>
      </c>
      <c r="F1628" s="2" t="s">
        <v>20</v>
      </c>
      <c r="G1628" s="2" t="s">
        <v>21</v>
      </c>
      <c r="H1628" s="2">
        <v>12</v>
      </c>
      <c r="I1628" s="4">
        <v>58</v>
      </c>
      <c r="J1628" s="2" t="s">
        <v>16</v>
      </c>
      <c r="K1628">
        <f>H1628*I1628</f>
        <v>696</v>
      </c>
      <c r="L1628" t="str">
        <f t="shared" si="50"/>
        <v>Oct</v>
      </c>
      <c r="M1628">
        <f t="shared" si="51"/>
        <v>10</v>
      </c>
    </row>
    <row r="1629" spans="1:13" x14ac:dyDescent="0.25">
      <c r="A1629" s="2" t="s">
        <v>1702</v>
      </c>
      <c r="B1629" s="3">
        <v>45961</v>
      </c>
      <c r="C1629" s="2" t="s">
        <v>18</v>
      </c>
      <c r="D1629" s="2" t="s">
        <v>18</v>
      </c>
      <c r="E1629" s="2" t="s">
        <v>19</v>
      </c>
      <c r="F1629" s="2" t="s">
        <v>20</v>
      </c>
      <c r="G1629" s="2" t="s">
        <v>21</v>
      </c>
      <c r="H1629" s="2">
        <v>1</v>
      </c>
      <c r="I1629" s="4">
        <v>15.15</v>
      </c>
      <c r="J1629" s="2" t="s">
        <v>16</v>
      </c>
      <c r="K1629">
        <f>H1629*I1629</f>
        <v>15.15</v>
      </c>
      <c r="L1629" t="str">
        <f t="shared" si="50"/>
        <v>Oct</v>
      </c>
      <c r="M1629">
        <f t="shared" si="51"/>
        <v>10</v>
      </c>
    </row>
    <row r="1630" spans="1:13" x14ac:dyDescent="0.25">
      <c r="A1630" s="2" t="s">
        <v>1703</v>
      </c>
      <c r="B1630" s="3">
        <v>45962</v>
      </c>
      <c r="C1630" s="2" t="s">
        <v>67</v>
      </c>
      <c r="D1630" s="2" t="s">
        <v>68</v>
      </c>
      <c r="E1630" s="2" t="s">
        <v>49</v>
      </c>
      <c r="F1630" s="2" t="s">
        <v>14</v>
      </c>
      <c r="G1630" s="2" t="s">
        <v>69</v>
      </c>
      <c r="H1630" s="2">
        <v>4</v>
      </c>
      <c r="I1630" s="4">
        <v>205</v>
      </c>
      <c r="J1630" s="2" t="s">
        <v>16</v>
      </c>
      <c r="K1630">
        <f>H1630*I1630</f>
        <v>820</v>
      </c>
      <c r="L1630" t="str">
        <f t="shared" si="50"/>
        <v>Nov</v>
      </c>
      <c r="M1630">
        <f t="shared" si="51"/>
        <v>11</v>
      </c>
    </row>
    <row r="1631" spans="1:13" x14ac:dyDescent="0.25">
      <c r="A1631" s="2" t="s">
        <v>1704</v>
      </c>
      <c r="B1631" s="3">
        <v>45962</v>
      </c>
      <c r="C1631" s="2" t="s">
        <v>67</v>
      </c>
      <c r="D1631" s="2" t="s">
        <v>68</v>
      </c>
      <c r="E1631" s="2" t="s">
        <v>49</v>
      </c>
      <c r="F1631" s="2" t="s">
        <v>14</v>
      </c>
      <c r="G1631" s="2" t="s">
        <v>69</v>
      </c>
      <c r="H1631" s="2">
        <v>3</v>
      </c>
      <c r="I1631" s="4">
        <v>205</v>
      </c>
      <c r="J1631" s="2" t="s">
        <v>16</v>
      </c>
      <c r="K1631">
        <f>H1631*I1631</f>
        <v>615</v>
      </c>
      <c r="L1631" t="str">
        <f t="shared" si="50"/>
        <v>Nov</v>
      </c>
      <c r="M1631">
        <f t="shared" si="51"/>
        <v>11</v>
      </c>
    </row>
    <row r="1632" spans="1:13" x14ac:dyDescent="0.25">
      <c r="A1632" s="2" t="s">
        <v>1705</v>
      </c>
      <c r="B1632" s="3">
        <v>45962</v>
      </c>
      <c r="C1632" s="2" t="s">
        <v>75</v>
      </c>
      <c r="D1632" s="2" t="s">
        <v>75</v>
      </c>
      <c r="E1632" s="2" t="s">
        <v>76</v>
      </c>
      <c r="F1632" s="2" t="s">
        <v>20</v>
      </c>
      <c r="G1632" s="2" t="s">
        <v>21</v>
      </c>
      <c r="H1632" s="2">
        <v>3</v>
      </c>
      <c r="I1632" s="4">
        <v>12.12</v>
      </c>
      <c r="J1632" s="2" t="s">
        <v>16</v>
      </c>
      <c r="K1632">
        <f>H1632*I1632</f>
        <v>36.36</v>
      </c>
      <c r="L1632" t="str">
        <f t="shared" si="50"/>
        <v>Nov</v>
      </c>
      <c r="M1632">
        <f t="shared" si="51"/>
        <v>11</v>
      </c>
    </row>
    <row r="1633" spans="1:13" x14ac:dyDescent="0.25">
      <c r="A1633" s="2" t="s">
        <v>1706</v>
      </c>
      <c r="B1633" s="3">
        <v>45962</v>
      </c>
      <c r="C1633" s="2" t="s">
        <v>124</v>
      </c>
      <c r="D1633" s="2" t="s">
        <v>18</v>
      </c>
      <c r="E1633" s="2" t="s">
        <v>19</v>
      </c>
      <c r="F1633" s="2" t="s">
        <v>14</v>
      </c>
      <c r="G1633" s="2" t="s">
        <v>125</v>
      </c>
      <c r="H1633" s="2">
        <v>3</v>
      </c>
      <c r="I1633" s="4">
        <v>45.45</v>
      </c>
      <c r="J1633" s="2" t="s">
        <v>22</v>
      </c>
      <c r="K1633">
        <f>H1633*I1633</f>
        <v>136.35000000000002</v>
      </c>
      <c r="L1633" t="str">
        <f t="shared" si="50"/>
        <v>Nov</v>
      </c>
      <c r="M1633">
        <f t="shared" si="51"/>
        <v>11</v>
      </c>
    </row>
    <row r="1634" spans="1:13" x14ac:dyDescent="0.25">
      <c r="A1634" s="2" t="s">
        <v>1707</v>
      </c>
      <c r="B1634" s="3">
        <v>45962</v>
      </c>
      <c r="C1634" s="2" t="s">
        <v>80</v>
      </c>
      <c r="D1634" s="2" t="s">
        <v>80</v>
      </c>
      <c r="E1634" s="2" t="s">
        <v>26</v>
      </c>
      <c r="F1634" s="2" t="s">
        <v>20</v>
      </c>
      <c r="G1634" s="2" t="s">
        <v>21</v>
      </c>
      <c r="H1634" s="2">
        <v>5</v>
      </c>
      <c r="I1634" s="4">
        <v>50.5</v>
      </c>
      <c r="J1634" s="2" t="s">
        <v>16</v>
      </c>
      <c r="K1634">
        <f>H1634*I1634</f>
        <v>252.5</v>
      </c>
      <c r="L1634" t="str">
        <f t="shared" si="50"/>
        <v>Nov</v>
      </c>
      <c r="M1634">
        <f t="shared" si="51"/>
        <v>11</v>
      </c>
    </row>
    <row r="1635" spans="1:13" x14ac:dyDescent="0.25">
      <c r="A1635" s="2" t="s">
        <v>1708</v>
      </c>
      <c r="B1635" s="3">
        <v>45962</v>
      </c>
      <c r="C1635" s="2" t="s">
        <v>80</v>
      </c>
      <c r="D1635" s="2" t="s">
        <v>80</v>
      </c>
      <c r="E1635" s="2" t="s">
        <v>26</v>
      </c>
      <c r="F1635" s="2" t="s">
        <v>20</v>
      </c>
      <c r="G1635" s="2" t="s">
        <v>21</v>
      </c>
      <c r="H1635" s="2">
        <v>4</v>
      </c>
      <c r="I1635" s="4">
        <v>50.5</v>
      </c>
      <c r="J1635" s="2" t="s">
        <v>16</v>
      </c>
      <c r="K1635">
        <f>H1635*I1635</f>
        <v>202</v>
      </c>
      <c r="L1635" t="str">
        <f t="shared" si="50"/>
        <v>Nov</v>
      </c>
      <c r="M1635">
        <f t="shared" si="51"/>
        <v>11</v>
      </c>
    </row>
    <row r="1636" spans="1:13" x14ac:dyDescent="0.25">
      <c r="A1636" s="2" t="s">
        <v>1709</v>
      </c>
      <c r="B1636" s="3">
        <v>45962</v>
      </c>
      <c r="C1636" s="2" t="s">
        <v>60</v>
      </c>
      <c r="D1636" s="2" t="s">
        <v>61</v>
      </c>
      <c r="E1636" s="2" t="s">
        <v>62</v>
      </c>
      <c r="F1636" s="2" t="s">
        <v>14</v>
      </c>
      <c r="G1636" s="2" t="s">
        <v>63</v>
      </c>
      <c r="H1636" s="2">
        <v>5</v>
      </c>
      <c r="I1636" s="4">
        <v>26.26</v>
      </c>
      <c r="J1636" s="2" t="s">
        <v>31</v>
      </c>
      <c r="K1636">
        <f>H1636*I1636</f>
        <v>131.30000000000001</v>
      </c>
      <c r="L1636" t="str">
        <f t="shared" si="50"/>
        <v>Nov</v>
      </c>
      <c r="M1636">
        <f t="shared" si="51"/>
        <v>11</v>
      </c>
    </row>
    <row r="1637" spans="1:13" x14ac:dyDescent="0.25">
      <c r="A1637" s="2" t="s">
        <v>1710</v>
      </c>
      <c r="B1637" s="3">
        <v>45962</v>
      </c>
      <c r="C1637" s="2" t="s">
        <v>194</v>
      </c>
      <c r="D1637" s="2" t="s">
        <v>98</v>
      </c>
      <c r="E1637" s="2" t="s">
        <v>99</v>
      </c>
      <c r="F1637" s="2" t="s">
        <v>20</v>
      </c>
      <c r="G1637" s="2" t="s">
        <v>21</v>
      </c>
      <c r="H1637" s="2">
        <v>1</v>
      </c>
      <c r="I1637" s="4">
        <v>70</v>
      </c>
      <c r="J1637" s="2" t="s">
        <v>22</v>
      </c>
      <c r="K1637">
        <f>H1637*I1637</f>
        <v>70</v>
      </c>
      <c r="L1637" t="str">
        <f t="shared" si="50"/>
        <v>Nov</v>
      </c>
      <c r="M1637">
        <f t="shared" si="51"/>
        <v>11</v>
      </c>
    </row>
    <row r="1638" spans="1:13" x14ac:dyDescent="0.25">
      <c r="A1638" s="2" t="s">
        <v>1711</v>
      </c>
      <c r="B1638" s="3">
        <v>45962</v>
      </c>
      <c r="C1638" s="2" t="s">
        <v>42</v>
      </c>
      <c r="D1638" s="2" t="s">
        <v>43</v>
      </c>
      <c r="E1638" s="2" t="s">
        <v>44</v>
      </c>
      <c r="F1638" s="2" t="s">
        <v>14</v>
      </c>
      <c r="G1638" s="2" t="s">
        <v>45</v>
      </c>
      <c r="H1638" s="2">
        <v>5</v>
      </c>
      <c r="I1638" s="4">
        <v>46.46</v>
      </c>
      <c r="J1638" s="2" t="s">
        <v>31</v>
      </c>
      <c r="K1638">
        <f>H1638*I1638</f>
        <v>232.3</v>
      </c>
      <c r="L1638" t="str">
        <f t="shared" si="50"/>
        <v>Nov</v>
      </c>
      <c r="M1638">
        <f t="shared" si="51"/>
        <v>11</v>
      </c>
    </row>
    <row r="1639" spans="1:13" x14ac:dyDescent="0.25">
      <c r="A1639" s="2" t="s">
        <v>1712</v>
      </c>
      <c r="B1639" s="3">
        <v>45963</v>
      </c>
      <c r="C1639" s="2" t="s">
        <v>67</v>
      </c>
      <c r="D1639" s="2" t="s">
        <v>68</v>
      </c>
      <c r="E1639" s="2" t="s">
        <v>49</v>
      </c>
      <c r="F1639" s="2" t="s">
        <v>14</v>
      </c>
      <c r="G1639" s="2" t="s">
        <v>69</v>
      </c>
      <c r="H1639" s="2">
        <v>3</v>
      </c>
      <c r="I1639" s="4">
        <v>207.05</v>
      </c>
      <c r="J1639" s="2" t="s">
        <v>31</v>
      </c>
      <c r="K1639">
        <f>H1639*I1639</f>
        <v>621.15000000000009</v>
      </c>
      <c r="L1639" t="str">
        <f t="shared" si="50"/>
        <v>Nov</v>
      </c>
      <c r="M1639">
        <f t="shared" si="51"/>
        <v>11</v>
      </c>
    </row>
    <row r="1640" spans="1:13" x14ac:dyDescent="0.25">
      <c r="A1640" s="2" t="s">
        <v>1713</v>
      </c>
      <c r="B1640" s="3">
        <v>45963</v>
      </c>
      <c r="C1640" s="2" t="s">
        <v>34</v>
      </c>
      <c r="D1640" s="2" t="s">
        <v>35</v>
      </c>
      <c r="E1640" s="2" t="s">
        <v>36</v>
      </c>
      <c r="F1640" s="2" t="s">
        <v>14</v>
      </c>
      <c r="G1640" s="2" t="s">
        <v>37</v>
      </c>
      <c r="H1640" s="2">
        <v>6</v>
      </c>
      <c r="I1640" s="4">
        <v>165</v>
      </c>
      <c r="J1640" s="2" t="s">
        <v>31</v>
      </c>
      <c r="K1640">
        <f>H1640*I1640</f>
        <v>990</v>
      </c>
      <c r="L1640" t="str">
        <f t="shared" si="50"/>
        <v>Nov</v>
      </c>
      <c r="M1640">
        <f t="shared" si="51"/>
        <v>11</v>
      </c>
    </row>
    <row r="1641" spans="1:13" x14ac:dyDescent="0.25">
      <c r="A1641" s="2" t="s">
        <v>1714</v>
      </c>
      <c r="B1641" s="3">
        <v>45963</v>
      </c>
      <c r="C1641" s="2" t="s">
        <v>18</v>
      </c>
      <c r="D1641" s="2" t="s">
        <v>18</v>
      </c>
      <c r="E1641" s="2" t="s">
        <v>19</v>
      </c>
      <c r="F1641" s="2" t="s">
        <v>20</v>
      </c>
      <c r="G1641" s="2" t="s">
        <v>21</v>
      </c>
      <c r="H1641" s="2">
        <v>6</v>
      </c>
      <c r="I1641" s="4">
        <v>15</v>
      </c>
      <c r="J1641" s="2" t="s">
        <v>38</v>
      </c>
      <c r="K1641">
        <f>H1641*I1641</f>
        <v>90</v>
      </c>
      <c r="L1641" t="str">
        <f t="shared" si="50"/>
        <v>Nov</v>
      </c>
      <c r="M1641">
        <f t="shared" si="51"/>
        <v>11</v>
      </c>
    </row>
    <row r="1642" spans="1:13" x14ac:dyDescent="0.25">
      <c r="A1642" s="2" t="s">
        <v>1715</v>
      </c>
      <c r="B1642" s="3">
        <v>45963</v>
      </c>
      <c r="C1642" s="2" t="s">
        <v>24</v>
      </c>
      <c r="D1642" s="2" t="s">
        <v>25</v>
      </c>
      <c r="E1642" s="2" t="s">
        <v>26</v>
      </c>
      <c r="F1642" s="2" t="s">
        <v>14</v>
      </c>
      <c r="G1642" s="2" t="s">
        <v>27</v>
      </c>
      <c r="H1642" s="2">
        <v>1</v>
      </c>
      <c r="I1642" s="4">
        <v>58.58</v>
      </c>
      <c r="J1642" s="2" t="s">
        <v>38</v>
      </c>
      <c r="K1642">
        <f>H1642*I1642</f>
        <v>58.58</v>
      </c>
      <c r="L1642" t="str">
        <f t="shared" si="50"/>
        <v>Nov</v>
      </c>
      <c r="M1642">
        <f t="shared" si="51"/>
        <v>11</v>
      </c>
    </row>
    <row r="1643" spans="1:13" x14ac:dyDescent="0.25">
      <c r="A1643" s="2" t="s">
        <v>1716</v>
      </c>
      <c r="B1643" s="3">
        <v>45963</v>
      </c>
      <c r="C1643" s="2" t="s">
        <v>60</v>
      </c>
      <c r="D1643" s="2" t="s">
        <v>61</v>
      </c>
      <c r="E1643" s="2" t="s">
        <v>62</v>
      </c>
      <c r="F1643" s="2" t="s">
        <v>14</v>
      </c>
      <c r="G1643" s="2" t="s">
        <v>63</v>
      </c>
      <c r="H1643" s="2">
        <v>4</v>
      </c>
      <c r="I1643" s="4">
        <v>26</v>
      </c>
      <c r="J1643" s="2" t="s">
        <v>16</v>
      </c>
      <c r="K1643">
        <f>H1643*I1643</f>
        <v>104</v>
      </c>
      <c r="L1643" t="str">
        <f t="shared" si="50"/>
        <v>Nov</v>
      </c>
      <c r="M1643">
        <f t="shared" si="51"/>
        <v>11</v>
      </c>
    </row>
    <row r="1644" spans="1:13" x14ac:dyDescent="0.25">
      <c r="A1644" s="2" t="s">
        <v>1717</v>
      </c>
      <c r="B1644" s="3">
        <v>45963</v>
      </c>
      <c r="C1644" s="2" t="s">
        <v>108</v>
      </c>
      <c r="D1644" s="2" t="s">
        <v>109</v>
      </c>
      <c r="E1644" s="2" t="s">
        <v>13</v>
      </c>
      <c r="F1644" s="2" t="s">
        <v>14</v>
      </c>
      <c r="G1644" s="2" t="s">
        <v>110</v>
      </c>
      <c r="H1644" s="2">
        <v>2</v>
      </c>
      <c r="I1644" s="4">
        <v>62</v>
      </c>
      <c r="J1644" s="2" t="s">
        <v>16</v>
      </c>
      <c r="K1644">
        <f>H1644*I1644</f>
        <v>124</v>
      </c>
      <c r="L1644" t="str">
        <f t="shared" si="50"/>
        <v>Nov</v>
      </c>
      <c r="M1644">
        <f t="shared" si="51"/>
        <v>11</v>
      </c>
    </row>
    <row r="1645" spans="1:13" x14ac:dyDescent="0.25">
      <c r="A1645" s="2" t="s">
        <v>1718</v>
      </c>
      <c r="B1645" s="3">
        <v>45963</v>
      </c>
      <c r="C1645" s="2" t="s">
        <v>43</v>
      </c>
      <c r="D1645" s="2" t="s">
        <v>43</v>
      </c>
      <c r="E1645" s="2" t="s">
        <v>44</v>
      </c>
      <c r="F1645" s="2" t="s">
        <v>20</v>
      </c>
      <c r="G1645" s="2" t="s">
        <v>21</v>
      </c>
      <c r="H1645" s="2">
        <v>4</v>
      </c>
      <c r="I1645" s="4">
        <v>18</v>
      </c>
      <c r="J1645" s="2" t="s">
        <v>16</v>
      </c>
      <c r="K1645">
        <f>H1645*I1645</f>
        <v>72</v>
      </c>
      <c r="L1645" t="str">
        <f t="shared" si="50"/>
        <v>Nov</v>
      </c>
      <c r="M1645">
        <f t="shared" si="51"/>
        <v>11</v>
      </c>
    </row>
    <row r="1646" spans="1:13" x14ac:dyDescent="0.25">
      <c r="A1646" s="2" t="s">
        <v>1719</v>
      </c>
      <c r="B1646" s="3">
        <v>45964</v>
      </c>
      <c r="C1646" s="2" t="s">
        <v>12</v>
      </c>
      <c r="D1646" s="2" t="s">
        <v>12</v>
      </c>
      <c r="E1646" s="2" t="s">
        <v>13</v>
      </c>
      <c r="F1646" s="2" t="s">
        <v>20</v>
      </c>
      <c r="G1646" s="2" t="s">
        <v>21</v>
      </c>
      <c r="H1646" s="2">
        <v>5</v>
      </c>
      <c r="I1646" s="4">
        <v>14</v>
      </c>
      <c r="J1646" s="2" t="s">
        <v>38</v>
      </c>
      <c r="K1646">
        <f>H1646*I1646</f>
        <v>70</v>
      </c>
      <c r="L1646" t="str">
        <f t="shared" si="50"/>
        <v>Nov</v>
      </c>
      <c r="M1646">
        <f t="shared" si="51"/>
        <v>11</v>
      </c>
    </row>
    <row r="1647" spans="1:13" x14ac:dyDescent="0.25">
      <c r="A1647" s="2" t="s">
        <v>1720</v>
      </c>
      <c r="B1647" s="3">
        <v>45964</v>
      </c>
      <c r="C1647" s="2" t="s">
        <v>86</v>
      </c>
      <c r="D1647" s="2" t="s">
        <v>48</v>
      </c>
      <c r="E1647" s="2" t="s">
        <v>49</v>
      </c>
      <c r="F1647" s="2" t="s">
        <v>14</v>
      </c>
      <c r="G1647" s="2" t="s">
        <v>87</v>
      </c>
      <c r="H1647" s="2">
        <v>1</v>
      </c>
      <c r="I1647" s="4">
        <v>126.25</v>
      </c>
      <c r="J1647" s="2" t="s">
        <v>38</v>
      </c>
      <c r="K1647">
        <f>H1647*I1647</f>
        <v>126.25</v>
      </c>
      <c r="L1647" t="str">
        <f t="shared" si="50"/>
        <v>Nov</v>
      </c>
      <c r="M1647">
        <f t="shared" si="51"/>
        <v>11</v>
      </c>
    </row>
    <row r="1648" spans="1:13" x14ac:dyDescent="0.25">
      <c r="A1648" s="2" t="s">
        <v>1721</v>
      </c>
      <c r="B1648" s="3">
        <v>45964</v>
      </c>
      <c r="C1648" s="2" t="s">
        <v>74</v>
      </c>
      <c r="D1648" s="2" t="s">
        <v>75</v>
      </c>
      <c r="E1648" s="2" t="s">
        <v>76</v>
      </c>
      <c r="F1648" s="2" t="s">
        <v>14</v>
      </c>
      <c r="G1648" s="2" t="s">
        <v>77</v>
      </c>
      <c r="H1648" s="2">
        <v>6</v>
      </c>
      <c r="I1648" s="4">
        <v>32</v>
      </c>
      <c r="J1648" s="2" t="s">
        <v>22</v>
      </c>
      <c r="K1648">
        <f>H1648*I1648</f>
        <v>192</v>
      </c>
      <c r="L1648" t="str">
        <f t="shared" si="50"/>
        <v>Nov</v>
      </c>
      <c r="M1648">
        <f t="shared" si="51"/>
        <v>11</v>
      </c>
    </row>
    <row r="1649" spans="1:13" x14ac:dyDescent="0.25">
      <c r="A1649" s="2" t="s">
        <v>1722</v>
      </c>
      <c r="B1649" s="3">
        <v>45964</v>
      </c>
      <c r="C1649" s="2" t="s">
        <v>74</v>
      </c>
      <c r="D1649" s="2" t="s">
        <v>75</v>
      </c>
      <c r="E1649" s="2" t="s">
        <v>76</v>
      </c>
      <c r="F1649" s="2" t="s">
        <v>14</v>
      </c>
      <c r="G1649" s="2" t="s">
        <v>77</v>
      </c>
      <c r="H1649" s="2">
        <v>2</v>
      </c>
      <c r="I1649" s="4">
        <v>32.32</v>
      </c>
      <c r="J1649" s="2" t="s">
        <v>16</v>
      </c>
      <c r="K1649">
        <f>H1649*I1649</f>
        <v>64.64</v>
      </c>
      <c r="L1649" t="str">
        <f t="shared" si="50"/>
        <v>Nov</v>
      </c>
      <c r="M1649">
        <f t="shared" si="51"/>
        <v>11</v>
      </c>
    </row>
    <row r="1650" spans="1:13" x14ac:dyDescent="0.25">
      <c r="A1650" s="2" t="s">
        <v>1723</v>
      </c>
      <c r="B1650" s="3">
        <v>45964</v>
      </c>
      <c r="C1650" s="2" t="s">
        <v>101</v>
      </c>
      <c r="D1650" s="2" t="s">
        <v>102</v>
      </c>
      <c r="E1650" s="2" t="s">
        <v>36</v>
      </c>
      <c r="F1650" s="2" t="s">
        <v>14</v>
      </c>
      <c r="G1650" s="2" t="s">
        <v>103</v>
      </c>
      <c r="H1650" s="2">
        <v>3</v>
      </c>
      <c r="I1650" s="4">
        <v>92</v>
      </c>
      <c r="J1650" s="2" t="s">
        <v>38</v>
      </c>
      <c r="K1650">
        <f>H1650*I1650</f>
        <v>276</v>
      </c>
      <c r="L1650" t="str">
        <f t="shared" si="50"/>
        <v>Nov</v>
      </c>
      <c r="M1650">
        <f t="shared" si="51"/>
        <v>11</v>
      </c>
    </row>
    <row r="1651" spans="1:13" x14ac:dyDescent="0.25">
      <c r="A1651" s="2" t="s">
        <v>1724</v>
      </c>
      <c r="B1651" s="3">
        <v>45964</v>
      </c>
      <c r="C1651" s="2" t="s">
        <v>79</v>
      </c>
      <c r="D1651" s="2" t="s">
        <v>80</v>
      </c>
      <c r="E1651" s="2" t="s">
        <v>26</v>
      </c>
      <c r="F1651" s="2" t="s">
        <v>14</v>
      </c>
      <c r="G1651" s="2" t="s">
        <v>81</v>
      </c>
      <c r="H1651" s="2">
        <v>2</v>
      </c>
      <c r="I1651" s="4">
        <v>153.52000000000001</v>
      </c>
      <c r="J1651" s="2" t="s">
        <v>31</v>
      </c>
      <c r="K1651">
        <f>H1651*I1651</f>
        <v>307.04000000000002</v>
      </c>
      <c r="L1651" t="str">
        <f t="shared" si="50"/>
        <v>Nov</v>
      </c>
      <c r="M1651">
        <f t="shared" si="51"/>
        <v>11</v>
      </c>
    </row>
    <row r="1652" spans="1:13" x14ac:dyDescent="0.25">
      <c r="A1652" s="2" t="s">
        <v>1725</v>
      </c>
      <c r="B1652" s="3">
        <v>45964</v>
      </c>
      <c r="C1652" s="2" t="s">
        <v>60</v>
      </c>
      <c r="D1652" s="2" t="s">
        <v>61</v>
      </c>
      <c r="E1652" s="2" t="s">
        <v>62</v>
      </c>
      <c r="F1652" s="2" t="s">
        <v>14</v>
      </c>
      <c r="G1652" s="2" t="s">
        <v>63</v>
      </c>
      <c r="H1652" s="2">
        <v>2</v>
      </c>
      <c r="I1652" s="4">
        <v>26.26</v>
      </c>
      <c r="J1652" s="2" t="s">
        <v>38</v>
      </c>
      <c r="K1652">
        <f>H1652*I1652</f>
        <v>52.52</v>
      </c>
      <c r="L1652" t="str">
        <f t="shared" si="50"/>
        <v>Nov</v>
      </c>
      <c r="M1652">
        <f t="shared" si="51"/>
        <v>11</v>
      </c>
    </row>
    <row r="1653" spans="1:13" x14ac:dyDescent="0.25">
      <c r="A1653" s="2" t="s">
        <v>1726</v>
      </c>
      <c r="B1653" s="3">
        <v>45964</v>
      </c>
      <c r="C1653" s="2" t="s">
        <v>42</v>
      </c>
      <c r="D1653" s="2" t="s">
        <v>43</v>
      </c>
      <c r="E1653" s="2" t="s">
        <v>44</v>
      </c>
      <c r="F1653" s="2" t="s">
        <v>14</v>
      </c>
      <c r="G1653" s="2" t="s">
        <v>45</v>
      </c>
      <c r="H1653" s="2">
        <v>2</v>
      </c>
      <c r="I1653" s="4">
        <v>46.46</v>
      </c>
      <c r="J1653" s="2" t="s">
        <v>16</v>
      </c>
      <c r="K1653">
        <f>H1653*I1653</f>
        <v>92.92</v>
      </c>
      <c r="L1653" t="str">
        <f t="shared" si="50"/>
        <v>Nov</v>
      </c>
      <c r="M1653">
        <f t="shared" si="51"/>
        <v>11</v>
      </c>
    </row>
    <row r="1654" spans="1:13" x14ac:dyDescent="0.25">
      <c r="A1654" s="2" t="s">
        <v>1727</v>
      </c>
      <c r="B1654" s="3">
        <v>45964</v>
      </c>
      <c r="C1654" s="2" t="s">
        <v>43</v>
      </c>
      <c r="D1654" s="2" t="s">
        <v>43</v>
      </c>
      <c r="E1654" s="2" t="s">
        <v>44</v>
      </c>
      <c r="F1654" s="2" t="s">
        <v>20</v>
      </c>
      <c r="G1654" s="2" t="s">
        <v>21</v>
      </c>
      <c r="H1654" s="2">
        <v>5</v>
      </c>
      <c r="I1654" s="4">
        <v>18.18</v>
      </c>
      <c r="J1654" s="2" t="s">
        <v>16</v>
      </c>
      <c r="K1654">
        <f>H1654*I1654</f>
        <v>90.9</v>
      </c>
      <c r="L1654" t="str">
        <f t="shared" si="50"/>
        <v>Nov</v>
      </c>
      <c r="M1654">
        <f t="shared" si="51"/>
        <v>11</v>
      </c>
    </row>
    <row r="1655" spans="1:13" x14ac:dyDescent="0.25">
      <c r="A1655" s="2" t="s">
        <v>1728</v>
      </c>
      <c r="B1655" s="3">
        <v>45965</v>
      </c>
      <c r="C1655" s="2" t="s">
        <v>11</v>
      </c>
      <c r="D1655" s="2" t="s">
        <v>12</v>
      </c>
      <c r="E1655" s="2" t="s">
        <v>13</v>
      </c>
      <c r="F1655" s="2" t="s">
        <v>14</v>
      </c>
      <c r="G1655" s="2" t="s">
        <v>15</v>
      </c>
      <c r="H1655" s="2">
        <v>3</v>
      </c>
      <c r="I1655" s="4">
        <v>32.32</v>
      </c>
      <c r="J1655" s="2" t="s">
        <v>16</v>
      </c>
      <c r="K1655">
        <f>H1655*I1655</f>
        <v>96.960000000000008</v>
      </c>
      <c r="L1655" t="str">
        <f t="shared" si="50"/>
        <v>Nov</v>
      </c>
      <c r="M1655">
        <f t="shared" si="51"/>
        <v>11</v>
      </c>
    </row>
    <row r="1656" spans="1:13" x14ac:dyDescent="0.25">
      <c r="A1656" s="2" t="s">
        <v>1729</v>
      </c>
      <c r="B1656" s="3">
        <v>45965</v>
      </c>
      <c r="C1656" s="2" t="s">
        <v>18</v>
      </c>
      <c r="D1656" s="2" t="s">
        <v>18</v>
      </c>
      <c r="E1656" s="2" t="s">
        <v>19</v>
      </c>
      <c r="F1656" s="2" t="s">
        <v>20</v>
      </c>
      <c r="G1656" s="2" t="s">
        <v>21</v>
      </c>
      <c r="H1656" s="2">
        <v>3</v>
      </c>
      <c r="I1656" s="4">
        <v>15.15</v>
      </c>
      <c r="J1656" s="2" t="s">
        <v>16</v>
      </c>
      <c r="K1656">
        <f>H1656*I1656</f>
        <v>45.45</v>
      </c>
      <c r="L1656" t="str">
        <f t="shared" si="50"/>
        <v>Nov</v>
      </c>
      <c r="M1656">
        <f t="shared" si="51"/>
        <v>11</v>
      </c>
    </row>
    <row r="1657" spans="1:13" x14ac:dyDescent="0.25">
      <c r="A1657" s="2" t="s">
        <v>1730</v>
      </c>
      <c r="B1657" s="3">
        <v>45965</v>
      </c>
      <c r="C1657" s="2" t="s">
        <v>80</v>
      </c>
      <c r="D1657" s="2" t="s">
        <v>80</v>
      </c>
      <c r="E1657" s="2" t="s">
        <v>26</v>
      </c>
      <c r="F1657" s="2" t="s">
        <v>20</v>
      </c>
      <c r="G1657" s="2" t="s">
        <v>21</v>
      </c>
      <c r="H1657" s="2">
        <v>3</v>
      </c>
      <c r="I1657" s="4">
        <v>50.5</v>
      </c>
      <c r="J1657" s="2" t="s">
        <v>22</v>
      </c>
      <c r="K1657">
        <f>H1657*I1657</f>
        <v>151.5</v>
      </c>
      <c r="L1657" t="str">
        <f t="shared" si="50"/>
        <v>Nov</v>
      </c>
      <c r="M1657">
        <f t="shared" si="51"/>
        <v>11</v>
      </c>
    </row>
    <row r="1658" spans="1:13" x14ac:dyDescent="0.25">
      <c r="A1658" s="2" t="s">
        <v>1731</v>
      </c>
      <c r="B1658" s="3">
        <v>45965</v>
      </c>
      <c r="C1658" s="2" t="s">
        <v>97</v>
      </c>
      <c r="D1658" s="2" t="s">
        <v>98</v>
      </c>
      <c r="E1658" s="2" t="s">
        <v>99</v>
      </c>
      <c r="F1658" s="2" t="s">
        <v>14</v>
      </c>
      <c r="G1658" s="2" t="s">
        <v>37</v>
      </c>
      <c r="H1658" s="2">
        <v>2</v>
      </c>
      <c r="I1658" s="4">
        <v>182</v>
      </c>
      <c r="J1658" s="2" t="s">
        <v>16</v>
      </c>
      <c r="K1658">
        <f>H1658*I1658</f>
        <v>364</v>
      </c>
      <c r="L1658" t="str">
        <f t="shared" si="50"/>
        <v>Nov</v>
      </c>
      <c r="M1658">
        <f t="shared" si="51"/>
        <v>11</v>
      </c>
    </row>
    <row r="1659" spans="1:13" x14ac:dyDescent="0.25">
      <c r="A1659" s="2" t="s">
        <v>1732</v>
      </c>
      <c r="B1659" s="3">
        <v>45965</v>
      </c>
      <c r="C1659" s="2" t="s">
        <v>30</v>
      </c>
      <c r="D1659" s="2" t="s">
        <v>30</v>
      </c>
      <c r="E1659" s="2" t="s">
        <v>13</v>
      </c>
      <c r="F1659" s="2" t="s">
        <v>20</v>
      </c>
      <c r="G1659" s="2" t="s">
        <v>21</v>
      </c>
      <c r="H1659" s="2">
        <v>3</v>
      </c>
      <c r="I1659" s="4">
        <v>15.15</v>
      </c>
      <c r="J1659" s="2" t="s">
        <v>38</v>
      </c>
      <c r="K1659">
        <f>H1659*I1659</f>
        <v>45.45</v>
      </c>
      <c r="L1659" t="str">
        <f t="shared" si="50"/>
        <v>Nov</v>
      </c>
      <c r="M1659">
        <f t="shared" si="51"/>
        <v>11</v>
      </c>
    </row>
    <row r="1660" spans="1:13" x14ac:dyDescent="0.25">
      <c r="A1660" s="2" t="s">
        <v>1733</v>
      </c>
      <c r="B1660" s="3">
        <v>45966</v>
      </c>
      <c r="C1660" s="2" t="s">
        <v>80</v>
      </c>
      <c r="D1660" s="2" t="s">
        <v>80</v>
      </c>
      <c r="E1660" s="2" t="s">
        <v>26</v>
      </c>
      <c r="F1660" s="2" t="s">
        <v>20</v>
      </c>
      <c r="G1660" s="2" t="s">
        <v>21</v>
      </c>
      <c r="H1660" s="2">
        <v>3</v>
      </c>
      <c r="I1660" s="4">
        <v>50.5</v>
      </c>
      <c r="J1660" s="2" t="s">
        <v>38</v>
      </c>
      <c r="K1660">
        <f>H1660*I1660</f>
        <v>151.5</v>
      </c>
      <c r="L1660" t="str">
        <f t="shared" si="50"/>
        <v>Nov</v>
      </c>
      <c r="M1660">
        <f t="shared" si="51"/>
        <v>11</v>
      </c>
    </row>
    <row r="1661" spans="1:13" x14ac:dyDescent="0.25">
      <c r="A1661" s="2" t="s">
        <v>1734</v>
      </c>
      <c r="B1661" s="3">
        <v>45966</v>
      </c>
      <c r="C1661" s="2" t="s">
        <v>25</v>
      </c>
      <c r="D1661" s="2" t="s">
        <v>25</v>
      </c>
      <c r="E1661" s="2" t="s">
        <v>26</v>
      </c>
      <c r="F1661" s="2" t="s">
        <v>20</v>
      </c>
      <c r="G1661" s="2" t="s">
        <v>21</v>
      </c>
      <c r="H1661" s="2">
        <v>1</v>
      </c>
      <c r="I1661" s="4">
        <v>20</v>
      </c>
      <c r="J1661" s="2" t="s">
        <v>31</v>
      </c>
      <c r="K1661">
        <f>H1661*I1661</f>
        <v>20</v>
      </c>
      <c r="L1661" t="str">
        <f t="shared" si="50"/>
        <v>Nov</v>
      </c>
      <c r="M1661">
        <f t="shared" si="51"/>
        <v>11</v>
      </c>
    </row>
    <row r="1662" spans="1:13" x14ac:dyDescent="0.25">
      <c r="A1662" s="2" t="s">
        <v>1735</v>
      </c>
      <c r="B1662" s="3">
        <v>45966</v>
      </c>
      <c r="C1662" s="2" t="s">
        <v>60</v>
      </c>
      <c r="D1662" s="2" t="s">
        <v>61</v>
      </c>
      <c r="E1662" s="2" t="s">
        <v>62</v>
      </c>
      <c r="F1662" s="2" t="s">
        <v>14</v>
      </c>
      <c r="G1662" s="2" t="s">
        <v>63</v>
      </c>
      <c r="H1662" s="2">
        <v>2</v>
      </c>
      <c r="I1662" s="4">
        <v>26</v>
      </c>
      <c r="J1662" s="2" t="s">
        <v>31</v>
      </c>
      <c r="K1662">
        <f>H1662*I1662</f>
        <v>52</v>
      </c>
      <c r="L1662" t="str">
        <f t="shared" si="50"/>
        <v>Nov</v>
      </c>
      <c r="M1662">
        <f t="shared" si="51"/>
        <v>11</v>
      </c>
    </row>
    <row r="1663" spans="1:13" x14ac:dyDescent="0.25">
      <c r="A1663" s="2" t="s">
        <v>1736</v>
      </c>
      <c r="B1663" s="3">
        <v>45966</v>
      </c>
      <c r="C1663" s="2" t="s">
        <v>97</v>
      </c>
      <c r="D1663" s="2" t="s">
        <v>98</v>
      </c>
      <c r="E1663" s="2" t="s">
        <v>99</v>
      </c>
      <c r="F1663" s="2" t="s">
        <v>14</v>
      </c>
      <c r="G1663" s="2" t="s">
        <v>37</v>
      </c>
      <c r="H1663" s="2">
        <v>3</v>
      </c>
      <c r="I1663" s="4">
        <v>182</v>
      </c>
      <c r="J1663" s="2" t="s">
        <v>31</v>
      </c>
      <c r="K1663">
        <f>H1663*I1663</f>
        <v>546</v>
      </c>
      <c r="L1663" t="str">
        <f t="shared" si="50"/>
        <v>Nov</v>
      </c>
      <c r="M1663">
        <f t="shared" si="51"/>
        <v>11</v>
      </c>
    </row>
    <row r="1664" spans="1:13" x14ac:dyDescent="0.25">
      <c r="A1664" s="2" t="s">
        <v>1737</v>
      </c>
      <c r="B1664" s="3">
        <v>45967</v>
      </c>
      <c r="C1664" s="2" t="s">
        <v>74</v>
      </c>
      <c r="D1664" s="2" t="s">
        <v>75</v>
      </c>
      <c r="E1664" s="2" t="s">
        <v>76</v>
      </c>
      <c r="F1664" s="2" t="s">
        <v>14</v>
      </c>
      <c r="G1664" s="2" t="s">
        <v>77</v>
      </c>
      <c r="H1664" s="2">
        <v>3</v>
      </c>
      <c r="I1664" s="4">
        <v>32</v>
      </c>
      <c r="J1664" s="2" t="s">
        <v>38</v>
      </c>
      <c r="K1664">
        <f>H1664*I1664</f>
        <v>96</v>
      </c>
      <c r="L1664" t="str">
        <f t="shared" si="50"/>
        <v>Nov</v>
      </c>
      <c r="M1664">
        <f t="shared" si="51"/>
        <v>11</v>
      </c>
    </row>
    <row r="1665" spans="1:13" x14ac:dyDescent="0.25">
      <c r="A1665" s="2" t="s">
        <v>1738</v>
      </c>
      <c r="B1665" s="3">
        <v>45967</v>
      </c>
      <c r="C1665" s="2" t="s">
        <v>34</v>
      </c>
      <c r="D1665" s="2" t="s">
        <v>35</v>
      </c>
      <c r="E1665" s="2" t="s">
        <v>36</v>
      </c>
      <c r="F1665" s="2" t="s">
        <v>14</v>
      </c>
      <c r="G1665" s="2" t="s">
        <v>37</v>
      </c>
      <c r="H1665" s="2">
        <v>2</v>
      </c>
      <c r="I1665" s="4">
        <v>166.65</v>
      </c>
      <c r="J1665" s="2" t="s">
        <v>16</v>
      </c>
      <c r="K1665">
        <f>H1665*I1665</f>
        <v>333.3</v>
      </c>
      <c r="L1665" t="str">
        <f t="shared" si="50"/>
        <v>Nov</v>
      </c>
      <c r="M1665">
        <f t="shared" si="51"/>
        <v>11</v>
      </c>
    </row>
    <row r="1666" spans="1:13" x14ac:dyDescent="0.25">
      <c r="A1666" s="2" t="s">
        <v>1739</v>
      </c>
      <c r="B1666" s="3">
        <v>45967</v>
      </c>
      <c r="C1666" s="2" t="s">
        <v>190</v>
      </c>
      <c r="D1666" s="2" t="s">
        <v>40</v>
      </c>
      <c r="E1666" s="2" t="s">
        <v>19</v>
      </c>
      <c r="F1666" s="2" t="s">
        <v>14</v>
      </c>
      <c r="G1666" s="2" t="s">
        <v>191</v>
      </c>
      <c r="H1666" s="2">
        <v>3</v>
      </c>
      <c r="I1666" s="4">
        <v>143.41999999999999</v>
      </c>
      <c r="J1666" s="2" t="s">
        <v>22</v>
      </c>
      <c r="K1666">
        <f>H1666*I1666</f>
        <v>430.26</v>
      </c>
      <c r="L1666" t="str">
        <f t="shared" si="50"/>
        <v>Nov</v>
      </c>
      <c r="M1666">
        <f t="shared" si="51"/>
        <v>11</v>
      </c>
    </row>
    <row r="1667" spans="1:13" x14ac:dyDescent="0.25">
      <c r="A1667" s="2" t="s">
        <v>1740</v>
      </c>
      <c r="B1667" s="3">
        <v>45967</v>
      </c>
      <c r="C1667" s="2" t="s">
        <v>24</v>
      </c>
      <c r="D1667" s="2" t="s">
        <v>25</v>
      </c>
      <c r="E1667" s="2" t="s">
        <v>26</v>
      </c>
      <c r="F1667" s="2" t="s">
        <v>14</v>
      </c>
      <c r="G1667" s="2" t="s">
        <v>27</v>
      </c>
      <c r="H1667" s="2">
        <v>1</v>
      </c>
      <c r="I1667" s="4">
        <v>58.58</v>
      </c>
      <c r="J1667" s="2" t="s">
        <v>22</v>
      </c>
      <c r="K1667">
        <f>H1667*I1667</f>
        <v>58.58</v>
      </c>
      <c r="L1667" t="str">
        <f t="shared" ref="L1667:L1730" si="52">TEXT(B1667,"mmm")</f>
        <v>Nov</v>
      </c>
      <c r="M1667">
        <f t="shared" ref="M1667:M1730" si="53">MONTH(B1667)</f>
        <v>11</v>
      </c>
    </row>
    <row r="1668" spans="1:13" x14ac:dyDescent="0.25">
      <c r="A1668" s="2" t="s">
        <v>1741</v>
      </c>
      <c r="B1668" s="3">
        <v>45967</v>
      </c>
      <c r="C1668" s="2" t="s">
        <v>97</v>
      </c>
      <c r="D1668" s="2" t="s">
        <v>98</v>
      </c>
      <c r="E1668" s="2" t="s">
        <v>99</v>
      </c>
      <c r="F1668" s="2" t="s">
        <v>14</v>
      </c>
      <c r="G1668" s="2" t="s">
        <v>37</v>
      </c>
      <c r="H1668" s="2">
        <v>3</v>
      </c>
      <c r="I1668" s="4">
        <v>183.82</v>
      </c>
      <c r="J1668" s="2" t="s">
        <v>16</v>
      </c>
      <c r="K1668">
        <f>H1668*I1668</f>
        <v>551.46</v>
      </c>
      <c r="L1668" t="str">
        <f t="shared" si="52"/>
        <v>Nov</v>
      </c>
      <c r="M1668">
        <f t="shared" si="53"/>
        <v>11</v>
      </c>
    </row>
    <row r="1669" spans="1:13" x14ac:dyDescent="0.25">
      <c r="A1669" s="2" t="s">
        <v>1742</v>
      </c>
      <c r="B1669" s="3">
        <v>45967</v>
      </c>
      <c r="C1669" s="2" t="s">
        <v>52</v>
      </c>
      <c r="D1669" s="2" t="s">
        <v>30</v>
      </c>
      <c r="E1669" s="2" t="s">
        <v>13</v>
      </c>
      <c r="F1669" s="2" t="s">
        <v>14</v>
      </c>
      <c r="G1669" s="2" t="s">
        <v>53</v>
      </c>
      <c r="H1669" s="2">
        <v>1</v>
      </c>
      <c r="I1669" s="4">
        <v>42.42</v>
      </c>
      <c r="J1669" s="2" t="s">
        <v>16</v>
      </c>
      <c r="K1669">
        <f>H1669*I1669</f>
        <v>42.42</v>
      </c>
      <c r="L1669" t="str">
        <f t="shared" si="52"/>
        <v>Nov</v>
      </c>
      <c r="M1669">
        <f t="shared" si="53"/>
        <v>11</v>
      </c>
    </row>
    <row r="1670" spans="1:13" x14ac:dyDescent="0.25">
      <c r="A1670" s="2" t="s">
        <v>1743</v>
      </c>
      <c r="B1670" s="3">
        <v>45967</v>
      </c>
      <c r="C1670" s="2" t="s">
        <v>108</v>
      </c>
      <c r="D1670" s="2" t="s">
        <v>109</v>
      </c>
      <c r="E1670" s="2" t="s">
        <v>13</v>
      </c>
      <c r="F1670" s="2" t="s">
        <v>14</v>
      </c>
      <c r="G1670" s="2" t="s">
        <v>110</v>
      </c>
      <c r="H1670" s="2">
        <v>1</v>
      </c>
      <c r="I1670" s="4">
        <v>62</v>
      </c>
      <c r="J1670" s="2" t="s">
        <v>22</v>
      </c>
      <c r="K1670">
        <f>H1670*I1670</f>
        <v>62</v>
      </c>
      <c r="L1670" t="str">
        <f t="shared" si="52"/>
        <v>Nov</v>
      </c>
      <c r="M1670">
        <f t="shared" si="53"/>
        <v>11</v>
      </c>
    </row>
    <row r="1671" spans="1:13" x14ac:dyDescent="0.25">
      <c r="A1671" s="2" t="s">
        <v>1744</v>
      </c>
      <c r="B1671" s="3">
        <v>45968</v>
      </c>
      <c r="C1671" s="2" t="s">
        <v>18</v>
      </c>
      <c r="D1671" s="2" t="s">
        <v>18</v>
      </c>
      <c r="E1671" s="2" t="s">
        <v>19</v>
      </c>
      <c r="F1671" s="2" t="s">
        <v>20</v>
      </c>
      <c r="G1671" s="2" t="s">
        <v>21</v>
      </c>
      <c r="H1671" s="2">
        <v>1</v>
      </c>
      <c r="I1671" s="4">
        <v>15.15</v>
      </c>
      <c r="J1671" s="2" t="s">
        <v>31</v>
      </c>
      <c r="K1671">
        <f>H1671*I1671</f>
        <v>15.15</v>
      </c>
      <c r="L1671" t="str">
        <f t="shared" si="52"/>
        <v>Nov</v>
      </c>
      <c r="M1671">
        <f t="shared" si="53"/>
        <v>11</v>
      </c>
    </row>
    <row r="1672" spans="1:13" x14ac:dyDescent="0.25">
      <c r="A1672" s="2" t="s">
        <v>1745</v>
      </c>
      <c r="B1672" s="3">
        <v>45968</v>
      </c>
      <c r="C1672" s="2" t="s">
        <v>52</v>
      </c>
      <c r="D1672" s="2" t="s">
        <v>30</v>
      </c>
      <c r="E1672" s="2" t="s">
        <v>13</v>
      </c>
      <c r="F1672" s="2" t="s">
        <v>14</v>
      </c>
      <c r="G1672" s="2" t="s">
        <v>53</v>
      </c>
      <c r="H1672" s="2">
        <v>1</v>
      </c>
      <c r="I1672" s="4">
        <v>42.42</v>
      </c>
      <c r="J1672" s="2" t="s">
        <v>16</v>
      </c>
      <c r="K1672">
        <f>H1672*I1672</f>
        <v>42.42</v>
      </c>
      <c r="L1672" t="str">
        <f t="shared" si="52"/>
        <v>Nov</v>
      </c>
      <c r="M1672">
        <f t="shared" si="53"/>
        <v>11</v>
      </c>
    </row>
    <row r="1673" spans="1:13" x14ac:dyDescent="0.25">
      <c r="A1673" s="2" t="s">
        <v>1746</v>
      </c>
      <c r="B1673" s="3">
        <v>45968</v>
      </c>
      <c r="C1673" s="2" t="s">
        <v>109</v>
      </c>
      <c r="D1673" s="2" t="s">
        <v>109</v>
      </c>
      <c r="E1673" s="2" t="s">
        <v>13</v>
      </c>
      <c r="F1673" s="2" t="s">
        <v>20</v>
      </c>
      <c r="G1673" s="2" t="s">
        <v>21</v>
      </c>
      <c r="H1673" s="2">
        <v>4</v>
      </c>
      <c r="I1673" s="4">
        <v>20.2</v>
      </c>
      <c r="J1673" s="2" t="s">
        <v>16</v>
      </c>
      <c r="K1673">
        <f>H1673*I1673</f>
        <v>80.8</v>
      </c>
      <c r="L1673" t="str">
        <f t="shared" si="52"/>
        <v>Nov</v>
      </c>
      <c r="M1673">
        <f t="shared" si="53"/>
        <v>11</v>
      </c>
    </row>
    <row r="1674" spans="1:13" x14ac:dyDescent="0.25">
      <c r="A1674" s="2" t="s">
        <v>1747</v>
      </c>
      <c r="B1674" s="3">
        <v>45969</v>
      </c>
      <c r="C1674" s="2" t="s">
        <v>11</v>
      </c>
      <c r="D1674" s="2" t="s">
        <v>12</v>
      </c>
      <c r="E1674" s="2" t="s">
        <v>13</v>
      </c>
      <c r="F1674" s="2" t="s">
        <v>14</v>
      </c>
      <c r="G1674" s="2" t="s">
        <v>15</v>
      </c>
      <c r="H1674" s="2">
        <v>1</v>
      </c>
      <c r="I1674" s="4">
        <v>32.32</v>
      </c>
      <c r="J1674" s="2" t="s">
        <v>16</v>
      </c>
      <c r="K1674">
        <f>H1674*I1674</f>
        <v>32.32</v>
      </c>
      <c r="L1674" t="str">
        <f t="shared" si="52"/>
        <v>Nov</v>
      </c>
      <c r="M1674">
        <f t="shared" si="53"/>
        <v>11</v>
      </c>
    </row>
    <row r="1675" spans="1:13" x14ac:dyDescent="0.25">
      <c r="A1675" s="2" t="s">
        <v>1748</v>
      </c>
      <c r="B1675" s="3">
        <v>45969</v>
      </c>
      <c r="C1675" s="2" t="s">
        <v>11</v>
      </c>
      <c r="D1675" s="2" t="s">
        <v>12</v>
      </c>
      <c r="E1675" s="2" t="s">
        <v>13</v>
      </c>
      <c r="F1675" s="2" t="s">
        <v>14</v>
      </c>
      <c r="G1675" s="2" t="s">
        <v>15</v>
      </c>
      <c r="H1675" s="2">
        <v>2</v>
      </c>
      <c r="I1675" s="4">
        <v>32.32</v>
      </c>
      <c r="J1675" s="2" t="s">
        <v>16</v>
      </c>
      <c r="K1675">
        <f>H1675*I1675</f>
        <v>64.64</v>
      </c>
      <c r="L1675" t="str">
        <f t="shared" si="52"/>
        <v>Nov</v>
      </c>
      <c r="M1675">
        <f t="shared" si="53"/>
        <v>11</v>
      </c>
    </row>
    <row r="1676" spans="1:13" x14ac:dyDescent="0.25">
      <c r="A1676" s="2" t="s">
        <v>1749</v>
      </c>
      <c r="B1676" s="3">
        <v>45969</v>
      </c>
      <c r="C1676" s="2" t="s">
        <v>12</v>
      </c>
      <c r="D1676" s="2" t="s">
        <v>12</v>
      </c>
      <c r="E1676" s="2" t="s">
        <v>13</v>
      </c>
      <c r="F1676" s="2" t="s">
        <v>20</v>
      </c>
      <c r="G1676" s="2" t="s">
        <v>21</v>
      </c>
      <c r="H1676" s="2">
        <v>1</v>
      </c>
      <c r="I1676" s="4">
        <v>14.14</v>
      </c>
      <c r="J1676" s="2" t="s">
        <v>22</v>
      </c>
      <c r="K1676">
        <f>H1676*I1676</f>
        <v>14.14</v>
      </c>
      <c r="L1676" t="str">
        <f t="shared" si="52"/>
        <v>Nov</v>
      </c>
      <c r="M1676">
        <f t="shared" si="53"/>
        <v>11</v>
      </c>
    </row>
    <row r="1677" spans="1:13" x14ac:dyDescent="0.25">
      <c r="A1677" s="2" t="s">
        <v>1750</v>
      </c>
      <c r="B1677" s="3">
        <v>45969</v>
      </c>
      <c r="C1677" s="2" t="s">
        <v>72</v>
      </c>
      <c r="D1677" s="2" t="s">
        <v>68</v>
      </c>
      <c r="E1677" s="2" t="s">
        <v>49</v>
      </c>
      <c r="F1677" s="2" t="s">
        <v>20</v>
      </c>
      <c r="G1677" s="2" t="s">
        <v>21</v>
      </c>
      <c r="H1677" s="2">
        <v>4</v>
      </c>
      <c r="I1677" s="4">
        <v>95.95</v>
      </c>
      <c r="J1677" s="2" t="s">
        <v>38</v>
      </c>
      <c r="K1677">
        <f>H1677*I1677</f>
        <v>383.8</v>
      </c>
      <c r="L1677" t="str">
        <f t="shared" si="52"/>
        <v>Nov</v>
      </c>
      <c r="M1677">
        <f t="shared" si="53"/>
        <v>11</v>
      </c>
    </row>
    <row r="1678" spans="1:13" x14ac:dyDescent="0.25">
      <c r="A1678" s="2" t="s">
        <v>1751</v>
      </c>
      <c r="B1678" s="3">
        <v>45969</v>
      </c>
      <c r="C1678" s="2" t="s">
        <v>34</v>
      </c>
      <c r="D1678" s="2" t="s">
        <v>35</v>
      </c>
      <c r="E1678" s="2" t="s">
        <v>36</v>
      </c>
      <c r="F1678" s="2" t="s">
        <v>14</v>
      </c>
      <c r="G1678" s="2" t="s">
        <v>37</v>
      </c>
      <c r="H1678" s="2">
        <v>6</v>
      </c>
      <c r="I1678" s="4">
        <v>166.65</v>
      </c>
      <c r="J1678" s="2" t="s">
        <v>22</v>
      </c>
      <c r="K1678">
        <f>H1678*I1678</f>
        <v>999.90000000000009</v>
      </c>
      <c r="L1678" t="str">
        <f t="shared" si="52"/>
        <v>Nov</v>
      </c>
      <c r="M1678">
        <f t="shared" si="53"/>
        <v>11</v>
      </c>
    </row>
    <row r="1679" spans="1:13" x14ac:dyDescent="0.25">
      <c r="A1679" s="2" t="s">
        <v>1752</v>
      </c>
      <c r="B1679" s="3">
        <v>45969</v>
      </c>
      <c r="C1679" s="2" t="s">
        <v>30</v>
      </c>
      <c r="D1679" s="2" t="s">
        <v>30</v>
      </c>
      <c r="E1679" s="2" t="s">
        <v>13</v>
      </c>
      <c r="F1679" s="2" t="s">
        <v>20</v>
      </c>
      <c r="G1679" s="2" t="s">
        <v>21</v>
      </c>
      <c r="H1679" s="2">
        <v>2</v>
      </c>
      <c r="I1679" s="4">
        <v>15</v>
      </c>
      <c r="J1679" s="2" t="s">
        <v>38</v>
      </c>
      <c r="K1679">
        <f>H1679*I1679</f>
        <v>30</v>
      </c>
      <c r="L1679" t="str">
        <f t="shared" si="52"/>
        <v>Nov</v>
      </c>
      <c r="M1679">
        <f t="shared" si="53"/>
        <v>11</v>
      </c>
    </row>
    <row r="1680" spans="1:13" x14ac:dyDescent="0.25">
      <c r="A1680" s="2" t="s">
        <v>1753</v>
      </c>
      <c r="B1680" s="3">
        <v>45969</v>
      </c>
      <c r="C1680" s="2" t="s">
        <v>30</v>
      </c>
      <c r="D1680" s="2" t="s">
        <v>30</v>
      </c>
      <c r="E1680" s="2" t="s">
        <v>13</v>
      </c>
      <c r="F1680" s="2" t="s">
        <v>20</v>
      </c>
      <c r="G1680" s="2" t="s">
        <v>21</v>
      </c>
      <c r="H1680" s="2">
        <v>5</v>
      </c>
      <c r="I1680" s="4">
        <v>15.15</v>
      </c>
      <c r="J1680" s="2" t="s">
        <v>22</v>
      </c>
      <c r="K1680">
        <f>H1680*I1680</f>
        <v>75.75</v>
      </c>
      <c r="L1680" t="str">
        <f t="shared" si="52"/>
        <v>Nov</v>
      </c>
      <c r="M1680">
        <f t="shared" si="53"/>
        <v>11</v>
      </c>
    </row>
    <row r="1681" spans="1:13" x14ac:dyDescent="0.25">
      <c r="A1681" s="2" t="s">
        <v>1754</v>
      </c>
      <c r="B1681" s="3">
        <v>45970</v>
      </c>
      <c r="C1681" s="2" t="s">
        <v>124</v>
      </c>
      <c r="D1681" s="2" t="s">
        <v>18</v>
      </c>
      <c r="E1681" s="2" t="s">
        <v>19</v>
      </c>
      <c r="F1681" s="2" t="s">
        <v>14</v>
      </c>
      <c r="G1681" s="2" t="s">
        <v>125</v>
      </c>
      <c r="H1681" s="2">
        <v>1</v>
      </c>
      <c r="I1681" s="4">
        <v>45.45</v>
      </c>
      <c r="J1681" s="2" t="s">
        <v>38</v>
      </c>
      <c r="K1681">
        <f>H1681*I1681</f>
        <v>45.45</v>
      </c>
      <c r="L1681" t="str">
        <f t="shared" si="52"/>
        <v>Nov</v>
      </c>
      <c r="M1681">
        <f t="shared" si="53"/>
        <v>11</v>
      </c>
    </row>
    <row r="1682" spans="1:13" x14ac:dyDescent="0.25">
      <c r="A1682" s="2" t="s">
        <v>1755</v>
      </c>
      <c r="B1682" s="3">
        <v>45970</v>
      </c>
      <c r="C1682" s="2" t="s">
        <v>190</v>
      </c>
      <c r="D1682" s="2" t="s">
        <v>40</v>
      </c>
      <c r="E1682" s="2" t="s">
        <v>19</v>
      </c>
      <c r="F1682" s="2" t="s">
        <v>14</v>
      </c>
      <c r="G1682" s="2" t="s">
        <v>191</v>
      </c>
      <c r="H1682" s="2">
        <v>1</v>
      </c>
      <c r="I1682" s="4">
        <v>143.41999999999999</v>
      </c>
      <c r="J1682" s="2" t="s">
        <v>31</v>
      </c>
      <c r="K1682">
        <f>H1682*I1682</f>
        <v>143.41999999999999</v>
      </c>
      <c r="L1682" t="str">
        <f t="shared" si="52"/>
        <v>Nov</v>
      </c>
      <c r="M1682">
        <f t="shared" si="53"/>
        <v>11</v>
      </c>
    </row>
    <row r="1683" spans="1:13" x14ac:dyDescent="0.25">
      <c r="A1683" s="2" t="s">
        <v>1756</v>
      </c>
      <c r="B1683" s="3">
        <v>45970</v>
      </c>
      <c r="C1683" s="2" t="s">
        <v>79</v>
      </c>
      <c r="D1683" s="2" t="s">
        <v>80</v>
      </c>
      <c r="E1683" s="2" t="s">
        <v>26</v>
      </c>
      <c r="F1683" s="2" t="s">
        <v>14</v>
      </c>
      <c r="G1683" s="2" t="s">
        <v>81</v>
      </c>
      <c r="H1683" s="2">
        <v>1</v>
      </c>
      <c r="I1683" s="4">
        <v>152</v>
      </c>
      <c r="J1683" s="2" t="s">
        <v>31</v>
      </c>
      <c r="K1683">
        <f>H1683*I1683</f>
        <v>152</v>
      </c>
      <c r="L1683" t="str">
        <f t="shared" si="52"/>
        <v>Nov</v>
      </c>
      <c r="M1683">
        <f t="shared" si="53"/>
        <v>11</v>
      </c>
    </row>
    <row r="1684" spans="1:13" x14ac:dyDescent="0.25">
      <c r="A1684" s="2" t="s">
        <v>1757</v>
      </c>
      <c r="B1684" s="3">
        <v>45971</v>
      </c>
      <c r="C1684" s="2" t="s">
        <v>101</v>
      </c>
      <c r="D1684" s="2" t="s">
        <v>102</v>
      </c>
      <c r="E1684" s="2" t="s">
        <v>36</v>
      </c>
      <c r="F1684" s="2" t="s">
        <v>14</v>
      </c>
      <c r="G1684" s="2" t="s">
        <v>103</v>
      </c>
      <c r="H1684" s="2">
        <v>3</v>
      </c>
      <c r="I1684" s="4">
        <v>92</v>
      </c>
      <c r="J1684" s="2" t="s">
        <v>38</v>
      </c>
      <c r="K1684">
        <f>H1684*I1684</f>
        <v>276</v>
      </c>
      <c r="L1684" t="str">
        <f t="shared" si="52"/>
        <v>Nov</v>
      </c>
      <c r="M1684">
        <f t="shared" si="53"/>
        <v>11</v>
      </c>
    </row>
    <row r="1685" spans="1:13" x14ac:dyDescent="0.25">
      <c r="A1685" s="2" t="s">
        <v>1758</v>
      </c>
      <c r="B1685" s="3">
        <v>45972</v>
      </c>
      <c r="C1685" s="2" t="s">
        <v>124</v>
      </c>
      <c r="D1685" s="2" t="s">
        <v>18</v>
      </c>
      <c r="E1685" s="2" t="s">
        <v>19</v>
      </c>
      <c r="F1685" s="2" t="s">
        <v>14</v>
      </c>
      <c r="G1685" s="2" t="s">
        <v>125</v>
      </c>
      <c r="H1685" s="2">
        <v>6</v>
      </c>
      <c r="I1685" s="4">
        <v>45</v>
      </c>
      <c r="J1685" s="2" t="s">
        <v>31</v>
      </c>
      <c r="K1685">
        <f>H1685*I1685</f>
        <v>270</v>
      </c>
      <c r="L1685" t="str">
        <f t="shared" si="52"/>
        <v>Nov</v>
      </c>
      <c r="M1685">
        <f t="shared" si="53"/>
        <v>11</v>
      </c>
    </row>
    <row r="1686" spans="1:13" x14ac:dyDescent="0.25">
      <c r="A1686" s="2" t="s">
        <v>1759</v>
      </c>
      <c r="B1686" s="3">
        <v>45972</v>
      </c>
      <c r="C1686" s="2" t="s">
        <v>40</v>
      </c>
      <c r="D1686" s="2" t="s">
        <v>40</v>
      </c>
      <c r="E1686" s="2" t="s">
        <v>19</v>
      </c>
      <c r="F1686" s="2" t="s">
        <v>20</v>
      </c>
      <c r="G1686" s="2" t="s">
        <v>21</v>
      </c>
      <c r="H1686" s="2">
        <v>1</v>
      </c>
      <c r="I1686" s="4">
        <v>46.46</v>
      </c>
      <c r="J1686" s="2" t="s">
        <v>16</v>
      </c>
      <c r="K1686">
        <f>H1686*I1686</f>
        <v>46.46</v>
      </c>
      <c r="L1686" t="str">
        <f t="shared" si="52"/>
        <v>Nov</v>
      </c>
      <c r="M1686">
        <f t="shared" si="53"/>
        <v>11</v>
      </c>
    </row>
    <row r="1687" spans="1:13" x14ac:dyDescent="0.25">
      <c r="A1687" s="2" t="s">
        <v>1760</v>
      </c>
      <c r="B1687" s="3">
        <v>45972</v>
      </c>
      <c r="C1687" s="2" t="s">
        <v>60</v>
      </c>
      <c r="D1687" s="2" t="s">
        <v>61</v>
      </c>
      <c r="E1687" s="2" t="s">
        <v>62</v>
      </c>
      <c r="F1687" s="2" t="s">
        <v>14</v>
      </c>
      <c r="G1687" s="2" t="s">
        <v>63</v>
      </c>
      <c r="H1687" s="2">
        <v>1</v>
      </c>
      <c r="I1687" s="4">
        <v>26.26</v>
      </c>
      <c r="J1687" s="2" t="s">
        <v>22</v>
      </c>
      <c r="K1687">
        <f>H1687*I1687</f>
        <v>26.26</v>
      </c>
      <c r="L1687" t="str">
        <f t="shared" si="52"/>
        <v>Nov</v>
      </c>
      <c r="M1687">
        <f t="shared" si="53"/>
        <v>11</v>
      </c>
    </row>
    <row r="1688" spans="1:13" x14ac:dyDescent="0.25">
      <c r="A1688" s="2" t="s">
        <v>1761</v>
      </c>
      <c r="B1688" s="3">
        <v>45972</v>
      </c>
      <c r="C1688" s="2" t="s">
        <v>42</v>
      </c>
      <c r="D1688" s="2" t="s">
        <v>43</v>
      </c>
      <c r="E1688" s="2" t="s">
        <v>44</v>
      </c>
      <c r="F1688" s="2" t="s">
        <v>14</v>
      </c>
      <c r="G1688" s="2" t="s">
        <v>45</v>
      </c>
      <c r="H1688" s="2">
        <v>2</v>
      </c>
      <c r="I1688" s="4">
        <v>46</v>
      </c>
      <c r="J1688" s="2" t="s">
        <v>16</v>
      </c>
      <c r="K1688">
        <f>H1688*I1688</f>
        <v>92</v>
      </c>
      <c r="L1688" t="str">
        <f t="shared" si="52"/>
        <v>Nov</v>
      </c>
      <c r="M1688">
        <f t="shared" si="53"/>
        <v>11</v>
      </c>
    </row>
    <row r="1689" spans="1:13" x14ac:dyDescent="0.25">
      <c r="A1689" s="2" t="s">
        <v>1762</v>
      </c>
      <c r="B1689" s="3">
        <v>45973</v>
      </c>
      <c r="C1689" s="2" t="s">
        <v>75</v>
      </c>
      <c r="D1689" s="2" t="s">
        <v>75</v>
      </c>
      <c r="E1689" s="2" t="s">
        <v>76</v>
      </c>
      <c r="F1689" s="2" t="s">
        <v>20</v>
      </c>
      <c r="G1689" s="2" t="s">
        <v>21</v>
      </c>
      <c r="H1689" s="2">
        <v>1</v>
      </c>
      <c r="I1689" s="4">
        <v>12.12</v>
      </c>
      <c r="J1689" s="2" t="s">
        <v>38</v>
      </c>
      <c r="K1689">
        <f>H1689*I1689</f>
        <v>12.12</v>
      </c>
      <c r="L1689" t="str">
        <f t="shared" si="52"/>
        <v>Nov</v>
      </c>
      <c r="M1689">
        <f t="shared" si="53"/>
        <v>11</v>
      </c>
    </row>
    <row r="1690" spans="1:13" x14ac:dyDescent="0.25">
      <c r="A1690" s="2" t="s">
        <v>1763</v>
      </c>
      <c r="B1690" s="3">
        <v>45973</v>
      </c>
      <c r="C1690" s="2" t="s">
        <v>18</v>
      </c>
      <c r="D1690" s="2" t="s">
        <v>18</v>
      </c>
      <c r="E1690" s="2" t="s">
        <v>19</v>
      </c>
      <c r="F1690" s="2" t="s">
        <v>20</v>
      </c>
      <c r="G1690" s="2" t="s">
        <v>21</v>
      </c>
      <c r="H1690" s="2">
        <v>2</v>
      </c>
      <c r="I1690" s="4">
        <v>15.15</v>
      </c>
      <c r="J1690" s="2" t="s">
        <v>16</v>
      </c>
      <c r="K1690">
        <f>H1690*I1690</f>
        <v>30.3</v>
      </c>
      <c r="L1690" t="str">
        <f t="shared" si="52"/>
        <v>Nov</v>
      </c>
      <c r="M1690">
        <f t="shared" si="53"/>
        <v>11</v>
      </c>
    </row>
    <row r="1691" spans="1:13" x14ac:dyDescent="0.25">
      <c r="A1691" s="2" t="s">
        <v>1764</v>
      </c>
      <c r="B1691" s="3">
        <v>45974</v>
      </c>
      <c r="C1691" s="2" t="s">
        <v>11</v>
      </c>
      <c r="D1691" s="2" t="s">
        <v>12</v>
      </c>
      <c r="E1691" s="2" t="s">
        <v>13</v>
      </c>
      <c r="F1691" s="2" t="s">
        <v>14</v>
      </c>
      <c r="G1691" s="2" t="s">
        <v>15</v>
      </c>
      <c r="H1691" s="2">
        <v>1</v>
      </c>
      <c r="I1691" s="4">
        <v>32.32</v>
      </c>
      <c r="J1691" s="2" t="s">
        <v>38</v>
      </c>
      <c r="K1691">
        <f>H1691*I1691</f>
        <v>32.32</v>
      </c>
      <c r="L1691" t="str">
        <f t="shared" si="52"/>
        <v>Nov</v>
      </c>
      <c r="M1691">
        <f t="shared" si="53"/>
        <v>11</v>
      </c>
    </row>
    <row r="1692" spans="1:13" x14ac:dyDescent="0.25">
      <c r="A1692" s="2" t="s">
        <v>1765</v>
      </c>
      <c r="B1692" s="3">
        <v>45974</v>
      </c>
      <c r="C1692" s="2" t="s">
        <v>72</v>
      </c>
      <c r="D1692" s="2" t="s">
        <v>68</v>
      </c>
      <c r="E1692" s="2" t="s">
        <v>49</v>
      </c>
      <c r="F1692" s="2" t="s">
        <v>20</v>
      </c>
      <c r="G1692" s="2" t="s">
        <v>21</v>
      </c>
      <c r="H1692" s="2">
        <v>3</v>
      </c>
      <c r="I1692" s="4">
        <v>95.95</v>
      </c>
      <c r="J1692" s="2" t="s">
        <v>16</v>
      </c>
      <c r="K1692">
        <f>H1692*I1692</f>
        <v>287.85000000000002</v>
      </c>
      <c r="L1692" t="str">
        <f t="shared" si="52"/>
        <v>Nov</v>
      </c>
      <c r="M1692">
        <f t="shared" si="53"/>
        <v>11</v>
      </c>
    </row>
    <row r="1693" spans="1:13" x14ac:dyDescent="0.25">
      <c r="A1693" s="2" t="s">
        <v>1766</v>
      </c>
      <c r="B1693" s="3">
        <v>45974</v>
      </c>
      <c r="C1693" s="2" t="s">
        <v>72</v>
      </c>
      <c r="D1693" s="2" t="s">
        <v>68</v>
      </c>
      <c r="E1693" s="2" t="s">
        <v>49</v>
      </c>
      <c r="F1693" s="2" t="s">
        <v>20</v>
      </c>
      <c r="G1693" s="2" t="s">
        <v>21</v>
      </c>
      <c r="H1693" s="2">
        <v>4</v>
      </c>
      <c r="I1693" s="4">
        <v>95.95</v>
      </c>
      <c r="J1693" s="2" t="s">
        <v>38</v>
      </c>
      <c r="K1693">
        <f>H1693*I1693</f>
        <v>383.8</v>
      </c>
      <c r="L1693" t="str">
        <f t="shared" si="52"/>
        <v>Nov</v>
      </c>
      <c r="M1693">
        <f t="shared" si="53"/>
        <v>11</v>
      </c>
    </row>
    <row r="1694" spans="1:13" x14ac:dyDescent="0.25">
      <c r="A1694" s="2" t="s">
        <v>1767</v>
      </c>
      <c r="B1694" s="3">
        <v>45974</v>
      </c>
      <c r="C1694" s="2" t="s">
        <v>74</v>
      </c>
      <c r="D1694" s="2" t="s">
        <v>75</v>
      </c>
      <c r="E1694" s="2" t="s">
        <v>76</v>
      </c>
      <c r="F1694" s="2" t="s">
        <v>14</v>
      </c>
      <c r="G1694" s="2" t="s">
        <v>77</v>
      </c>
      <c r="H1694" s="2">
        <v>3</v>
      </c>
      <c r="I1694" s="4">
        <v>32</v>
      </c>
      <c r="J1694" s="2" t="s">
        <v>16</v>
      </c>
      <c r="K1694">
        <f>H1694*I1694</f>
        <v>96</v>
      </c>
      <c r="L1694" t="str">
        <f t="shared" si="52"/>
        <v>Nov</v>
      </c>
      <c r="M1694">
        <f t="shared" si="53"/>
        <v>11</v>
      </c>
    </row>
    <row r="1695" spans="1:13" x14ac:dyDescent="0.25">
      <c r="A1695" s="2" t="s">
        <v>1768</v>
      </c>
      <c r="B1695" s="3">
        <v>45974</v>
      </c>
      <c r="C1695" s="2" t="s">
        <v>35</v>
      </c>
      <c r="D1695" s="2" t="s">
        <v>35</v>
      </c>
      <c r="E1695" s="2" t="s">
        <v>36</v>
      </c>
      <c r="F1695" s="2" t="s">
        <v>20</v>
      </c>
      <c r="G1695" s="2" t="s">
        <v>21</v>
      </c>
      <c r="H1695" s="2">
        <v>3</v>
      </c>
      <c r="I1695" s="4">
        <v>58.58</v>
      </c>
      <c r="J1695" s="2" t="s">
        <v>22</v>
      </c>
      <c r="K1695">
        <f>H1695*I1695</f>
        <v>175.74</v>
      </c>
      <c r="L1695" t="str">
        <f t="shared" si="52"/>
        <v>Nov</v>
      </c>
      <c r="M1695">
        <f t="shared" si="53"/>
        <v>11</v>
      </c>
    </row>
    <row r="1696" spans="1:13" x14ac:dyDescent="0.25">
      <c r="A1696" s="2" t="s">
        <v>1769</v>
      </c>
      <c r="B1696" s="3">
        <v>45974</v>
      </c>
      <c r="C1696" s="2" t="s">
        <v>124</v>
      </c>
      <c r="D1696" s="2" t="s">
        <v>18</v>
      </c>
      <c r="E1696" s="2" t="s">
        <v>19</v>
      </c>
      <c r="F1696" s="2" t="s">
        <v>14</v>
      </c>
      <c r="G1696" s="2" t="s">
        <v>125</v>
      </c>
      <c r="H1696" s="2">
        <v>6</v>
      </c>
      <c r="I1696" s="4">
        <v>45.45</v>
      </c>
      <c r="J1696" s="2" t="s">
        <v>16</v>
      </c>
      <c r="K1696">
        <f>H1696*I1696</f>
        <v>272.70000000000005</v>
      </c>
      <c r="L1696" t="str">
        <f t="shared" si="52"/>
        <v>Nov</v>
      </c>
      <c r="M1696">
        <f t="shared" si="53"/>
        <v>11</v>
      </c>
    </row>
    <row r="1697" spans="1:13" x14ac:dyDescent="0.25">
      <c r="A1697" s="2" t="s">
        <v>1770</v>
      </c>
      <c r="B1697" s="3">
        <v>45974</v>
      </c>
      <c r="C1697" s="2" t="s">
        <v>40</v>
      </c>
      <c r="D1697" s="2" t="s">
        <v>40</v>
      </c>
      <c r="E1697" s="2" t="s">
        <v>19</v>
      </c>
      <c r="F1697" s="2" t="s">
        <v>20</v>
      </c>
      <c r="G1697" s="2" t="s">
        <v>21</v>
      </c>
      <c r="H1697" s="2">
        <v>2</v>
      </c>
      <c r="I1697" s="4">
        <v>46.46</v>
      </c>
      <c r="J1697" s="2" t="s">
        <v>31</v>
      </c>
      <c r="K1697">
        <f>H1697*I1697</f>
        <v>92.92</v>
      </c>
      <c r="L1697" t="str">
        <f t="shared" si="52"/>
        <v>Nov</v>
      </c>
      <c r="M1697">
        <f t="shared" si="53"/>
        <v>11</v>
      </c>
    </row>
    <row r="1698" spans="1:13" x14ac:dyDescent="0.25">
      <c r="A1698" s="2" t="s">
        <v>1771</v>
      </c>
      <c r="B1698" s="3">
        <v>45974</v>
      </c>
      <c r="C1698" s="2" t="s">
        <v>80</v>
      </c>
      <c r="D1698" s="2" t="s">
        <v>80</v>
      </c>
      <c r="E1698" s="2" t="s">
        <v>26</v>
      </c>
      <c r="F1698" s="2" t="s">
        <v>20</v>
      </c>
      <c r="G1698" s="2" t="s">
        <v>21</v>
      </c>
      <c r="H1698" s="2">
        <v>1</v>
      </c>
      <c r="I1698" s="4">
        <v>50.5</v>
      </c>
      <c r="J1698" s="2" t="s">
        <v>16</v>
      </c>
      <c r="K1698">
        <f>H1698*I1698</f>
        <v>50.5</v>
      </c>
      <c r="L1698" t="str">
        <f t="shared" si="52"/>
        <v>Nov</v>
      </c>
      <c r="M1698">
        <f t="shared" si="53"/>
        <v>11</v>
      </c>
    </row>
    <row r="1699" spans="1:13" x14ac:dyDescent="0.25">
      <c r="A1699" s="2" t="s">
        <v>1772</v>
      </c>
      <c r="B1699" s="3">
        <v>45974</v>
      </c>
      <c r="C1699" s="2" t="s">
        <v>61</v>
      </c>
      <c r="D1699" s="2" t="s">
        <v>61</v>
      </c>
      <c r="E1699" s="2" t="s">
        <v>62</v>
      </c>
      <c r="F1699" s="2" t="s">
        <v>20</v>
      </c>
      <c r="G1699" s="2" t="s">
        <v>21</v>
      </c>
      <c r="H1699" s="2">
        <v>3</v>
      </c>
      <c r="I1699" s="4">
        <v>8</v>
      </c>
      <c r="J1699" s="2" t="s">
        <v>22</v>
      </c>
      <c r="K1699">
        <f>H1699*I1699</f>
        <v>24</v>
      </c>
      <c r="L1699" t="str">
        <f t="shared" si="52"/>
        <v>Nov</v>
      </c>
      <c r="M1699">
        <f t="shared" si="53"/>
        <v>11</v>
      </c>
    </row>
    <row r="1700" spans="1:13" x14ac:dyDescent="0.25">
      <c r="A1700" s="2" t="s">
        <v>1773</v>
      </c>
      <c r="B1700" s="3">
        <v>45975</v>
      </c>
      <c r="C1700" s="2" t="s">
        <v>120</v>
      </c>
      <c r="D1700" s="2" t="s">
        <v>120</v>
      </c>
      <c r="E1700" s="2" t="s">
        <v>76</v>
      </c>
      <c r="F1700" s="2" t="s">
        <v>20</v>
      </c>
      <c r="G1700" s="2" t="s">
        <v>21</v>
      </c>
      <c r="H1700" s="2">
        <v>3</v>
      </c>
      <c r="I1700" s="4">
        <v>42.42</v>
      </c>
      <c r="J1700" s="2" t="s">
        <v>16</v>
      </c>
      <c r="K1700">
        <f>H1700*I1700</f>
        <v>127.26</v>
      </c>
      <c r="L1700" t="str">
        <f t="shared" si="52"/>
        <v>Nov</v>
      </c>
      <c r="M1700">
        <f t="shared" si="53"/>
        <v>11</v>
      </c>
    </row>
    <row r="1701" spans="1:13" x14ac:dyDescent="0.25">
      <c r="A1701" s="2" t="s">
        <v>1774</v>
      </c>
      <c r="B1701" s="3">
        <v>45975</v>
      </c>
      <c r="C1701" s="2" t="s">
        <v>61</v>
      </c>
      <c r="D1701" s="2" t="s">
        <v>61</v>
      </c>
      <c r="E1701" s="2" t="s">
        <v>62</v>
      </c>
      <c r="F1701" s="2" t="s">
        <v>20</v>
      </c>
      <c r="G1701" s="2" t="s">
        <v>21</v>
      </c>
      <c r="H1701" s="2">
        <v>3</v>
      </c>
      <c r="I1701" s="4">
        <v>8.08</v>
      </c>
      <c r="J1701" s="2" t="s">
        <v>22</v>
      </c>
      <c r="K1701">
        <f>H1701*I1701</f>
        <v>24.240000000000002</v>
      </c>
      <c r="L1701" t="str">
        <f t="shared" si="52"/>
        <v>Nov</v>
      </c>
      <c r="M1701">
        <f t="shared" si="53"/>
        <v>11</v>
      </c>
    </row>
    <row r="1702" spans="1:13" x14ac:dyDescent="0.25">
      <c r="A1702" s="2" t="s">
        <v>1775</v>
      </c>
      <c r="B1702" s="3">
        <v>45976</v>
      </c>
      <c r="C1702" s="2" t="s">
        <v>11</v>
      </c>
      <c r="D1702" s="2" t="s">
        <v>12</v>
      </c>
      <c r="E1702" s="2" t="s">
        <v>13</v>
      </c>
      <c r="F1702" s="2" t="s">
        <v>14</v>
      </c>
      <c r="G1702" s="2" t="s">
        <v>15</v>
      </c>
      <c r="H1702" s="2">
        <v>4</v>
      </c>
      <c r="I1702" s="4">
        <v>32.32</v>
      </c>
      <c r="J1702" s="2" t="s">
        <v>16</v>
      </c>
      <c r="K1702">
        <f>H1702*I1702</f>
        <v>129.28</v>
      </c>
      <c r="L1702" t="str">
        <f t="shared" si="52"/>
        <v>Nov</v>
      </c>
      <c r="M1702">
        <f t="shared" si="53"/>
        <v>11</v>
      </c>
    </row>
    <row r="1703" spans="1:13" x14ac:dyDescent="0.25">
      <c r="A1703" s="2" t="s">
        <v>1776</v>
      </c>
      <c r="B1703" s="3">
        <v>45976</v>
      </c>
      <c r="C1703" s="2" t="s">
        <v>86</v>
      </c>
      <c r="D1703" s="2" t="s">
        <v>48</v>
      </c>
      <c r="E1703" s="2" t="s">
        <v>49</v>
      </c>
      <c r="F1703" s="2" t="s">
        <v>14</v>
      </c>
      <c r="G1703" s="2" t="s">
        <v>87</v>
      </c>
      <c r="H1703" s="2">
        <v>1</v>
      </c>
      <c r="I1703" s="4">
        <v>126.25</v>
      </c>
      <c r="J1703" s="2" t="s">
        <v>16</v>
      </c>
      <c r="K1703">
        <f>H1703*I1703</f>
        <v>126.25</v>
      </c>
      <c r="L1703" t="str">
        <f t="shared" si="52"/>
        <v>Nov</v>
      </c>
      <c r="M1703">
        <f t="shared" si="53"/>
        <v>11</v>
      </c>
    </row>
    <row r="1704" spans="1:13" x14ac:dyDescent="0.25">
      <c r="A1704" s="2" t="s">
        <v>1777</v>
      </c>
      <c r="B1704" s="3">
        <v>45976</v>
      </c>
      <c r="C1704" s="2" t="s">
        <v>48</v>
      </c>
      <c r="D1704" s="2" t="s">
        <v>48</v>
      </c>
      <c r="E1704" s="2" t="s">
        <v>49</v>
      </c>
      <c r="F1704" s="2" t="s">
        <v>20</v>
      </c>
      <c r="G1704" s="2" t="s">
        <v>21</v>
      </c>
      <c r="H1704" s="2">
        <v>2</v>
      </c>
      <c r="I1704" s="4">
        <v>55.55</v>
      </c>
      <c r="J1704" s="2" t="s">
        <v>38</v>
      </c>
      <c r="K1704">
        <f>H1704*I1704</f>
        <v>111.1</v>
      </c>
      <c r="L1704" t="str">
        <f t="shared" si="52"/>
        <v>Nov</v>
      </c>
      <c r="M1704">
        <f t="shared" si="53"/>
        <v>11</v>
      </c>
    </row>
    <row r="1705" spans="1:13" x14ac:dyDescent="0.25">
      <c r="A1705" s="2" t="s">
        <v>1778</v>
      </c>
      <c r="B1705" s="3">
        <v>45976</v>
      </c>
      <c r="C1705" s="2" t="s">
        <v>40</v>
      </c>
      <c r="D1705" s="2" t="s">
        <v>40</v>
      </c>
      <c r="E1705" s="2" t="s">
        <v>19</v>
      </c>
      <c r="F1705" s="2" t="s">
        <v>20</v>
      </c>
      <c r="G1705" s="2" t="s">
        <v>21</v>
      </c>
      <c r="H1705" s="2">
        <v>1</v>
      </c>
      <c r="I1705" s="4">
        <v>46</v>
      </c>
      <c r="J1705" s="2" t="s">
        <v>38</v>
      </c>
      <c r="K1705">
        <f>H1705*I1705</f>
        <v>46</v>
      </c>
      <c r="L1705" t="str">
        <f t="shared" si="52"/>
        <v>Nov</v>
      </c>
      <c r="M1705">
        <f t="shared" si="53"/>
        <v>11</v>
      </c>
    </row>
    <row r="1706" spans="1:13" x14ac:dyDescent="0.25">
      <c r="A1706" s="2" t="s">
        <v>1779</v>
      </c>
      <c r="B1706" s="3">
        <v>45976</v>
      </c>
      <c r="C1706" s="2" t="s">
        <v>61</v>
      </c>
      <c r="D1706" s="2" t="s">
        <v>61</v>
      </c>
      <c r="E1706" s="2" t="s">
        <v>62</v>
      </c>
      <c r="F1706" s="2" t="s">
        <v>20</v>
      </c>
      <c r="G1706" s="2" t="s">
        <v>21</v>
      </c>
      <c r="H1706" s="2">
        <v>1</v>
      </c>
      <c r="I1706" s="4">
        <v>8.08</v>
      </c>
      <c r="J1706" s="2" t="s">
        <v>31</v>
      </c>
      <c r="K1706">
        <f>H1706*I1706</f>
        <v>8.08</v>
      </c>
      <c r="L1706" t="str">
        <f t="shared" si="52"/>
        <v>Nov</v>
      </c>
      <c r="M1706">
        <f t="shared" si="53"/>
        <v>11</v>
      </c>
    </row>
    <row r="1707" spans="1:13" x14ac:dyDescent="0.25">
      <c r="A1707" s="2" t="s">
        <v>1780</v>
      </c>
      <c r="B1707" s="3">
        <v>45976</v>
      </c>
      <c r="C1707" s="2" t="s">
        <v>97</v>
      </c>
      <c r="D1707" s="2" t="s">
        <v>98</v>
      </c>
      <c r="E1707" s="2" t="s">
        <v>99</v>
      </c>
      <c r="F1707" s="2" t="s">
        <v>14</v>
      </c>
      <c r="G1707" s="2" t="s">
        <v>37</v>
      </c>
      <c r="H1707" s="2">
        <v>2</v>
      </c>
      <c r="I1707" s="4">
        <v>183.82</v>
      </c>
      <c r="J1707" s="2" t="s">
        <v>31</v>
      </c>
      <c r="K1707">
        <f>H1707*I1707</f>
        <v>367.64</v>
      </c>
      <c r="L1707" t="str">
        <f t="shared" si="52"/>
        <v>Nov</v>
      </c>
      <c r="M1707">
        <f t="shared" si="53"/>
        <v>11</v>
      </c>
    </row>
    <row r="1708" spans="1:13" x14ac:dyDescent="0.25">
      <c r="A1708" s="2" t="s">
        <v>1781</v>
      </c>
      <c r="B1708" s="3">
        <v>45977</v>
      </c>
      <c r="C1708" s="2" t="s">
        <v>11</v>
      </c>
      <c r="D1708" s="2" t="s">
        <v>12</v>
      </c>
      <c r="E1708" s="2" t="s">
        <v>13</v>
      </c>
      <c r="F1708" s="2" t="s">
        <v>14</v>
      </c>
      <c r="G1708" s="2" t="s">
        <v>15</v>
      </c>
      <c r="H1708" s="2">
        <v>1</v>
      </c>
      <c r="I1708" s="4">
        <v>32</v>
      </c>
      <c r="J1708" s="2" t="s">
        <v>16</v>
      </c>
      <c r="K1708">
        <f>H1708*I1708</f>
        <v>32</v>
      </c>
      <c r="L1708" t="str">
        <f t="shared" si="52"/>
        <v>Nov</v>
      </c>
      <c r="M1708">
        <f t="shared" si="53"/>
        <v>11</v>
      </c>
    </row>
    <row r="1709" spans="1:13" x14ac:dyDescent="0.25">
      <c r="A1709" s="2" t="s">
        <v>1782</v>
      </c>
      <c r="B1709" s="3">
        <v>45977</v>
      </c>
      <c r="C1709" s="2" t="s">
        <v>11</v>
      </c>
      <c r="D1709" s="2" t="s">
        <v>12</v>
      </c>
      <c r="E1709" s="2" t="s">
        <v>13</v>
      </c>
      <c r="F1709" s="2" t="s">
        <v>14</v>
      </c>
      <c r="G1709" s="2" t="s">
        <v>15</v>
      </c>
      <c r="H1709" s="2">
        <v>4</v>
      </c>
      <c r="I1709" s="4">
        <v>32</v>
      </c>
      <c r="J1709" s="2" t="s">
        <v>16</v>
      </c>
      <c r="K1709">
        <f>H1709*I1709</f>
        <v>128</v>
      </c>
      <c r="L1709" t="str">
        <f t="shared" si="52"/>
        <v>Nov</v>
      </c>
      <c r="M1709">
        <f t="shared" si="53"/>
        <v>11</v>
      </c>
    </row>
    <row r="1710" spans="1:13" x14ac:dyDescent="0.25">
      <c r="A1710" s="2" t="s">
        <v>1783</v>
      </c>
      <c r="B1710" s="3">
        <v>45977</v>
      </c>
      <c r="C1710" s="2" t="s">
        <v>75</v>
      </c>
      <c r="D1710" s="2" t="s">
        <v>75</v>
      </c>
      <c r="E1710" s="2" t="s">
        <v>76</v>
      </c>
      <c r="F1710" s="2" t="s">
        <v>20</v>
      </c>
      <c r="G1710" s="2" t="s">
        <v>21</v>
      </c>
      <c r="H1710" s="2">
        <v>6</v>
      </c>
      <c r="I1710" s="4">
        <v>12</v>
      </c>
      <c r="J1710" s="2" t="s">
        <v>38</v>
      </c>
      <c r="K1710">
        <f>H1710*I1710</f>
        <v>72</v>
      </c>
      <c r="L1710" t="str">
        <f t="shared" si="52"/>
        <v>Nov</v>
      </c>
      <c r="M1710">
        <f t="shared" si="53"/>
        <v>11</v>
      </c>
    </row>
    <row r="1711" spans="1:13" x14ac:dyDescent="0.25">
      <c r="A1711" s="2" t="s">
        <v>1784</v>
      </c>
      <c r="B1711" s="3">
        <v>45977</v>
      </c>
      <c r="C1711" s="2" t="s">
        <v>75</v>
      </c>
      <c r="D1711" s="2" t="s">
        <v>75</v>
      </c>
      <c r="E1711" s="2" t="s">
        <v>76</v>
      </c>
      <c r="F1711" s="2" t="s">
        <v>20</v>
      </c>
      <c r="G1711" s="2" t="s">
        <v>21</v>
      </c>
      <c r="H1711" s="2">
        <v>6</v>
      </c>
      <c r="I1711" s="4">
        <v>12</v>
      </c>
      <c r="J1711" s="2" t="s">
        <v>22</v>
      </c>
      <c r="K1711">
        <f>H1711*I1711</f>
        <v>72</v>
      </c>
      <c r="L1711" t="str">
        <f t="shared" si="52"/>
        <v>Nov</v>
      </c>
      <c r="M1711">
        <f t="shared" si="53"/>
        <v>11</v>
      </c>
    </row>
    <row r="1712" spans="1:13" x14ac:dyDescent="0.25">
      <c r="A1712" s="2" t="s">
        <v>1785</v>
      </c>
      <c r="B1712" s="3">
        <v>45977</v>
      </c>
      <c r="C1712" s="2" t="s">
        <v>101</v>
      </c>
      <c r="D1712" s="2" t="s">
        <v>102</v>
      </c>
      <c r="E1712" s="2" t="s">
        <v>36</v>
      </c>
      <c r="F1712" s="2" t="s">
        <v>14</v>
      </c>
      <c r="G1712" s="2" t="s">
        <v>103</v>
      </c>
      <c r="H1712" s="2">
        <v>3</v>
      </c>
      <c r="I1712" s="4">
        <v>92.92</v>
      </c>
      <c r="J1712" s="2" t="s">
        <v>31</v>
      </c>
      <c r="K1712">
        <f>H1712*I1712</f>
        <v>278.76</v>
      </c>
      <c r="L1712" t="str">
        <f t="shared" si="52"/>
        <v>Nov</v>
      </c>
      <c r="M1712">
        <f t="shared" si="53"/>
        <v>11</v>
      </c>
    </row>
    <row r="1713" spans="1:13" x14ac:dyDescent="0.25">
      <c r="A1713" s="2" t="s">
        <v>1786</v>
      </c>
      <c r="B1713" s="3">
        <v>45977</v>
      </c>
      <c r="C1713" s="2" t="s">
        <v>124</v>
      </c>
      <c r="D1713" s="2" t="s">
        <v>18</v>
      </c>
      <c r="E1713" s="2" t="s">
        <v>19</v>
      </c>
      <c r="F1713" s="2" t="s">
        <v>14</v>
      </c>
      <c r="G1713" s="2" t="s">
        <v>125</v>
      </c>
      <c r="H1713" s="2">
        <v>3</v>
      </c>
      <c r="I1713" s="4">
        <v>45.45</v>
      </c>
      <c r="J1713" s="2" t="s">
        <v>16</v>
      </c>
      <c r="K1713">
        <f>H1713*I1713</f>
        <v>136.35000000000002</v>
      </c>
      <c r="L1713" t="str">
        <f t="shared" si="52"/>
        <v>Nov</v>
      </c>
      <c r="M1713">
        <f t="shared" si="53"/>
        <v>11</v>
      </c>
    </row>
    <row r="1714" spans="1:13" x14ac:dyDescent="0.25">
      <c r="A1714" s="2" t="s">
        <v>1787</v>
      </c>
      <c r="B1714" s="3">
        <v>45978</v>
      </c>
      <c r="C1714" s="2" t="s">
        <v>75</v>
      </c>
      <c r="D1714" s="2" t="s">
        <v>75</v>
      </c>
      <c r="E1714" s="2" t="s">
        <v>76</v>
      </c>
      <c r="F1714" s="2" t="s">
        <v>20</v>
      </c>
      <c r="G1714" s="2" t="s">
        <v>21</v>
      </c>
      <c r="H1714" s="2">
        <v>6</v>
      </c>
      <c r="I1714" s="4">
        <v>12.12</v>
      </c>
      <c r="J1714" s="2" t="s">
        <v>16</v>
      </c>
      <c r="K1714">
        <f>H1714*I1714</f>
        <v>72.72</v>
      </c>
      <c r="L1714" t="str">
        <f t="shared" si="52"/>
        <v>Nov</v>
      </c>
      <c r="M1714">
        <f t="shared" si="53"/>
        <v>11</v>
      </c>
    </row>
    <row r="1715" spans="1:13" x14ac:dyDescent="0.25">
      <c r="A1715" s="2" t="s">
        <v>1788</v>
      </c>
      <c r="B1715" s="3">
        <v>45978</v>
      </c>
      <c r="C1715" s="2" t="s">
        <v>120</v>
      </c>
      <c r="D1715" s="2" t="s">
        <v>120</v>
      </c>
      <c r="E1715" s="2" t="s">
        <v>76</v>
      </c>
      <c r="F1715" s="2" t="s">
        <v>20</v>
      </c>
      <c r="G1715" s="2" t="s">
        <v>21</v>
      </c>
      <c r="H1715" s="2">
        <v>6</v>
      </c>
      <c r="I1715" s="4">
        <v>42.42</v>
      </c>
      <c r="J1715" s="2" t="s">
        <v>16</v>
      </c>
      <c r="K1715">
        <f>H1715*I1715</f>
        <v>254.52</v>
      </c>
      <c r="L1715" t="str">
        <f t="shared" si="52"/>
        <v>Nov</v>
      </c>
      <c r="M1715">
        <f t="shared" si="53"/>
        <v>11</v>
      </c>
    </row>
    <row r="1716" spans="1:13" x14ac:dyDescent="0.25">
      <c r="A1716" s="2" t="s">
        <v>1789</v>
      </c>
      <c r="B1716" s="3">
        <v>45978</v>
      </c>
      <c r="C1716" s="2" t="s">
        <v>52</v>
      </c>
      <c r="D1716" s="2" t="s">
        <v>30</v>
      </c>
      <c r="E1716" s="2" t="s">
        <v>13</v>
      </c>
      <c r="F1716" s="2" t="s">
        <v>14</v>
      </c>
      <c r="G1716" s="2" t="s">
        <v>53</v>
      </c>
      <c r="H1716" s="2">
        <v>5</v>
      </c>
      <c r="I1716" s="4">
        <v>42.42</v>
      </c>
      <c r="J1716" s="2" t="s">
        <v>16</v>
      </c>
      <c r="K1716">
        <f>H1716*I1716</f>
        <v>212.10000000000002</v>
      </c>
      <c r="L1716" t="str">
        <f t="shared" si="52"/>
        <v>Nov</v>
      </c>
      <c r="M1716">
        <f t="shared" si="53"/>
        <v>11</v>
      </c>
    </row>
    <row r="1717" spans="1:13" x14ac:dyDescent="0.25">
      <c r="A1717" s="2" t="s">
        <v>1790</v>
      </c>
      <c r="B1717" s="3">
        <v>45980</v>
      </c>
      <c r="C1717" s="2" t="s">
        <v>48</v>
      </c>
      <c r="D1717" s="2" t="s">
        <v>48</v>
      </c>
      <c r="E1717" s="2" t="s">
        <v>49</v>
      </c>
      <c r="F1717" s="2" t="s">
        <v>20</v>
      </c>
      <c r="G1717" s="2" t="s">
        <v>21</v>
      </c>
      <c r="H1717" s="2">
        <v>5</v>
      </c>
      <c r="I1717" s="4">
        <v>55</v>
      </c>
      <c r="J1717" s="2" t="s">
        <v>16</v>
      </c>
      <c r="K1717">
        <f>H1717*I1717</f>
        <v>275</v>
      </c>
      <c r="L1717" t="str">
        <f t="shared" si="52"/>
        <v>Nov</v>
      </c>
      <c r="M1717">
        <f t="shared" si="53"/>
        <v>11</v>
      </c>
    </row>
    <row r="1718" spans="1:13" x14ac:dyDescent="0.25">
      <c r="A1718" s="2" t="s">
        <v>1791</v>
      </c>
      <c r="B1718" s="3">
        <v>45980</v>
      </c>
      <c r="C1718" s="2" t="s">
        <v>75</v>
      </c>
      <c r="D1718" s="2" t="s">
        <v>75</v>
      </c>
      <c r="E1718" s="2" t="s">
        <v>76</v>
      </c>
      <c r="F1718" s="2" t="s">
        <v>20</v>
      </c>
      <c r="G1718" s="2" t="s">
        <v>21</v>
      </c>
      <c r="H1718" s="2">
        <v>3</v>
      </c>
      <c r="I1718" s="4">
        <v>12</v>
      </c>
      <c r="J1718" s="2" t="s">
        <v>38</v>
      </c>
      <c r="K1718">
        <f>H1718*I1718</f>
        <v>36</v>
      </c>
      <c r="L1718" t="str">
        <f t="shared" si="52"/>
        <v>Nov</v>
      </c>
      <c r="M1718">
        <f t="shared" si="53"/>
        <v>11</v>
      </c>
    </row>
    <row r="1719" spans="1:13" x14ac:dyDescent="0.25">
      <c r="A1719" s="2" t="s">
        <v>1792</v>
      </c>
      <c r="B1719" s="3">
        <v>45980</v>
      </c>
      <c r="C1719" s="2" t="s">
        <v>18</v>
      </c>
      <c r="D1719" s="2" t="s">
        <v>18</v>
      </c>
      <c r="E1719" s="2" t="s">
        <v>19</v>
      </c>
      <c r="F1719" s="2" t="s">
        <v>20</v>
      </c>
      <c r="G1719" s="2" t="s">
        <v>21</v>
      </c>
      <c r="H1719" s="2">
        <v>2</v>
      </c>
      <c r="I1719" s="4">
        <v>15.15</v>
      </c>
      <c r="J1719" s="2" t="s">
        <v>22</v>
      </c>
      <c r="K1719">
        <f>H1719*I1719</f>
        <v>30.3</v>
      </c>
      <c r="L1719" t="str">
        <f t="shared" si="52"/>
        <v>Nov</v>
      </c>
      <c r="M1719">
        <f t="shared" si="53"/>
        <v>11</v>
      </c>
    </row>
    <row r="1720" spans="1:13" x14ac:dyDescent="0.25">
      <c r="A1720" s="2" t="s">
        <v>1793</v>
      </c>
      <c r="B1720" s="3">
        <v>45980</v>
      </c>
      <c r="C1720" s="2" t="s">
        <v>60</v>
      </c>
      <c r="D1720" s="2" t="s">
        <v>61</v>
      </c>
      <c r="E1720" s="2" t="s">
        <v>62</v>
      </c>
      <c r="F1720" s="2" t="s">
        <v>14</v>
      </c>
      <c r="G1720" s="2" t="s">
        <v>63</v>
      </c>
      <c r="H1720" s="2">
        <v>2</v>
      </c>
      <c r="I1720" s="4">
        <v>26.26</v>
      </c>
      <c r="J1720" s="2" t="s">
        <v>16</v>
      </c>
      <c r="K1720">
        <f>H1720*I1720</f>
        <v>52.52</v>
      </c>
      <c r="L1720" t="str">
        <f t="shared" si="52"/>
        <v>Nov</v>
      </c>
      <c r="M1720">
        <f t="shared" si="53"/>
        <v>11</v>
      </c>
    </row>
    <row r="1721" spans="1:13" x14ac:dyDescent="0.25">
      <c r="A1721" s="2" t="s">
        <v>1794</v>
      </c>
      <c r="B1721" s="3">
        <v>45980</v>
      </c>
      <c r="C1721" s="2" t="s">
        <v>97</v>
      </c>
      <c r="D1721" s="2" t="s">
        <v>98</v>
      </c>
      <c r="E1721" s="2" t="s">
        <v>99</v>
      </c>
      <c r="F1721" s="2" t="s">
        <v>14</v>
      </c>
      <c r="G1721" s="2" t="s">
        <v>37</v>
      </c>
      <c r="H1721" s="2">
        <v>1</v>
      </c>
      <c r="I1721" s="4">
        <v>183.82</v>
      </c>
      <c r="J1721" s="2" t="s">
        <v>31</v>
      </c>
      <c r="K1721">
        <f>H1721*I1721</f>
        <v>183.82</v>
      </c>
      <c r="L1721" t="str">
        <f t="shared" si="52"/>
        <v>Nov</v>
      </c>
      <c r="M1721">
        <f t="shared" si="53"/>
        <v>11</v>
      </c>
    </row>
    <row r="1722" spans="1:13" x14ac:dyDescent="0.25">
      <c r="A1722" s="2" t="s">
        <v>1795</v>
      </c>
      <c r="B1722" s="3">
        <v>45980</v>
      </c>
      <c r="C1722" s="2" t="s">
        <v>42</v>
      </c>
      <c r="D1722" s="2" t="s">
        <v>43</v>
      </c>
      <c r="E1722" s="2" t="s">
        <v>44</v>
      </c>
      <c r="F1722" s="2" t="s">
        <v>14</v>
      </c>
      <c r="G1722" s="2" t="s">
        <v>45</v>
      </c>
      <c r="H1722" s="2">
        <v>3</v>
      </c>
      <c r="I1722" s="4">
        <v>46.46</v>
      </c>
      <c r="J1722" s="2" t="s">
        <v>16</v>
      </c>
      <c r="K1722">
        <f>H1722*I1722</f>
        <v>139.38</v>
      </c>
      <c r="L1722" t="str">
        <f t="shared" si="52"/>
        <v>Nov</v>
      </c>
      <c r="M1722">
        <f t="shared" si="53"/>
        <v>11</v>
      </c>
    </row>
    <row r="1723" spans="1:13" x14ac:dyDescent="0.25">
      <c r="A1723" s="2" t="s">
        <v>1796</v>
      </c>
      <c r="B1723" s="3">
        <v>45981</v>
      </c>
      <c r="C1723" s="2" t="s">
        <v>11</v>
      </c>
      <c r="D1723" s="2" t="s">
        <v>12</v>
      </c>
      <c r="E1723" s="2" t="s">
        <v>13</v>
      </c>
      <c r="F1723" s="2" t="s">
        <v>14</v>
      </c>
      <c r="G1723" s="2" t="s">
        <v>15</v>
      </c>
      <c r="H1723" s="2">
        <v>1</v>
      </c>
      <c r="I1723" s="4">
        <v>32.32</v>
      </c>
      <c r="J1723" s="2" t="s">
        <v>31</v>
      </c>
      <c r="K1723">
        <f>H1723*I1723</f>
        <v>32.32</v>
      </c>
      <c r="L1723" t="str">
        <f t="shared" si="52"/>
        <v>Nov</v>
      </c>
      <c r="M1723">
        <f t="shared" si="53"/>
        <v>11</v>
      </c>
    </row>
    <row r="1724" spans="1:13" x14ac:dyDescent="0.25">
      <c r="A1724" s="2" t="s">
        <v>1797</v>
      </c>
      <c r="B1724" s="3">
        <v>45981</v>
      </c>
      <c r="C1724" s="2" t="s">
        <v>12</v>
      </c>
      <c r="D1724" s="2" t="s">
        <v>12</v>
      </c>
      <c r="E1724" s="2" t="s">
        <v>13</v>
      </c>
      <c r="F1724" s="2" t="s">
        <v>20</v>
      </c>
      <c r="G1724" s="2" t="s">
        <v>21</v>
      </c>
      <c r="H1724" s="2">
        <v>5</v>
      </c>
      <c r="I1724" s="4">
        <v>14.14</v>
      </c>
      <c r="J1724" s="2" t="s">
        <v>38</v>
      </c>
      <c r="K1724">
        <f>H1724*I1724</f>
        <v>70.7</v>
      </c>
      <c r="L1724" t="str">
        <f t="shared" si="52"/>
        <v>Nov</v>
      </c>
      <c r="M1724">
        <f t="shared" si="53"/>
        <v>11</v>
      </c>
    </row>
    <row r="1725" spans="1:13" x14ac:dyDescent="0.25">
      <c r="A1725" s="2" t="s">
        <v>1798</v>
      </c>
      <c r="B1725" s="3">
        <v>45981</v>
      </c>
      <c r="C1725" s="2" t="s">
        <v>119</v>
      </c>
      <c r="D1725" s="2" t="s">
        <v>120</v>
      </c>
      <c r="E1725" s="2" t="s">
        <v>76</v>
      </c>
      <c r="F1725" s="2" t="s">
        <v>14</v>
      </c>
      <c r="G1725" s="2" t="s">
        <v>121</v>
      </c>
      <c r="H1725" s="2">
        <v>1</v>
      </c>
      <c r="I1725" s="4">
        <v>191.9</v>
      </c>
      <c r="J1725" s="2" t="s">
        <v>31</v>
      </c>
      <c r="K1725">
        <f>H1725*I1725</f>
        <v>191.9</v>
      </c>
      <c r="L1725" t="str">
        <f t="shared" si="52"/>
        <v>Nov</v>
      </c>
      <c r="M1725">
        <f t="shared" si="53"/>
        <v>11</v>
      </c>
    </row>
    <row r="1726" spans="1:13" x14ac:dyDescent="0.25">
      <c r="A1726" s="2" t="s">
        <v>1799</v>
      </c>
      <c r="B1726" s="3">
        <v>45981</v>
      </c>
      <c r="C1726" s="2" t="s">
        <v>102</v>
      </c>
      <c r="D1726" s="2" t="s">
        <v>102</v>
      </c>
      <c r="E1726" s="2" t="s">
        <v>36</v>
      </c>
      <c r="F1726" s="2" t="s">
        <v>20</v>
      </c>
      <c r="G1726" s="2" t="s">
        <v>21</v>
      </c>
      <c r="H1726" s="2">
        <v>2</v>
      </c>
      <c r="I1726" s="4">
        <v>35.35</v>
      </c>
      <c r="J1726" s="2" t="s">
        <v>16</v>
      </c>
      <c r="K1726">
        <f>H1726*I1726</f>
        <v>70.7</v>
      </c>
      <c r="L1726" t="str">
        <f t="shared" si="52"/>
        <v>Nov</v>
      </c>
      <c r="M1726">
        <f t="shared" si="53"/>
        <v>11</v>
      </c>
    </row>
    <row r="1727" spans="1:13" x14ac:dyDescent="0.25">
      <c r="A1727" s="2" t="s">
        <v>1800</v>
      </c>
      <c r="B1727" s="3">
        <v>45981</v>
      </c>
      <c r="C1727" s="2" t="s">
        <v>34</v>
      </c>
      <c r="D1727" s="2" t="s">
        <v>35</v>
      </c>
      <c r="E1727" s="2" t="s">
        <v>36</v>
      </c>
      <c r="F1727" s="2" t="s">
        <v>14</v>
      </c>
      <c r="G1727" s="2" t="s">
        <v>37</v>
      </c>
      <c r="H1727" s="2">
        <v>1</v>
      </c>
      <c r="I1727" s="4">
        <v>166.65</v>
      </c>
      <c r="J1727" s="2" t="s">
        <v>16</v>
      </c>
      <c r="K1727">
        <f>H1727*I1727</f>
        <v>166.65</v>
      </c>
      <c r="L1727" t="str">
        <f t="shared" si="52"/>
        <v>Nov</v>
      </c>
      <c r="M1727">
        <f t="shared" si="53"/>
        <v>11</v>
      </c>
    </row>
    <row r="1728" spans="1:13" x14ac:dyDescent="0.25">
      <c r="A1728" s="2" t="s">
        <v>1801</v>
      </c>
      <c r="B1728" s="3">
        <v>45981</v>
      </c>
      <c r="C1728" s="2" t="s">
        <v>124</v>
      </c>
      <c r="D1728" s="2" t="s">
        <v>18</v>
      </c>
      <c r="E1728" s="2" t="s">
        <v>19</v>
      </c>
      <c r="F1728" s="2" t="s">
        <v>14</v>
      </c>
      <c r="G1728" s="2" t="s">
        <v>125</v>
      </c>
      <c r="H1728" s="2">
        <v>6</v>
      </c>
      <c r="I1728" s="4">
        <v>45.45</v>
      </c>
      <c r="J1728" s="2" t="s">
        <v>16</v>
      </c>
      <c r="K1728">
        <f>H1728*I1728</f>
        <v>272.70000000000005</v>
      </c>
      <c r="L1728" t="str">
        <f t="shared" si="52"/>
        <v>Nov</v>
      </c>
      <c r="M1728">
        <f t="shared" si="53"/>
        <v>11</v>
      </c>
    </row>
    <row r="1729" spans="1:13" x14ac:dyDescent="0.25">
      <c r="A1729" s="2" t="s">
        <v>1802</v>
      </c>
      <c r="B1729" s="3">
        <v>45981</v>
      </c>
      <c r="C1729" s="2" t="s">
        <v>61</v>
      </c>
      <c r="D1729" s="2" t="s">
        <v>61</v>
      </c>
      <c r="E1729" s="2" t="s">
        <v>62</v>
      </c>
      <c r="F1729" s="2" t="s">
        <v>20</v>
      </c>
      <c r="G1729" s="2" t="s">
        <v>21</v>
      </c>
      <c r="H1729" s="2">
        <v>2</v>
      </c>
      <c r="I1729" s="4">
        <v>8</v>
      </c>
      <c r="J1729" s="2" t="s">
        <v>16</v>
      </c>
      <c r="K1729">
        <f>H1729*I1729</f>
        <v>16</v>
      </c>
      <c r="L1729" t="str">
        <f t="shared" si="52"/>
        <v>Nov</v>
      </c>
      <c r="M1729">
        <f t="shared" si="53"/>
        <v>11</v>
      </c>
    </row>
    <row r="1730" spans="1:13" x14ac:dyDescent="0.25">
      <c r="A1730" s="2" t="s">
        <v>1803</v>
      </c>
      <c r="B1730" s="3">
        <v>45981</v>
      </c>
      <c r="C1730" s="2" t="s">
        <v>109</v>
      </c>
      <c r="D1730" s="2" t="s">
        <v>109</v>
      </c>
      <c r="E1730" s="2" t="s">
        <v>13</v>
      </c>
      <c r="F1730" s="2" t="s">
        <v>20</v>
      </c>
      <c r="G1730" s="2" t="s">
        <v>21</v>
      </c>
      <c r="H1730" s="2">
        <v>5</v>
      </c>
      <c r="I1730" s="4">
        <v>20</v>
      </c>
      <c r="J1730" s="2" t="s">
        <v>31</v>
      </c>
      <c r="K1730">
        <f>H1730*I1730</f>
        <v>100</v>
      </c>
      <c r="L1730" t="str">
        <f t="shared" si="52"/>
        <v>Nov</v>
      </c>
      <c r="M1730">
        <f t="shared" si="53"/>
        <v>11</v>
      </c>
    </row>
    <row r="1731" spans="1:13" x14ac:dyDescent="0.25">
      <c r="A1731" s="2" t="s">
        <v>1804</v>
      </c>
      <c r="B1731" s="3">
        <v>45982</v>
      </c>
      <c r="C1731" s="2" t="s">
        <v>11</v>
      </c>
      <c r="D1731" s="2" t="s">
        <v>12</v>
      </c>
      <c r="E1731" s="2" t="s">
        <v>13</v>
      </c>
      <c r="F1731" s="2" t="s">
        <v>14</v>
      </c>
      <c r="G1731" s="2" t="s">
        <v>15</v>
      </c>
      <c r="H1731" s="2">
        <v>1</v>
      </c>
      <c r="I1731" s="4">
        <v>32.32</v>
      </c>
      <c r="J1731" s="2" t="s">
        <v>38</v>
      </c>
      <c r="K1731">
        <f>H1731*I1731</f>
        <v>32.32</v>
      </c>
      <c r="L1731" t="str">
        <f t="shared" ref="L1731:L1794" si="54">TEXT(B1731,"mmm")</f>
        <v>Nov</v>
      </c>
      <c r="M1731">
        <f t="shared" ref="M1731:M1794" si="55">MONTH(B1731)</f>
        <v>11</v>
      </c>
    </row>
    <row r="1732" spans="1:13" x14ac:dyDescent="0.25">
      <c r="A1732" s="2" t="s">
        <v>1805</v>
      </c>
      <c r="B1732" s="3">
        <v>45982</v>
      </c>
      <c r="C1732" s="2" t="s">
        <v>86</v>
      </c>
      <c r="D1732" s="2" t="s">
        <v>48</v>
      </c>
      <c r="E1732" s="2" t="s">
        <v>49</v>
      </c>
      <c r="F1732" s="2" t="s">
        <v>14</v>
      </c>
      <c r="G1732" s="2" t="s">
        <v>87</v>
      </c>
      <c r="H1732" s="2">
        <v>1</v>
      </c>
      <c r="I1732" s="4">
        <v>125</v>
      </c>
      <c r="J1732" s="2" t="s">
        <v>16</v>
      </c>
      <c r="K1732">
        <f>H1732*I1732</f>
        <v>125</v>
      </c>
      <c r="L1732" t="str">
        <f t="shared" si="54"/>
        <v>Nov</v>
      </c>
      <c r="M1732">
        <f t="shared" si="55"/>
        <v>11</v>
      </c>
    </row>
    <row r="1733" spans="1:13" x14ac:dyDescent="0.25">
      <c r="A1733" s="2" t="s">
        <v>1806</v>
      </c>
      <c r="B1733" s="3">
        <v>45982</v>
      </c>
      <c r="C1733" s="2" t="s">
        <v>119</v>
      </c>
      <c r="D1733" s="2" t="s">
        <v>120</v>
      </c>
      <c r="E1733" s="2" t="s">
        <v>76</v>
      </c>
      <c r="F1733" s="2" t="s">
        <v>14</v>
      </c>
      <c r="G1733" s="2" t="s">
        <v>121</v>
      </c>
      <c r="H1733" s="2">
        <v>12</v>
      </c>
      <c r="I1733" s="4">
        <v>191.9</v>
      </c>
      <c r="J1733" s="2" t="s">
        <v>31</v>
      </c>
      <c r="K1733">
        <f>H1733*I1733</f>
        <v>2302.8000000000002</v>
      </c>
      <c r="L1733" t="str">
        <f t="shared" si="54"/>
        <v>Nov</v>
      </c>
      <c r="M1733">
        <f t="shared" si="55"/>
        <v>11</v>
      </c>
    </row>
    <row r="1734" spans="1:13" x14ac:dyDescent="0.25">
      <c r="A1734" s="2" t="s">
        <v>1807</v>
      </c>
      <c r="B1734" s="3">
        <v>45982</v>
      </c>
      <c r="C1734" s="2" t="s">
        <v>18</v>
      </c>
      <c r="D1734" s="2" t="s">
        <v>18</v>
      </c>
      <c r="E1734" s="2" t="s">
        <v>19</v>
      </c>
      <c r="F1734" s="2" t="s">
        <v>20</v>
      </c>
      <c r="G1734" s="2" t="s">
        <v>21</v>
      </c>
      <c r="H1734" s="2">
        <v>2</v>
      </c>
      <c r="I1734" s="4">
        <v>15</v>
      </c>
      <c r="J1734" s="2" t="s">
        <v>31</v>
      </c>
      <c r="K1734">
        <f>H1734*I1734</f>
        <v>30</v>
      </c>
      <c r="L1734" t="str">
        <f t="shared" si="54"/>
        <v>Nov</v>
      </c>
      <c r="M1734">
        <f t="shared" si="55"/>
        <v>11</v>
      </c>
    </row>
    <row r="1735" spans="1:13" x14ac:dyDescent="0.25">
      <c r="A1735" s="2" t="s">
        <v>1808</v>
      </c>
      <c r="B1735" s="3">
        <v>45982</v>
      </c>
      <c r="C1735" s="2" t="s">
        <v>190</v>
      </c>
      <c r="D1735" s="2" t="s">
        <v>40</v>
      </c>
      <c r="E1735" s="2" t="s">
        <v>19</v>
      </c>
      <c r="F1735" s="2" t="s">
        <v>14</v>
      </c>
      <c r="G1735" s="2" t="s">
        <v>191</v>
      </c>
      <c r="H1735" s="2">
        <v>3</v>
      </c>
      <c r="I1735" s="4">
        <v>142</v>
      </c>
      <c r="J1735" s="2" t="s">
        <v>22</v>
      </c>
      <c r="K1735">
        <f>H1735*I1735</f>
        <v>426</v>
      </c>
      <c r="L1735" t="str">
        <f t="shared" si="54"/>
        <v>Nov</v>
      </c>
      <c r="M1735">
        <f t="shared" si="55"/>
        <v>11</v>
      </c>
    </row>
    <row r="1736" spans="1:13" x14ac:dyDescent="0.25">
      <c r="A1736" s="2" t="s">
        <v>1809</v>
      </c>
      <c r="B1736" s="3">
        <v>45982</v>
      </c>
      <c r="C1736" s="2" t="s">
        <v>79</v>
      </c>
      <c r="D1736" s="2" t="s">
        <v>80</v>
      </c>
      <c r="E1736" s="2" t="s">
        <v>26</v>
      </c>
      <c r="F1736" s="2" t="s">
        <v>14</v>
      </c>
      <c r="G1736" s="2" t="s">
        <v>81</v>
      </c>
      <c r="H1736" s="2">
        <v>1</v>
      </c>
      <c r="I1736" s="4">
        <v>153.52000000000001</v>
      </c>
      <c r="J1736" s="2" t="s">
        <v>22</v>
      </c>
      <c r="K1736">
        <f>H1736*I1736</f>
        <v>153.52000000000001</v>
      </c>
      <c r="L1736" t="str">
        <f t="shared" si="54"/>
        <v>Nov</v>
      </c>
      <c r="M1736">
        <f t="shared" si="55"/>
        <v>11</v>
      </c>
    </row>
    <row r="1737" spans="1:13" x14ac:dyDescent="0.25">
      <c r="A1737" s="2" t="s">
        <v>1810</v>
      </c>
      <c r="B1737" s="3">
        <v>45982</v>
      </c>
      <c r="C1737" s="2" t="s">
        <v>79</v>
      </c>
      <c r="D1737" s="2" t="s">
        <v>80</v>
      </c>
      <c r="E1737" s="2" t="s">
        <v>26</v>
      </c>
      <c r="F1737" s="2" t="s">
        <v>14</v>
      </c>
      <c r="G1737" s="2" t="s">
        <v>81</v>
      </c>
      <c r="H1737" s="2">
        <v>1</v>
      </c>
      <c r="I1737" s="4">
        <v>152</v>
      </c>
      <c r="J1737" s="2" t="s">
        <v>22</v>
      </c>
      <c r="K1737">
        <f>H1737*I1737</f>
        <v>152</v>
      </c>
      <c r="L1737" t="str">
        <f t="shared" si="54"/>
        <v>Nov</v>
      </c>
      <c r="M1737">
        <f t="shared" si="55"/>
        <v>11</v>
      </c>
    </row>
    <row r="1738" spans="1:13" x14ac:dyDescent="0.25">
      <c r="A1738" s="2" t="s">
        <v>1811</v>
      </c>
      <c r="B1738" s="3">
        <v>45982</v>
      </c>
      <c r="C1738" s="2" t="s">
        <v>61</v>
      </c>
      <c r="D1738" s="2" t="s">
        <v>61</v>
      </c>
      <c r="E1738" s="2" t="s">
        <v>62</v>
      </c>
      <c r="F1738" s="2" t="s">
        <v>20</v>
      </c>
      <c r="G1738" s="2" t="s">
        <v>21</v>
      </c>
      <c r="H1738" s="2">
        <v>1</v>
      </c>
      <c r="I1738" s="4">
        <v>8</v>
      </c>
      <c r="J1738" s="2" t="s">
        <v>16</v>
      </c>
      <c r="K1738">
        <f>H1738*I1738</f>
        <v>8</v>
      </c>
      <c r="L1738" t="str">
        <f t="shared" si="54"/>
        <v>Nov</v>
      </c>
      <c r="M1738">
        <f t="shared" si="55"/>
        <v>11</v>
      </c>
    </row>
    <row r="1739" spans="1:13" x14ac:dyDescent="0.25">
      <c r="A1739" s="2" t="s">
        <v>1812</v>
      </c>
      <c r="B1739" s="3">
        <v>45982</v>
      </c>
      <c r="C1739" s="2" t="s">
        <v>61</v>
      </c>
      <c r="D1739" s="2" t="s">
        <v>61</v>
      </c>
      <c r="E1739" s="2" t="s">
        <v>62</v>
      </c>
      <c r="F1739" s="2" t="s">
        <v>20</v>
      </c>
      <c r="G1739" s="2" t="s">
        <v>21</v>
      </c>
      <c r="H1739" s="2">
        <v>1</v>
      </c>
      <c r="I1739" s="4">
        <v>8.08</v>
      </c>
      <c r="J1739" s="2" t="s">
        <v>31</v>
      </c>
      <c r="K1739">
        <f>H1739*I1739</f>
        <v>8.08</v>
      </c>
      <c r="L1739" t="str">
        <f t="shared" si="54"/>
        <v>Nov</v>
      </c>
      <c r="M1739">
        <f t="shared" si="55"/>
        <v>11</v>
      </c>
    </row>
    <row r="1740" spans="1:13" x14ac:dyDescent="0.25">
      <c r="A1740" s="2" t="s">
        <v>1813</v>
      </c>
      <c r="B1740" s="3">
        <v>45982</v>
      </c>
      <c r="C1740" s="2" t="s">
        <v>52</v>
      </c>
      <c r="D1740" s="2" t="s">
        <v>30</v>
      </c>
      <c r="E1740" s="2" t="s">
        <v>13</v>
      </c>
      <c r="F1740" s="2" t="s">
        <v>14</v>
      </c>
      <c r="G1740" s="2" t="s">
        <v>53</v>
      </c>
      <c r="H1740" s="2">
        <v>2</v>
      </c>
      <c r="I1740" s="4">
        <v>42.42</v>
      </c>
      <c r="J1740" s="2" t="s">
        <v>16</v>
      </c>
      <c r="K1740">
        <f>H1740*I1740</f>
        <v>84.84</v>
      </c>
      <c r="L1740" t="str">
        <f t="shared" si="54"/>
        <v>Nov</v>
      </c>
      <c r="M1740">
        <f t="shared" si="55"/>
        <v>11</v>
      </c>
    </row>
    <row r="1741" spans="1:13" x14ac:dyDescent="0.25">
      <c r="A1741" s="2" t="s">
        <v>1814</v>
      </c>
      <c r="B1741" s="3">
        <v>45983</v>
      </c>
      <c r="C1741" s="2" t="s">
        <v>48</v>
      </c>
      <c r="D1741" s="2" t="s">
        <v>48</v>
      </c>
      <c r="E1741" s="2" t="s">
        <v>49</v>
      </c>
      <c r="F1741" s="2" t="s">
        <v>20</v>
      </c>
      <c r="G1741" s="2" t="s">
        <v>21</v>
      </c>
      <c r="H1741" s="2">
        <v>3</v>
      </c>
      <c r="I1741" s="4">
        <v>55.55</v>
      </c>
      <c r="J1741" s="2" t="s">
        <v>38</v>
      </c>
      <c r="K1741">
        <f>H1741*I1741</f>
        <v>166.64999999999998</v>
      </c>
      <c r="L1741" t="str">
        <f t="shared" si="54"/>
        <v>Nov</v>
      </c>
      <c r="M1741">
        <f t="shared" si="55"/>
        <v>11</v>
      </c>
    </row>
    <row r="1742" spans="1:13" x14ac:dyDescent="0.25">
      <c r="A1742" s="2" t="s">
        <v>1815</v>
      </c>
      <c r="B1742" s="3">
        <v>45983</v>
      </c>
      <c r="C1742" s="2" t="s">
        <v>67</v>
      </c>
      <c r="D1742" s="2" t="s">
        <v>68</v>
      </c>
      <c r="E1742" s="2" t="s">
        <v>49</v>
      </c>
      <c r="F1742" s="2" t="s">
        <v>14</v>
      </c>
      <c r="G1742" s="2" t="s">
        <v>69</v>
      </c>
      <c r="H1742" s="2">
        <v>2</v>
      </c>
      <c r="I1742" s="4">
        <v>207.05</v>
      </c>
      <c r="J1742" s="2" t="s">
        <v>22</v>
      </c>
      <c r="K1742">
        <f>H1742*I1742</f>
        <v>414.1</v>
      </c>
      <c r="L1742" t="str">
        <f t="shared" si="54"/>
        <v>Nov</v>
      </c>
      <c r="M1742">
        <f t="shared" si="55"/>
        <v>11</v>
      </c>
    </row>
    <row r="1743" spans="1:13" x14ac:dyDescent="0.25">
      <c r="A1743" s="2" t="s">
        <v>1816</v>
      </c>
      <c r="B1743" s="3">
        <v>45983</v>
      </c>
      <c r="C1743" s="2" t="s">
        <v>119</v>
      </c>
      <c r="D1743" s="2" t="s">
        <v>120</v>
      </c>
      <c r="E1743" s="2" t="s">
        <v>76</v>
      </c>
      <c r="F1743" s="2" t="s">
        <v>14</v>
      </c>
      <c r="G1743" s="2" t="s">
        <v>121</v>
      </c>
      <c r="H1743" s="2">
        <v>12</v>
      </c>
      <c r="I1743" s="4">
        <v>191.9</v>
      </c>
      <c r="J1743" s="2" t="s">
        <v>16</v>
      </c>
      <c r="K1743">
        <f>H1743*I1743</f>
        <v>2302.8000000000002</v>
      </c>
      <c r="L1743" t="str">
        <f t="shared" si="54"/>
        <v>Nov</v>
      </c>
      <c r="M1743">
        <f t="shared" si="55"/>
        <v>11</v>
      </c>
    </row>
    <row r="1744" spans="1:13" x14ac:dyDescent="0.25">
      <c r="A1744" s="2" t="s">
        <v>1817</v>
      </c>
      <c r="B1744" s="3">
        <v>45983</v>
      </c>
      <c r="C1744" s="2" t="s">
        <v>101</v>
      </c>
      <c r="D1744" s="2" t="s">
        <v>102</v>
      </c>
      <c r="E1744" s="2" t="s">
        <v>36</v>
      </c>
      <c r="F1744" s="2" t="s">
        <v>14</v>
      </c>
      <c r="G1744" s="2" t="s">
        <v>103</v>
      </c>
      <c r="H1744" s="2">
        <v>6</v>
      </c>
      <c r="I1744" s="4">
        <v>92.92</v>
      </c>
      <c r="J1744" s="2" t="s">
        <v>31</v>
      </c>
      <c r="K1744">
        <f>H1744*I1744</f>
        <v>557.52</v>
      </c>
      <c r="L1744" t="str">
        <f t="shared" si="54"/>
        <v>Nov</v>
      </c>
      <c r="M1744">
        <f t="shared" si="55"/>
        <v>11</v>
      </c>
    </row>
    <row r="1745" spans="1:13" x14ac:dyDescent="0.25">
      <c r="A1745" s="2" t="s">
        <v>1818</v>
      </c>
      <c r="B1745" s="3">
        <v>45983</v>
      </c>
      <c r="C1745" s="2" t="s">
        <v>102</v>
      </c>
      <c r="D1745" s="2" t="s">
        <v>102</v>
      </c>
      <c r="E1745" s="2" t="s">
        <v>36</v>
      </c>
      <c r="F1745" s="2" t="s">
        <v>20</v>
      </c>
      <c r="G1745" s="2" t="s">
        <v>21</v>
      </c>
      <c r="H1745" s="2">
        <v>3</v>
      </c>
      <c r="I1745" s="4">
        <v>35</v>
      </c>
      <c r="J1745" s="2" t="s">
        <v>16</v>
      </c>
      <c r="K1745">
        <f>H1745*I1745</f>
        <v>105</v>
      </c>
      <c r="L1745" t="str">
        <f t="shared" si="54"/>
        <v>Nov</v>
      </c>
      <c r="M1745">
        <f t="shared" si="55"/>
        <v>11</v>
      </c>
    </row>
    <row r="1746" spans="1:13" x14ac:dyDescent="0.25">
      <c r="A1746" s="2" t="s">
        <v>1819</v>
      </c>
      <c r="B1746" s="3">
        <v>45983</v>
      </c>
      <c r="C1746" s="2" t="s">
        <v>18</v>
      </c>
      <c r="D1746" s="2" t="s">
        <v>18</v>
      </c>
      <c r="E1746" s="2" t="s">
        <v>19</v>
      </c>
      <c r="F1746" s="2" t="s">
        <v>20</v>
      </c>
      <c r="G1746" s="2" t="s">
        <v>21</v>
      </c>
      <c r="H1746" s="2">
        <v>1</v>
      </c>
      <c r="I1746" s="4">
        <v>15</v>
      </c>
      <c r="J1746" s="2" t="s">
        <v>16</v>
      </c>
      <c r="K1746">
        <f>H1746*I1746</f>
        <v>15</v>
      </c>
      <c r="L1746" t="str">
        <f t="shared" si="54"/>
        <v>Nov</v>
      </c>
      <c r="M1746">
        <f t="shared" si="55"/>
        <v>11</v>
      </c>
    </row>
    <row r="1747" spans="1:13" x14ac:dyDescent="0.25">
      <c r="A1747" s="2" t="s">
        <v>1820</v>
      </c>
      <c r="B1747" s="3">
        <v>45983</v>
      </c>
      <c r="C1747" s="2" t="s">
        <v>108</v>
      </c>
      <c r="D1747" s="2" t="s">
        <v>109</v>
      </c>
      <c r="E1747" s="2" t="s">
        <v>13</v>
      </c>
      <c r="F1747" s="2" t="s">
        <v>14</v>
      </c>
      <c r="G1747" s="2" t="s">
        <v>110</v>
      </c>
      <c r="H1747" s="2">
        <v>5</v>
      </c>
      <c r="I1747" s="4">
        <v>62.62</v>
      </c>
      <c r="J1747" s="2" t="s">
        <v>16</v>
      </c>
      <c r="K1747">
        <f>H1747*I1747</f>
        <v>313.09999999999997</v>
      </c>
      <c r="L1747" t="str">
        <f t="shared" si="54"/>
        <v>Nov</v>
      </c>
      <c r="M1747">
        <f t="shared" si="55"/>
        <v>11</v>
      </c>
    </row>
    <row r="1748" spans="1:13" x14ac:dyDescent="0.25">
      <c r="A1748" s="2" t="s">
        <v>1821</v>
      </c>
      <c r="B1748" s="3">
        <v>45984</v>
      </c>
      <c r="C1748" s="2" t="s">
        <v>11</v>
      </c>
      <c r="D1748" s="2" t="s">
        <v>12</v>
      </c>
      <c r="E1748" s="2" t="s">
        <v>13</v>
      </c>
      <c r="F1748" s="2" t="s">
        <v>14</v>
      </c>
      <c r="G1748" s="2" t="s">
        <v>15</v>
      </c>
      <c r="H1748" s="2">
        <v>3</v>
      </c>
      <c r="I1748" s="4">
        <v>32.32</v>
      </c>
      <c r="J1748" s="2" t="s">
        <v>16</v>
      </c>
      <c r="K1748">
        <f>H1748*I1748</f>
        <v>96.960000000000008</v>
      </c>
      <c r="L1748" t="str">
        <f t="shared" si="54"/>
        <v>Nov</v>
      </c>
      <c r="M1748">
        <f t="shared" si="55"/>
        <v>11</v>
      </c>
    </row>
    <row r="1749" spans="1:13" x14ac:dyDescent="0.25">
      <c r="A1749" s="2" t="s">
        <v>1822</v>
      </c>
      <c r="B1749" s="3">
        <v>45984</v>
      </c>
      <c r="C1749" s="2" t="s">
        <v>12</v>
      </c>
      <c r="D1749" s="2" t="s">
        <v>12</v>
      </c>
      <c r="E1749" s="2" t="s">
        <v>13</v>
      </c>
      <c r="F1749" s="2" t="s">
        <v>20</v>
      </c>
      <c r="G1749" s="2" t="s">
        <v>21</v>
      </c>
      <c r="H1749" s="2">
        <v>4</v>
      </c>
      <c r="I1749" s="4">
        <v>14.14</v>
      </c>
      <c r="J1749" s="2" t="s">
        <v>38</v>
      </c>
      <c r="K1749">
        <f>H1749*I1749</f>
        <v>56.56</v>
      </c>
      <c r="L1749" t="str">
        <f t="shared" si="54"/>
        <v>Nov</v>
      </c>
      <c r="M1749">
        <f t="shared" si="55"/>
        <v>11</v>
      </c>
    </row>
    <row r="1750" spans="1:13" x14ac:dyDescent="0.25">
      <c r="A1750" s="2" t="s">
        <v>1823</v>
      </c>
      <c r="B1750" s="3">
        <v>45984</v>
      </c>
      <c r="C1750" s="2" t="s">
        <v>75</v>
      </c>
      <c r="D1750" s="2" t="s">
        <v>75</v>
      </c>
      <c r="E1750" s="2" t="s">
        <v>76</v>
      </c>
      <c r="F1750" s="2" t="s">
        <v>20</v>
      </c>
      <c r="G1750" s="2" t="s">
        <v>21</v>
      </c>
      <c r="H1750" s="2">
        <v>3</v>
      </c>
      <c r="I1750" s="4">
        <v>12.12</v>
      </c>
      <c r="J1750" s="2" t="s">
        <v>38</v>
      </c>
      <c r="K1750">
        <f>H1750*I1750</f>
        <v>36.36</v>
      </c>
      <c r="L1750" t="str">
        <f t="shared" si="54"/>
        <v>Nov</v>
      </c>
      <c r="M1750">
        <f t="shared" si="55"/>
        <v>11</v>
      </c>
    </row>
    <row r="1751" spans="1:13" x14ac:dyDescent="0.25">
      <c r="A1751" s="2" t="s">
        <v>1824</v>
      </c>
      <c r="B1751" s="3">
        <v>45984</v>
      </c>
      <c r="C1751" s="2" t="s">
        <v>18</v>
      </c>
      <c r="D1751" s="2" t="s">
        <v>18</v>
      </c>
      <c r="E1751" s="2" t="s">
        <v>19</v>
      </c>
      <c r="F1751" s="2" t="s">
        <v>20</v>
      </c>
      <c r="G1751" s="2" t="s">
        <v>21</v>
      </c>
      <c r="H1751" s="2">
        <v>1</v>
      </c>
      <c r="I1751" s="4">
        <v>15.15</v>
      </c>
      <c r="J1751" s="2" t="s">
        <v>31</v>
      </c>
      <c r="K1751">
        <f>H1751*I1751</f>
        <v>15.15</v>
      </c>
      <c r="L1751" t="str">
        <f t="shared" si="54"/>
        <v>Nov</v>
      </c>
      <c r="M1751">
        <f t="shared" si="55"/>
        <v>11</v>
      </c>
    </row>
    <row r="1752" spans="1:13" x14ac:dyDescent="0.25">
      <c r="A1752" s="2" t="s">
        <v>1825</v>
      </c>
      <c r="B1752" s="3">
        <v>45984</v>
      </c>
      <c r="C1752" s="2" t="s">
        <v>25</v>
      </c>
      <c r="D1752" s="2" t="s">
        <v>25</v>
      </c>
      <c r="E1752" s="2" t="s">
        <v>26</v>
      </c>
      <c r="F1752" s="2" t="s">
        <v>20</v>
      </c>
      <c r="G1752" s="2" t="s">
        <v>21</v>
      </c>
      <c r="H1752" s="2">
        <v>4</v>
      </c>
      <c r="I1752" s="4">
        <v>20</v>
      </c>
      <c r="J1752" s="2" t="s">
        <v>22</v>
      </c>
      <c r="K1752">
        <f>H1752*I1752</f>
        <v>80</v>
      </c>
      <c r="L1752" t="str">
        <f t="shared" si="54"/>
        <v>Nov</v>
      </c>
      <c r="M1752">
        <f t="shared" si="55"/>
        <v>11</v>
      </c>
    </row>
    <row r="1753" spans="1:13" x14ac:dyDescent="0.25">
      <c r="A1753" s="2" t="s">
        <v>1826</v>
      </c>
      <c r="B1753" s="3">
        <v>45984</v>
      </c>
      <c r="C1753" s="2" t="s">
        <v>25</v>
      </c>
      <c r="D1753" s="2" t="s">
        <v>25</v>
      </c>
      <c r="E1753" s="2" t="s">
        <v>26</v>
      </c>
      <c r="F1753" s="2" t="s">
        <v>20</v>
      </c>
      <c r="G1753" s="2" t="s">
        <v>21</v>
      </c>
      <c r="H1753" s="2">
        <v>3</v>
      </c>
      <c r="I1753" s="4">
        <v>20.2</v>
      </c>
      <c r="J1753" s="2" t="s">
        <v>31</v>
      </c>
      <c r="K1753">
        <f>H1753*I1753</f>
        <v>60.599999999999994</v>
      </c>
      <c r="L1753" t="str">
        <f t="shared" si="54"/>
        <v>Nov</v>
      </c>
      <c r="M1753">
        <f t="shared" si="55"/>
        <v>11</v>
      </c>
    </row>
    <row r="1754" spans="1:13" x14ac:dyDescent="0.25">
      <c r="A1754" s="2" t="s">
        <v>1827</v>
      </c>
      <c r="B1754" s="3">
        <v>45984</v>
      </c>
      <c r="C1754" s="2" t="s">
        <v>52</v>
      </c>
      <c r="D1754" s="2" t="s">
        <v>30</v>
      </c>
      <c r="E1754" s="2" t="s">
        <v>13</v>
      </c>
      <c r="F1754" s="2" t="s">
        <v>14</v>
      </c>
      <c r="G1754" s="2" t="s">
        <v>53</v>
      </c>
      <c r="H1754" s="2">
        <v>5</v>
      </c>
      <c r="I1754" s="4">
        <v>42.42</v>
      </c>
      <c r="J1754" s="2" t="s">
        <v>31</v>
      </c>
      <c r="K1754">
        <f>H1754*I1754</f>
        <v>212.10000000000002</v>
      </c>
      <c r="L1754" t="str">
        <f t="shared" si="54"/>
        <v>Nov</v>
      </c>
      <c r="M1754">
        <f t="shared" si="55"/>
        <v>11</v>
      </c>
    </row>
    <row r="1755" spans="1:13" x14ac:dyDescent="0.25">
      <c r="A1755" s="2" t="s">
        <v>1828</v>
      </c>
      <c r="B1755" s="3">
        <v>45985</v>
      </c>
      <c r="C1755" s="2" t="s">
        <v>75</v>
      </c>
      <c r="D1755" s="2" t="s">
        <v>75</v>
      </c>
      <c r="E1755" s="2" t="s">
        <v>76</v>
      </c>
      <c r="F1755" s="2" t="s">
        <v>20</v>
      </c>
      <c r="G1755" s="2" t="s">
        <v>21</v>
      </c>
      <c r="H1755" s="2">
        <v>3</v>
      </c>
      <c r="I1755" s="4">
        <v>12.12</v>
      </c>
      <c r="J1755" s="2" t="s">
        <v>38</v>
      </c>
      <c r="K1755">
        <f>H1755*I1755</f>
        <v>36.36</v>
      </c>
      <c r="L1755" t="str">
        <f t="shared" si="54"/>
        <v>Nov</v>
      </c>
      <c r="M1755">
        <f t="shared" si="55"/>
        <v>11</v>
      </c>
    </row>
    <row r="1756" spans="1:13" x14ac:dyDescent="0.25">
      <c r="A1756" s="2" t="s">
        <v>1829</v>
      </c>
      <c r="B1756" s="3">
        <v>45985</v>
      </c>
      <c r="C1756" s="2" t="s">
        <v>60</v>
      </c>
      <c r="D1756" s="2" t="s">
        <v>61</v>
      </c>
      <c r="E1756" s="2" t="s">
        <v>62</v>
      </c>
      <c r="F1756" s="2" t="s">
        <v>14</v>
      </c>
      <c r="G1756" s="2" t="s">
        <v>63</v>
      </c>
      <c r="H1756" s="2">
        <v>1</v>
      </c>
      <c r="I1756" s="4">
        <v>26.26</v>
      </c>
      <c r="J1756" s="2" t="s">
        <v>22</v>
      </c>
      <c r="K1756">
        <f>H1756*I1756</f>
        <v>26.26</v>
      </c>
      <c r="L1756" t="str">
        <f t="shared" si="54"/>
        <v>Nov</v>
      </c>
      <c r="M1756">
        <f t="shared" si="55"/>
        <v>11</v>
      </c>
    </row>
    <row r="1757" spans="1:13" x14ac:dyDescent="0.25">
      <c r="A1757" s="2" t="s">
        <v>1830</v>
      </c>
      <c r="B1757" s="3">
        <v>45985</v>
      </c>
      <c r="C1757" s="2" t="s">
        <v>109</v>
      </c>
      <c r="D1757" s="2" t="s">
        <v>109</v>
      </c>
      <c r="E1757" s="2" t="s">
        <v>13</v>
      </c>
      <c r="F1757" s="2" t="s">
        <v>20</v>
      </c>
      <c r="G1757" s="2" t="s">
        <v>21</v>
      </c>
      <c r="H1757" s="2">
        <v>1</v>
      </c>
      <c r="I1757" s="4">
        <v>20.2</v>
      </c>
      <c r="J1757" s="2" t="s">
        <v>16</v>
      </c>
      <c r="K1757">
        <f>H1757*I1757</f>
        <v>20.2</v>
      </c>
      <c r="L1757" t="str">
        <f t="shared" si="54"/>
        <v>Nov</v>
      </c>
      <c r="M1757">
        <f t="shared" si="55"/>
        <v>11</v>
      </c>
    </row>
    <row r="1758" spans="1:13" x14ac:dyDescent="0.25">
      <c r="A1758" s="2" t="s">
        <v>1831</v>
      </c>
      <c r="B1758" s="3">
        <v>45985</v>
      </c>
      <c r="C1758" s="2" t="s">
        <v>42</v>
      </c>
      <c r="D1758" s="2" t="s">
        <v>43</v>
      </c>
      <c r="E1758" s="2" t="s">
        <v>44</v>
      </c>
      <c r="F1758" s="2" t="s">
        <v>14</v>
      </c>
      <c r="G1758" s="2" t="s">
        <v>45</v>
      </c>
      <c r="H1758" s="2">
        <v>3</v>
      </c>
      <c r="I1758" s="4">
        <v>46</v>
      </c>
      <c r="J1758" s="2" t="s">
        <v>31</v>
      </c>
      <c r="K1758">
        <f>H1758*I1758</f>
        <v>138</v>
      </c>
      <c r="L1758" t="str">
        <f t="shared" si="54"/>
        <v>Nov</v>
      </c>
      <c r="M1758">
        <f t="shared" si="55"/>
        <v>11</v>
      </c>
    </row>
    <row r="1759" spans="1:13" x14ac:dyDescent="0.25">
      <c r="A1759" s="2" t="s">
        <v>1832</v>
      </c>
      <c r="B1759" s="3">
        <v>45986</v>
      </c>
      <c r="C1759" s="2" t="s">
        <v>11</v>
      </c>
      <c r="D1759" s="2" t="s">
        <v>12</v>
      </c>
      <c r="E1759" s="2" t="s">
        <v>13</v>
      </c>
      <c r="F1759" s="2" t="s">
        <v>14</v>
      </c>
      <c r="G1759" s="2" t="s">
        <v>15</v>
      </c>
      <c r="H1759" s="2">
        <v>5</v>
      </c>
      <c r="I1759" s="4">
        <v>32.32</v>
      </c>
      <c r="J1759" s="2" t="s">
        <v>16</v>
      </c>
      <c r="K1759">
        <f>H1759*I1759</f>
        <v>161.6</v>
      </c>
      <c r="L1759" t="str">
        <f t="shared" si="54"/>
        <v>Nov</v>
      </c>
      <c r="M1759">
        <f t="shared" si="55"/>
        <v>11</v>
      </c>
    </row>
    <row r="1760" spans="1:13" x14ac:dyDescent="0.25">
      <c r="A1760" s="2" t="s">
        <v>1833</v>
      </c>
      <c r="B1760" s="3">
        <v>45986</v>
      </c>
      <c r="C1760" s="2" t="s">
        <v>86</v>
      </c>
      <c r="D1760" s="2" t="s">
        <v>48</v>
      </c>
      <c r="E1760" s="2" t="s">
        <v>49</v>
      </c>
      <c r="F1760" s="2" t="s">
        <v>14</v>
      </c>
      <c r="G1760" s="2" t="s">
        <v>87</v>
      </c>
      <c r="H1760" s="2">
        <v>4</v>
      </c>
      <c r="I1760" s="4">
        <v>126.25</v>
      </c>
      <c r="J1760" s="2" t="s">
        <v>16</v>
      </c>
      <c r="K1760">
        <f>H1760*I1760</f>
        <v>505</v>
      </c>
      <c r="L1760" t="str">
        <f t="shared" si="54"/>
        <v>Nov</v>
      </c>
      <c r="M1760">
        <f t="shared" si="55"/>
        <v>11</v>
      </c>
    </row>
    <row r="1761" spans="1:13" x14ac:dyDescent="0.25">
      <c r="A1761" s="2" t="s">
        <v>1834</v>
      </c>
      <c r="B1761" s="3">
        <v>45986</v>
      </c>
      <c r="C1761" s="2" t="s">
        <v>48</v>
      </c>
      <c r="D1761" s="2" t="s">
        <v>48</v>
      </c>
      <c r="E1761" s="2" t="s">
        <v>49</v>
      </c>
      <c r="F1761" s="2" t="s">
        <v>20</v>
      </c>
      <c r="G1761" s="2" t="s">
        <v>21</v>
      </c>
      <c r="H1761" s="2">
        <v>1</v>
      </c>
      <c r="I1761" s="4">
        <v>55.55</v>
      </c>
      <c r="J1761" s="2" t="s">
        <v>16</v>
      </c>
      <c r="K1761">
        <f>H1761*I1761</f>
        <v>55.55</v>
      </c>
      <c r="L1761" t="str">
        <f t="shared" si="54"/>
        <v>Nov</v>
      </c>
      <c r="M1761">
        <f t="shared" si="55"/>
        <v>11</v>
      </c>
    </row>
    <row r="1762" spans="1:13" x14ac:dyDescent="0.25">
      <c r="A1762" s="2" t="s">
        <v>1835</v>
      </c>
      <c r="B1762" s="3">
        <v>45986</v>
      </c>
      <c r="C1762" s="2" t="s">
        <v>35</v>
      </c>
      <c r="D1762" s="2" t="s">
        <v>35</v>
      </c>
      <c r="E1762" s="2" t="s">
        <v>36</v>
      </c>
      <c r="F1762" s="2" t="s">
        <v>20</v>
      </c>
      <c r="G1762" s="2" t="s">
        <v>21</v>
      </c>
      <c r="H1762" s="2">
        <v>3</v>
      </c>
      <c r="I1762" s="4">
        <v>58.58</v>
      </c>
      <c r="J1762" s="2" t="s">
        <v>22</v>
      </c>
      <c r="K1762">
        <f>H1762*I1762</f>
        <v>175.74</v>
      </c>
      <c r="L1762" t="str">
        <f t="shared" si="54"/>
        <v>Nov</v>
      </c>
      <c r="M1762">
        <f t="shared" si="55"/>
        <v>11</v>
      </c>
    </row>
    <row r="1763" spans="1:13" x14ac:dyDescent="0.25">
      <c r="A1763" s="2" t="s">
        <v>1836</v>
      </c>
      <c r="B1763" s="3">
        <v>45986</v>
      </c>
      <c r="C1763" s="2" t="s">
        <v>190</v>
      </c>
      <c r="D1763" s="2" t="s">
        <v>40</v>
      </c>
      <c r="E1763" s="2" t="s">
        <v>19</v>
      </c>
      <c r="F1763" s="2" t="s">
        <v>14</v>
      </c>
      <c r="G1763" s="2" t="s">
        <v>191</v>
      </c>
      <c r="H1763" s="2">
        <v>6</v>
      </c>
      <c r="I1763" s="4">
        <v>143.41999999999999</v>
      </c>
      <c r="J1763" s="2" t="s">
        <v>16</v>
      </c>
      <c r="K1763">
        <f>H1763*I1763</f>
        <v>860.52</v>
      </c>
      <c r="L1763" t="str">
        <f t="shared" si="54"/>
        <v>Nov</v>
      </c>
      <c r="M1763">
        <f t="shared" si="55"/>
        <v>11</v>
      </c>
    </row>
    <row r="1764" spans="1:13" x14ac:dyDescent="0.25">
      <c r="A1764" s="2" t="s">
        <v>1837</v>
      </c>
      <c r="B1764" s="3">
        <v>45986</v>
      </c>
      <c r="C1764" s="2" t="s">
        <v>79</v>
      </c>
      <c r="D1764" s="2" t="s">
        <v>80</v>
      </c>
      <c r="E1764" s="2" t="s">
        <v>26</v>
      </c>
      <c r="F1764" s="2" t="s">
        <v>14</v>
      </c>
      <c r="G1764" s="2" t="s">
        <v>81</v>
      </c>
      <c r="H1764" s="2">
        <v>4</v>
      </c>
      <c r="I1764" s="4">
        <v>152</v>
      </c>
      <c r="J1764" s="2" t="s">
        <v>38</v>
      </c>
      <c r="K1764">
        <f>H1764*I1764</f>
        <v>608</v>
      </c>
      <c r="L1764" t="str">
        <f t="shared" si="54"/>
        <v>Nov</v>
      </c>
      <c r="M1764">
        <f t="shared" si="55"/>
        <v>11</v>
      </c>
    </row>
    <row r="1765" spans="1:13" x14ac:dyDescent="0.25">
      <c r="A1765" s="2" t="s">
        <v>1838</v>
      </c>
      <c r="B1765" s="3">
        <v>45986</v>
      </c>
      <c r="C1765" s="2" t="s">
        <v>24</v>
      </c>
      <c r="D1765" s="2" t="s">
        <v>25</v>
      </c>
      <c r="E1765" s="2" t="s">
        <v>26</v>
      </c>
      <c r="F1765" s="2" t="s">
        <v>14</v>
      </c>
      <c r="G1765" s="2" t="s">
        <v>27</v>
      </c>
      <c r="H1765" s="2">
        <v>2</v>
      </c>
      <c r="I1765" s="4">
        <v>58.58</v>
      </c>
      <c r="J1765" s="2" t="s">
        <v>16</v>
      </c>
      <c r="K1765">
        <f>H1765*I1765</f>
        <v>117.16</v>
      </c>
      <c r="L1765" t="str">
        <f t="shared" si="54"/>
        <v>Nov</v>
      </c>
      <c r="M1765">
        <f t="shared" si="55"/>
        <v>11</v>
      </c>
    </row>
    <row r="1766" spans="1:13" x14ac:dyDescent="0.25">
      <c r="A1766" s="2" t="s">
        <v>1839</v>
      </c>
      <c r="B1766" s="3">
        <v>45987</v>
      </c>
      <c r="C1766" s="2" t="s">
        <v>12</v>
      </c>
      <c r="D1766" s="2" t="s">
        <v>12</v>
      </c>
      <c r="E1766" s="2" t="s">
        <v>13</v>
      </c>
      <c r="F1766" s="2" t="s">
        <v>20</v>
      </c>
      <c r="G1766" s="2" t="s">
        <v>21</v>
      </c>
      <c r="H1766" s="2">
        <v>3</v>
      </c>
      <c r="I1766" s="4">
        <v>14.14</v>
      </c>
      <c r="J1766" s="2" t="s">
        <v>22</v>
      </c>
      <c r="K1766">
        <f>H1766*I1766</f>
        <v>42.42</v>
      </c>
      <c r="L1766" t="str">
        <f t="shared" si="54"/>
        <v>Nov</v>
      </c>
      <c r="M1766">
        <f t="shared" si="55"/>
        <v>11</v>
      </c>
    </row>
    <row r="1767" spans="1:13" x14ac:dyDescent="0.25">
      <c r="A1767" s="2" t="s">
        <v>1840</v>
      </c>
      <c r="B1767" s="3">
        <v>45987</v>
      </c>
      <c r="C1767" s="2" t="s">
        <v>101</v>
      </c>
      <c r="D1767" s="2" t="s">
        <v>102</v>
      </c>
      <c r="E1767" s="2" t="s">
        <v>36</v>
      </c>
      <c r="F1767" s="2" t="s">
        <v>14</v>
      </c>
      <c r="G1767" s="2" t="s">
        <v>103</v>
      </c>
      <c r="H1767" s="2">
        <v>3</v>
      </c>
      <c r="I1767" s="4">
        <v>92</v>
      </c>
      <c r="J1767" s="2" t="s">
        <v>22</v>
      </c>
      <c r="K1767">
        <f>H1767*I1767</f>
        <v>276</v>
      </c>
      <c r="L1767" t="str">
        <f t="shared" si="54"/>
        <v>Nov</v>
      </c>
      <c r="M1767">
        <f t="shared" si="55"/>
        <v>11</v>
      </c>
    </row>
    <row r="1768" spans="1:13" x14ac:dyDescent="0.25">
      <c r="A1768" s="2" t="s">
        <v>1841</v>
      </c>
      <c r="B1768" s="3">
        <v>45987</v>
      </c>
      <c r="C1768" s="2" t="s">
        <v>102</v>
      </c>
      <c r="D1768" s="2" t="s">
        <v>102</v>
      </c>
      <c r="E1768" s="2" t="s">
        <v>36</v>
      </c>
      <c r="F1768" s="2" t="s">
        <v>20</v>
      </c>
      <c r="G1768" s="2" t="s">
        <v>21</v>
      </c>
      <c r="H1768" s="2">
        <v>6</v>
      </c>
      <c r="I1768" s="4">
        <v>35.35</v>
      </c>
      <c r="J1768" s="2" t="s">
        <v>16</v>
      </c>
      <c r="K1768">
        <f>H1768*I1768</f>
        <v>212.10000000000002</v>
      </c>
      <c r="L1768" t="str">
        <f t="shared" si="54"/>
        <v>Nov</v>
      </c>
      <c r="M1768">
        <f t="shared" si="55"/>
        <v>11</v>
      </c>
    </row>
    <row r="1769" spans="1:13" x14ac:dyDescent="0.25">
      <c r="A1769" s="2" t="s">
        <v>1842</v>
      </c>
      <c r="B1769" s="3">
        <v>45987</v>
      </c>
      <c r="C1769" s="2" t="s">
        <v>102</v>
      </c>
      <c r="D1769" s="2" t="s">
        <v>102</v>
      </c>
      <c r="E1769" s="2" t="s">
        <v>36</v>
      </c>
      <c r="F1769" s="2" t="s">
        <v>20</v>
      </c>
      <c r="G1769" s="2" t="s">
        <v>21</v>
      </c>
      <c r="H1769" s="2">
        <v>3</v>
      </c>
      <c r="I1769" s="4">
        <v>35.35</v>
      </c>
      <c r="J1769" s="2" t="s">
        <v>31</v>
      </c>
      <c r="K1769">
        <f>H1769*I1769</f>
        <v>106.05000000000001</v>
      </c>
      <c r="L1769" t="str">
        <f t="shared" si="54"/>
        <v>Nov</v>
      </c>
      <c r="M1769">
        <f t="shared" si="55"/>
        <v>11</v>
      </c>
    </row>
    <row r="1770" spans="1:13" x14ac:dyDescent="0.25">
      <c r="A1770" s="2" t="s">
        <v>1843</v>
      </c>
      <c r="B1770" s="3">
        <v>45987</v>
      </c>
      <c r="C1770" s="2" t="s">
        <v>60</v>
      </c>
      <c r="D1770" s="2" t="s">
        <v>61</v>
      </c>
      <c r="E1770" s="2" t="s">
        <v>62</v>
      </c>
      <c r="F1770" s="2" t="s">
        <v>14</v>
      </c>
      <c r="G1770" s="2" t="s">
        <v>63</v>
      </c>
      <c r="H1770" s="2">
        <v>5</v>
      </c>
      <c r="I1770" s="4">
        <v>26.26</v>
      </c>
      <c r="J1770" s="2" t="s">
        <v>38</v>
      </c>
      <c r="K1770">
        <f>H1770*I1770</f>
        <v>131.30000000000001</v>
      </c>
      <c r="L1770" t="str">
        <f t="shared" si="54"/>
        <v>Nov</v>
      </c>
      <c r="M1770">
        <f t="shared" si="55"/>
        <v>11</v>
      </c>
    </row>
    <row r="1771" spans="1:13" x14ac:dyDescent="0.25">
      <c r="A1771" s="2" t="s">
        <v>1844</v>
      </c>
      <c r="B1771" s="3">
        <v>45987</v>
      </c>
      <c r="C1771" s="2" t="s">
        <v>194</v>
      </c>
      <c r="D1771" s="2" t="s">
        <v>98</v>
      </c>
      <c r="E1771" s="2" t="s">
        <v>99</v>
      </c>
      <c r="F1771" s="2" t="s">
        <v>20</v>
      </c>
      <c r="G1771" s="2" t="s">
        <v>21</v>
      </c>
      <c r="H1771" s="2">
        <v>4</v>
      </c>
      <c r="I1771" s="4">
        <v>70</v>
      </c>
      <c r="J1771" s="2" t="s">
        <v>31</v>
      </c>
      <c r="K1771">
        <f>H1771*I1771</f>
        <v>280</v>
      </c>
      <c r="L1771" t="str">
        <f t="shared" si="54"/>
        <v>Nov</v>
      </c>
      <c r="M1771">
        <f t="shared" si="55"/>
        <v>11</v>
      </c>
    </row>
    <row r="1772" spans="1:13" x14ac:dyDescent="0.25">
      <c r="A1772" s="2" t="s">
        <v>1845</v>
      </c>
      <c r="B1772" s="3">
        <v>45987</v>
      </c>
      <c r="C1772" s="2" t="s">
        <v>52</v>
      </c>
      <c r="D1772" s="2" t="s">
        <v>30</v>
      </c>
      <c r="E1772" s="2" t="s">
        <v>13</v>
      </c>
      <c r="F1772" s="2" t="s">
        <v>14</v>
      </c>
      <c r="G1772" s="2" t="s">
        <v>53</v>
      </c>
      <c r="H1772" s="2">
        <v>5</v>
      </c>
      <c r="I1772" s="4">
        <v>42.42</v>
      </c>
      <c r="J1772" s="2" t="s">
        <v>16</v>
      </c>
      <c r="K1772">
        <f>H1772*I1772</f>
        <v>212.10000000000002</v>
      </c>
      <c r="L1772" t="str">
        <f t="shared" si="54"/>
        <v>Nov</v>
      </c>
      <c r="M1772">
        <f t="shared" si="55"/>
        <v>11</v>
      </c>
    </row>
    <row r="1773" spans="1:13" x14ac:dyDescent="0.25">
      <c r="A1773" s="2" t="s">
        <v>1846</v>
      </c>
      <c r="B1773" s="3">
        <v>45988</v>
      </c>
      <c r="C1773" s="2" t="s">
        <v>86</v>
      </c>
      <c r="D1773" s="2" t="s">
        <v>48</v>
      </c>
      <c r="E1773" s="2" t="s">
        <v>49</v>
      </c>
      <c r="F1773" s="2" t="s">
        <v>14</v>
      </c>
      <c r="G1773" s="2" t="s">
        <v>87</v>
      </c>
      <c r="H1773" s="2">
        <v>1</v>
      </c>
      <c r="I1773" s="4">
        <v>126.25</v>
      </c>
      <c r="J1773" s="2" t="s">
        <v>22</v>
      </c>
      <c r="K1773">
        <f>H1773*I1773</f>
        <v>126.25</v>
      </c>
      <c r="L1773" t="str">
        <f t="shared" si="54"/>
        <v>Nov</v>
      </c>
      <c r="M1773">
        <f t="shared" si="55"/>
        <v>11</v>
      </c>
    </row>
    <row r="1774" spans="1:13" x14ac:dyDescent="0.25">
      <c r="A1774" s="2" t="s">
        <v>1847</v>
      </c>
      <c r="B1774" s="3">
        <v>45988</v>
      </c>
      <c r="C1774" s="2" t="s">
        <v>60</v>
      </c>
      <c r="D1774" s="2" t="s">
        <v>61</v>
      </c>
      <c r="E1774" s="2" t="s">
        <v>62</v>
      </c>
      <c r="F1774" s="2" t="s">
        <v>14</v>
      </c>
      <c r="G1774" s="2" t="s">
        <v>63</v>
      </c>
      <c r="H1774" s="2">
        <v>5</v>
      </c>
      <c r="I1774" s="4">
        <v>26</v>
      </c>
      <c r="J1774" s="2" t="s">
        <v>31</v>
      </c>
      <c r="K1774">
        <f>H1774*I1774</f>
        <v>130</v>
      </c>
      <c r="L1774" t="str">
        <f t="shared" si="54"/>
        <v>Nov</v>
      </c>
      <c r="M1774">
        <f t="shared" si="55"/>
        <v>11</v>
      </c>
    </row>
    <row r="1775" spans="1:13" x14ac:dyDescent="0.25">
      <c r="A1775" s="2" t="s">
        <v>1848</v>
      </c>
      <c r="B1775" s="3">
        <v>45988</v>
      </c>
      <c r="C1775" s="2" t="s">
        <v>61</v>
      </c>
      <c r="D1775" s="2" t="s">
        <v>61</v>
      </c>
      <c r="E1775" s="2" t="s">
        <v>62</v>
      </c>
      <c r="F1775" s="2" t="s">
        <v>20</v>
      </c>
      <c r="G1775" s="2" t="s">
        <v>21</v>
      </c>
      <c r="H1775" s="2">
        <v>1</v>
      </c>
      <c r="I1775" s="4">
        <v>8</v>
      </c>
      <c r="J1775" s="2" t="s">
        <v>16</v>
      </c>
      <c r="K1775">
        <f>H1775*I1775</f>
        <v>8</v>
      </c>
      <c r="L1775" t="str">
        <f t="shared" si="54"/>
        <v>Nov</v>
      </c>
      <c r="M1775">
        <f t="shared" si="55"/>
        <v>11</v>
      </c>
    </row>
    <row r="1776" spans="1:13" x14ac:dyDescent="0.25">
      <c r="A1776" s="2" t="s">
        <v>1849</v>
      </c>
      <c r="B1776" s="3">
        <v>45989</v>
      </c>
      <c r="C1776" s="2" t="s">
        <v>11</v>
      </c>
      <c r="D1776" s="2" t="s">
        <v>12</v>
      </c>
      <c r="E1776" s="2" t="s">
        <v>13</v>
      </c>
      <c r="F1776" s="2" t="s">
        <v>14</v>
      </c>
      <c r="G1776" s="2" t="s">
        <v>15</v>
      </c>
      <c r="H1776" s="2">
        <v>1</v>
      </c>
      <c r="I1776" s="4">
        <v>32.32</v>
      </c>
      <c r="J1776" s="2" t="s">
        <v>16</v>
      </c>
      <c r="K1776">
        <f>H1776*I1776</f>
        <v>32.32</v>
      </c>
      <c r="L1776" t="str">
        <f t="shared" si="54"/>
        <v>Nov</v>
      </c>
      <c r="M1776">
        <f t="shared" si="55"/>
        <v>11</v>
      </c>
    </row>
    <row r="1777" spans="1:13" x14ac:dyDescent="0.25">
      <c r="A1777" s="2" t="s">
        <v>1850</v>
      </c>
      <c r="B1777" s="3">
        <v>45989</v>
      </c>
      <c r="C1777" s="2" t="s">
        <v>74</v>
      </c>
      <c r="D1777" s="2" t="s">
        <v>75</v>
      </c>
      <c r="E1777" s="2" t="s">
        <v>76</v>
      </c>
      <c r="F1777" s="2" t="s">
        <v>14</v>
      </c>
      <c r="G1777" s="2" t="s">
        <v>77</v>
      </c>
      <c r="H1777" s="2">
        <v>6</v>
      </c>
      <c r="I1777" s="4">
        <v>32</v>
      </c>
      <c r="J1777" s="2" t="s">
        <v>31</v>
      </c>
      <c r="K1777">
        <f>H1777*I1777</f>
        <v>192</v>
      </c>
      <c r="L1777" t="str">
        <f t="shared" si="54"/>
        <v>Nov</v>
      </c>
      <c r="M1777">
        <f t="shared" si="55"/>
        <v>11</v>
      </c>
    </row>
    <row r="1778" spans="1:13" x14ac:dyDescent="0.25">
      <c r="A1778" s="2" t="s">
        <v>1851</v>
      </c>
      <c r="B1778" s="3">
        <v>45989</v>
      </c>
      <c r="C1778" s="2" t="s">
        <v>102</v>
      </c>
      <c r="D1778" s="2" t="s">
        <v>102</v>
      </c>
      <c r="E1778" s="2" t="s">
        <v>36</v>
      </c>
      <c r="F1778" s="2" t="s">
        <v>20</v>
      </c>
      <c r="G1778" s="2" t="s">
        <v>21</v>
      </c>
      <c r="H1778" s="2">
        <v>3</v>
      </c>
      <c r="I1778" s="4">
        <v>35.35</v>
      </c>
      <c r="J1778" s="2" t="s">
        <v>31</v>
      </c>
      <c r="K1778">
        <f>H1778*I1778</f>
        <v>106.05000000000001</v>
      </c>
      <c r="L1778" t="str">
        <f t="shared" si="54"/>
        <v>Nov</v>
      </c>
      <c r="M1778">
        <f t="shared" si="55"/>
        <v>11</v>
      </c>
    </row>
    <row r="1779" spans="1:13" x14ac:dyDescent="0.25">
      <c r="A1779" s="2" t="s">
        <v>1852</v>
      </c>
      <c r="B1779" s="3">
        <v>45989</v>
      </c>
      <c r="C1779" s="2" t="s">
        <v>18</v>
      </c>
      <c r="D1779" s="2" t="s">
        <v>18</v>
      </c>
      <c r="E1779" s="2" t="s">
        <v>19</v>
      </c>
      <c r="F1779" s="2" t="s">
        <v>20</v>
      </c>
      <c r="G1779" s="2" t="s">
        <v>21</v>
      </c>
      <c r="H1779" s="2">
        <v>3</v>
      </c>
      <c r="I1779" s="4">
        <v>15.15</v>
      </c>
      <c r="J1779" s="2" t="s">
        <v>22</v>
      </c>
      <c r="K1779">
        <f>H1779*I1779</f>
        <v>45.45</v>
      </c>
      <c r="L1779" t="str">
        <f t="shared" si="54"/>
        <v>Nov</v>
      </c>
      <c r="M1779">
        <f t="shared" si="55"/>
        <v>11</v>
      </c>
    </row>
    <row r="1780" spans="1:13" x14ac:dyDescent="0.25">
      <c r="A1780" s="2" t="s">
        <v>1853</v>
      </c>
      <c r="B1780" s="3">
        <v>45989</v>
      </c>
      <c r="C1780" s="2" t="s">
        <v>24</v>
      </c>
      <c r="D1780" s="2" t="s">
        <v>25</v>
      </c>
      <c r="E1780" s="2" t="s">
        <v>26</v>
      </c>
      <c r="F1780" s="2" t="s">
        <v>14</v>
      </c>
      <c r="G1780" s="2" t="s">
        <v>27</v>
      </c>
      <c r="H1780" s="2">
        <v>3</v>
      </c>
      <c r="I1780" s="4">
        <v>58</v>
      </c>
      <c r="J1780" s="2" t="s">
        <v>16</v>
      </c>
      <c r="K1780">
        <f>H1780*I1780</f>
        <v>174</v>
      </c>
      <c r="L1780" t="str">
        <f t="shared" si="54"/>
        <v>Nov</v>
      </c>
      <c r="M1780">
        <f t="shared" si="55"/>
        <v>11</v>
      </c>
    </row>
    <row r="1781" spans="1:13" x14ac:dyDescent="0.25">
      <c r="A1781" s="2" t="s">
        <v>1854</v>
      </c>
      <c r="B1781" s="3">
        <v>45989</v>
      </c>
      <c r="C1781" s="2" t="s">
        <v>43</v>
      </c>
      <c r="D1781" s="2" t="s">
        <v>43</v>
      </c>
      <c r="E1781" s="2" t="s">
        <v>44</v>
      </c>
      <c r="F1781" s="2" t="s">
        <v>20</v>
      </c>
      <c r="G1781" s="2" t="s">
        <v>21</v>
      </c>
      <c r="H1781" s="2">
        <v>2</v>
      </c>
      <c r="I1781" s="4">
        <v>18.18</v>
      </c>
      <c r="J1781" s="2" t="s">
        <v>16</v>
      </c>
      <c r="K1781">
        <f>H1781*I1781</f>
        <v>36.36</v>
      </c>
      <c r="L1781" t="str">
        <f t="shared" si="54"/>
        <v>Nov</v>
      </c>
      <c r="M1781">
        <f t="shared" si="55"/>
        <v>11</v>
      </c>
    </row>
    <row r="1782" spans="1:13" x14ac:dyDescent="0.25">
      <c r="A1782" s="2" t="s">
        <v>1855</v>
      </c>
      <c r="B1782" s="3">
        <v>45990</v>
      </c>
      <c r="C1782" s="2" t="s">
        <v>74</v>
      </c>
      <c r="D1782" s="2" t="s">
        <v>75</v>
      </c>
      <c r="E1782" s="2" t="s">
        <v>76</v>
      </c>
      <c r="F1782" s="2" t="s">
        <v>14</v>
      </c>
      <c r="G1782" s="2" t="s">
        <v>77</v>
      </c>
      <c r="H1782" s="2">
        <v>6</v>
      </c>
      <c r="I1782" s="4">
        <v>32.32</v>
      </c>
      <c r="J1782" s="2" t="s">
        <v>16</v>
      </c>
      <c r="K1782">
        <f>H1782*I1782</f>
        <v>193.92000000000002</v>
      </c>
      <c r="L1782" t="str">
        <f t="shared" si="54"/>
        <v>Nov</v>
      </c>
      <c r="M1782">
        <f t="shared" si="55"/>
        <v>11</v>
      </c>
    </row>
    <row r="1783" spans="1:13" x14ac:dyDescent="0.25">
      <c r="A1783" s="2" t="s">
        <v>1856</v>
      </c>
      <c r="B1783" s="3">
        <v>45990</v>
      </c>
      <c r="C1783" s="2" t="s">
        <v>74</v>
      </c>
      <c r="D1783" s="2" t="s">
        <v>75</v>
      </c>
      <c r="E1783" s="2" t="s">
        <v>76</v>
      </c>
      <c r="F1783" s="2" t="s">
        <v>14</v>
      </c>
      <c r="G1783" s="2" t="s">
        <v>77</v>
      </c>
      <c r="H1783" s="2">
        <v>12</v>
      </c>
      <c r="I1783" s="4">
        <v>32.32</v>
      </c>
      <c r="J1783" s="2" t="s">
        <v>38</v>
      </c>
      <c r="K1783">
        <f>H1783*I1783</f>
        <v>387.84000000000003</v>
      </c>
      <c r="L1783" t="str">
        <f t="shared" si="54"/>
        <v>Nov</v>
      </c>
      <c r="M1783">
        <f t="shared" si="55"/>
        <v>11</v>
      </c>
    </row>
    <row r="1784" spans="1:13" x14ac:dyDescent="0.25">
      <c r="A1784" s="2" t="s">
        <v>1857</v>
      </c>
      <c r="B1784" s="3">
        <v>45990</v>
      </c>
      <c r="C1784" s="2" t="s">
        <v>119</v>
      </c>
      <c r="D1784" s="2" t="s">
        <v>120</v>
      </c>
      <c r="E1784" s="2" t="s">
        <v>76</v>
      </c>
      <c r="F1784" s="2" t="s">
        <v>14</v>
      </c>
      <c r="G1784" s="2" t="s">
        <v>121</v>
      </c>
      <c r="H1784" s="2">
        <v>3</v>
      </c>
      <c r="I1784" s="4">
        <v>190</v>
      </c>
      <c r="J1784" s="2" t="s">
        <v>16</v>
      </c>
      <c r="K1784">
        <f>H1784*I1784</f>
        <v>570</v>
      </c>
      <c r="L1784" t="str">
        <f t="shared" si="54"/>
        <v>Nov</v>
      </c>
      <c r="M1784">
        <f t="shared" si="55"/>
        <v>11</v>
      </c>
    </row>
    <row r="1785" spans="1:13" x14ac:dyDescent="0.25">
      <c r="A1785" s="2" t="s">
        <v>1858</v>
      </c>
      <c r="B1785" s="3">
        <v>45990</v>
      </c>
      <c r="C1785" s="2" t="s">
        <v>79</v>
      </c>
      <c r="D1785" s="2" t="s">
        <v>80</v>
      </c>
      <c r="E1785" s="2" t="s">
        <v>26</v>
      </c>
      <c r="F1785" s="2" t="s">
        <v>14</v>
      </c>
      <c r="G1785" s="2" t="s">
        <v>81</v>
      </c>
      <c r="H1785" s="2">
        <v>5</v>
      </c>
      <c r="I1785" s="4">
        <v>152</v>
      </c>
      <c r="J1785" s="2" t="s">
        <v>22</v>
      </c>
      <c r="K1785">
        <f>H1785*I1785</f>
        <v>760</v>
      </c>
      <c r="L1785" t="str">
        <f t="shared" si="54"/>
        <v>Nov</v>
      </c>
      <c r="M1785">
        <f t="shared" si="55"/>
        <v>11</v>
      </c>
    </row>
    <row r="1786" spans="1:13" x14ac:dyDescent="0.25">
      <c r="A1786" s="2" t="s">
        <v>1859</v>
      </c>
      <c r="B1786" s="3">
        <v>45990</v>
      </c>
      <c r="C1786" s="2" t="s">
        <v>25</v>
      </c>
      <c r="D1786" s="2" t="s">
        <v>25</v>
      </c>
      <c r="E1786" s="2" t="s">
        <v>26</v>
      </c>
      <c r="F1786" s="2" t="s">
        <v>20</v>
      </c>
      <c r="G1786" s="2" t="s">
        <v>21</v>
      </c>
      <c r="H1786" s="2">
        <v>5</v>
      </c>
      <c r="I1786" s="4">
        <v>20.2</v>
      </c>
      <c r="J1786" s="2" t="s">
        <v>16</v>
      </c>
      <c r="K1786">
        <f>H1786*I1786</f>
        <v>101</v>
      </c>
      <c r="L1786" t="str">
        <f t="shared" si="54"/>
        <v>Nov</v>
      </c>
      <c r="M1786">
        <f t="shared" si="55"/>
        <v>11</v>
      </c>
    </row>
    <row r="1787" spans="1:13" x14ac:dyDescent="0.25">
      <c r="A1787" s="2" t="s">
        <v>1860</v>
      </c>
      <c r="B1787" s="3">
        <v>45990</v>
      </c>
      <c r="C1787" s="2" t="s">
        <v>194</v>
      </c>
      <c r="D1787" s="2" t="s">
        <v>98</v>
      </c>
      <c r="E1787" s="2" t="s">
        <v>99</v>
      </c>
      <c r="F1787" s="2" t="s">
        <v>20</v>
      </c>
      <c r="G1787" s="2" t="s">
        <v>21</v>
      </c>
      <c r="H1787" s="2">
        <v>5</v>
      </c>
      <c r="I1787" s="4">
        <v>70</v>
      </c>
      <c r="J1787" s="2" t="s">
        <v>31</v>
      </c>
      <c r="K1787">
        <f>H1787*I1787</f>
        <v>350</v>
      </c>
      <c r="L1787" t="str">
        <f t="shared" si="54"/>
        <v>Nov</v>
      </c>
      <c r="M1787">
        <f t="shared" si="55"/>
        <v>11</v>
      </c>
    </row>
    <row r="1788" spans="1:13" x14ac:dyDescent="0.25">
      <c r="A1788" s="2" t="s">
        <v>1861</v>
      </c>
      <c r="B1788" s="3">
        <v>45990</v>
      </c>
      <c r="C1788" s="2" t="s">
        <v>52</v>
      </c>
      <c r="D1788" s="2" t="s">
        <v>30</v>
      </c>
      <c r="E1788" s="2" t="s">
        <v>13</v>
      </c>
      <c r="F1788" s="2" t="s">
        <v>14</v>
      </c>
      <c r="G1788" s="2" t="s">
        <v>53</v>
      </c>
      <c r="H1788" s="2">
        <v>2</v>
      </c>
      <c r="I1788" s="4">
        <v>42.42</v>
      </c>
      <c r="J1788" s="2" t="s">
        <v>22</v>
      </c>
      <c r="K1788">
        <f>H1788*I1788</f>
        <v>84.84</v>
      </c>
      <c r="L1788" t="str">
        <f t="shared" si="54"/>
        <v>Nov</v>
      </c>
      <c r="M1788">
        <f t="shared" si="55"/>
        <v>11</v>
      </c>
    </row>
    <row r="1789" spans="1:13" x14ac:dyDescent="0.25">
      <c r="A1789" s="2" t="s">
        <v>1862</v>
      </c>
      <c r="B1789" s="3">
        <v>45991</v>
      </c>
      <c r="C1789" s="2" t="s">
        <v>11</v>
      </c>
      <c r="D1789" s="2" t="s">
        <v>12</v>
      </c>
      <c r="E1789" s="2" t="s">
        <v>13</v>
      </c>
      <c r="F1789" s="2" t="s">
        <v>14</v>
      </c>
      <c r="G1789" s="2" t="s">
        <v>15</v>
      </c>
      <c r="H1789" s="2">
        <v>3</v>
      </c>
      <c r="I1789" s="4">
        <v>32.32</v>
      </c>
      <c r="J1789" s="2" t="s">
        <v>16</v>
      </c>
      <c r="K1789">
        <f>H1789*I1789</f>
        <v>96.960000000000008</v>
      </c>
      <c r="L1789" t="str">
        <f t="shared" si="54"/>
        <v>Nov</v>
      </c>
      <c r="M1789">
        <f t="shared" si="55"/>
        <v>11</v>
      </c>
    </row>
    <row r="1790" spans="1:13" x14ac:dyDescent="0.25">
      <c r="A1790" s="2" t="s">
        <v>1863</v>
      </c>
      <c r="B1790" s="3">
        <v>45991</v>
      </c>
      <c r="C1790" s="2" t="s">
        <v>67</v>
      </c>
      <c r="D1790" s="2" t="s">
        <v>68</v>
      </c>
      <c r="E1790" s="2" t="s">
        <v>49</v>
      </c>
      <c r="F1790" s="2" t="s">
        <v>14</v>
      </c>
      <c r="G1790" s="2" t="s">
        <v>69</v>
      </c>
      <c r="H1790" s="2">
        <v>3</v>
      </c>
      <c r="I1790" s="4">
        <v>205</v>
      </c>
      <c r="J1790" s="2" t="s">
        <v>38</v>
      </c>
      <c r="K1790">
        <f>H1790*I1790</f>
        <v>615</v>
      </c>
      <c r="L1790" t="str">
        <f t="shared" si="54"/>
        <v>Nov</v>
      </c>
      <c r="M1790">
        <f t="shared" si="55"/>
        <v>11</v>
      </c>
    </row>
    <row r="1791" spans="1:13" x14ac:dyDescent="0.25">
      <c r="A1791" s="2" t="s">
        <v>1864</v>
      </c>
      <c r="B1791" s="3">
        <v>45991</v>
      </c>
      <c r="C1791" s="2" t="s">
        <v>101</v>
      </c>
      <c r="D1791" s="2" t="s">
        <v>102</v>
      </c>
      <c r="E1791" s="2" t="s">
        <v>36</v>
      </c>
      <c r="F1791" s="2" t="s">
        <v>14</v>
      </c>
      <c r="G1791" s="2" t="s">
        <v>103</v>
      </c>
      <c r="H1791" s="2">
        <v>6</v>
      </c>
      <c r="I1791" s="4">
        <v>92.92</v>
      </c>
      <c r="J1791" s="2" t="s">
        <v>22</v>
      </c>
      <c r="K1791">
        <f>H1791*I1791</f>
        <v>557.52</v>
      </c>
      <c r="L1791" t="str">
        <f t="shared" si="54"/>
        <v>Nov</v>
      </c>
      <c r="M1791">
        <f t="shared" si="55"/>
        <v>11</v>
      </c>
    </row>
    <row r="1792" spans="1:13" x14ac:dyDescent="0.25">
      <c r="A1792" s="2" t="s">
        <v>1865</v>
      </c>
      <c r="B1792" s="3">
        <v>45991</v>
      </c>
      <c r="C1792" s="2" t="s">
        <v>124</v>
      </c>
      <c r="D1792" s="2" t="s">
        <v>18</v>
      </c>
      <c r="E1792" s="2" t="s">
        <v>19</v>
      </c>
      <c r="F1792" s="2" t="s">
        <v>14</v>
      </c>
      <c r="G1792" s="2" t="s">
        <v>125</v>
      </c>
      <c r="H1792" s="2">
        <v>6</v>
      </c>
      <c r="I1792" s="4">
        <v>45.45</v>
      </c>
      <c r="J1792" s="2" t="s">
        <v>16</v>
      </c>
      <c r="K1792">
        <f>H1792*I1792</f>
        <v>272.70000000000005</v>
      </c>
      <c r="L1792" t="str">
        <f t="shared" si="54"/>
        <v>Nov</v>
      </c>
      <c r="M1792">
        <f t="shared" si="55"/>
        <v>11</v>
      </c>
    </row>
    <row r="1793" spans="1:13" x14ac:dyDescent="0.25">
      <c r="A1793" s="2" t="s">
        <v>1866</v>
      </c>
      <c r="B1793" s="3">
        <v>45991</v>
      </c>
      <c r="C1793" s="2" t="s">
        <v>190</v>
      </c>
      <c r="D1793" s="2" t="s">
        <v>40</v>
      </c>
      <c r="E1793" s="2" t="s">
        <v>19</v>
      </c>
      <c r="F1793" s="2" t="s">
        <v>14</v>
      </c>
      <c r="G1793" s="2" t="s">
        <v>191</v>
      </c>
      <c r="H1793" s="2">
        <v>2</v>
      </c>
      <c r="I1793" s="4">
        <v>143.41999999999999</v>
      </c>
      <c r="J1793" s="2" t="s">
        <v>16</v>
      </c>
      <c r="K1793">
        <f>H1793*I1793</f>
        <v>286.83999999999997</v>
      </c>
      <c r="L1793" t="str">
        <f t="shared" si="54"/>
        <v>Nov</v>
      </c>
      <c r="M1793">
        <f t="shared" si="55"/>
        <v>11</v>
      </c>
    </row>
    <row r="1794" spans="1:13" x14ac:dyDescent="0.25">
      <c r="A1794" s="2" t="s">
        <v>1867</v>
      </c>
      <c r="B1794" s="3">
        <v>45992</v>
      </c>
      <c r="C1794" s="2" t="s">
        <v>75</v>
      </c>
      <c r="D1794" s="2" t="s">
        <v>75</v>
      </c>
      <c r="E1794" s="2" t="s">
        <v>76</v>
      </c>
      <c r="F1794" s="2" t="s">
        <v>20</v>
      </c>
      <c r="G1794" s="2" t="s">
        <v>21</v>
      </c>
      <c r="H1794" s="2">
        <v>2</v>
      </c>
      <c r="I1794" s="4">
        <v>12.12</v>
      </c>
      <c r="J1794" s="2" t="s">
        <v>16</v>
      </c>
      <c r="K1794">
        <f>H1794*I1794</f>
        <v>24.24</v>
      </c>
      <c r="L1794" t="str">
        <f t="shared" si="54"/>
        <v>Dec</v>
      </c>
      <c r="M1794">
        <f t="shared" si="55"/>
        <v>12</v>
      </c>
    </row>
    <row r="1795" spans="1:13" x14ac:dyDescent="0.25">
      <c r="A1795" s="2" t="s">
        <v>1868</v>
      </c>
      <c r="B1795" s="3">
        <v>45992</v>
      </c>
      <c r="C1795" s="2" t="s">
        <v>34</v>
      </c>
      <c r="D1795" s="2" t="s">
        <v>35</v>
      </c>
      <c r="E1795" s="2" t="s">
        <v>36</v>
      </c>
      <c r="F1795" s="2" t="s">
        <v>14</v>
      </c>
      <c r="G1795" s="2" t="s">
        <v>37</v>
      </c>
      <c r="H1795" s="2">
        <v>6</v>
      </c>
      <c r="I1795" s="4">
        <v>165</v>
      </c>
      <c r="J1795" s="2" t="s">
        <v>16</v>
      </c>
      <c r="K1795">
        <f>H1795*I1795</f>
        <v>990</v>
      </c>
      <c r="L1795" t="str">
        <f t="shared" ref="L1795:L1858" si="56">TEXT(B1795,"mmm")</f>
        <v>Dec</v>
      </c>
      <c r="M1795">
        <f t="shared" ref="M1795:M1858" si="57">MONTH(B1795)</f>
        <v>12</v>
      </c>
    </row>
    <row r="1796" spans="1:13" x14ac:dyDescent="0.25">
      <c r="A1796" s="2" t="s">
        <v>1869</v>
      </c>
      <c r="B1796" s="3">
        <v>45992</v>
      </c>
      <c r="C1796" s="2" t="s">
        <v>18</v>
      </c>
      <c r="D1796" s="2" t="s">
        <v>18</v>
      </c>
      <c r="E1796" s="2" t="s">
        <v>19</v>
      </c>
      <c r="F1796" s="2" t="s">
        <v>20</v>
      </c>
      <c r="G1796" s="2" t="s">
        <v>21</v>
      </c>
      <c r="H1796" s="2">
        <v>1</v>
      </c>
      <c r="I1796" s="4">
        <v>15.15</v>
      </c>
      <c r="J1796" s="2" t="s">
        <v>16</v>
      </c>
      <c r="K1796">
        <f>H1796*I1796</f>
        <v>15.15</v>
      </c>
      <c r="L1796" t="str">
        <f t="shared" si="56"/>
        <v>Dec</v>
      </c>
      <c r="M1796">
        <f t="shared" si="57"/>
        <v>12</v>
      </c>
    </row>
    <row r="1797" spans="1:13" x14ac:dyDescent="0.25">
      <c r="A1797" s="2" t="s">
        <v>1870</v>
      </c>
      <c r="B1797" s="3">
        <v>45992</v>
      </c>
      <c r="C1797" s="2" t="s">
        <v>42</v>
      </c>
      <c r="D1797" s="2" t="s">
        <v>43</v>
      </c>
      <c r="E1797" s="2" t="s">
        <v>44</v>
      </c>
      <c r="F1797" s="2" t="s">
        <v>14</v>
      </c>
      <c r="G1797" s="2" t="s">
        <v>45</v>
      </c>
      <c r="H1797" s="2">
        <v>1</v>
      </c>
      <c r="I1797" s="4">
        <v>46.46</v>
      </c>
      <c r="J1797" s="2" t="s">
        <v>31</v>
      </c>
      <c r="K1797">
        <f>H1797*I1797</f>
        <v>46.46</v>
      </c>
      <c r="L1797" t="str">
        <f t="shared" si="56"/>
        <v>Dec</v>
      </c>
      <c r="M1797">
        <f t="shared" si="57"/>
        <v>12</v>
      </c>
    </row>
    <row r="1798" spans="1:13" x14ac:dyDescent="0.25">
      <c r="A1798" s="2" t="s">
        <v>1871</v>
      </c>
      <c r="B1798" s="3">
        <v>45993</v>
      </c>
      <c r="C1798" s="2" t="s">
        <v>12</v>
      </c>
      <c r="D1798" s="2" t="s">
        <v>12</v>
      </c>
      <c r="E1798" s="2" t="s">
        <v>13</v>
      </c>
      <c r="F1798" s="2" t="s">
        <v>20</v>
      </c>
      <c r="G1798" s="2" t="s">
        <v>21</v>
      </c>
      <c r="H1798" s="2">
        <v>1</v>
      </c>
      <c r="I1798" s="4">
        <v>14.14</v>
      </c>
      <c r="J1798" s="2" t="s">
        <v>22</v>
      </c>
      <c r="K1798">
        <f>H1798*I1798</f>
        <v>14.14</v>
      </c>
      <c r="L1798" t="str">
        <f t="shared" si="56"/>
        <v>Dec</v>
      </c>
      <c r="M1798">
        <f t="shared" si="57"/>
        <v>12</v>
      </c>
    </row>
    <row r="1799" spans="1:13" x14ac:dyDescent="0.25">
      <c r="A1799" s="2" t="s">
        <v>1872</v>
      </c>
      <c r="B1799" s="3">
        <v>45993</v>
      </c>
      <c r="C1799" s="2" t="s">
        <v>40</v>
      </c>
      <c r="D1799" s="2" t="s">
        <v>40</v>
      </c>
      <c r="E1799" s="2" t="s">
        <v>19</v>
      </c>
      <c r="F1799" s="2" t="s">
        <v>20</v>
      </c>
      <c r="G1799" s="2" t="s">
        <v>21</v>
      </c>
      <c r="H1799" s="2">
        <v>1</v>
      </c>
      <c r="I1799" s="4">
        <v>46.46</v>
      </c>
      <c r="J1799" s="2" t="s">
        <v>22</v>
      </c>
      <c r="K1799">
        <f>H1799*I1799</f>
        <v>46.46</v>
      </c>
      <c r="L1799" t="str">
        <f t="shared" si="56"/>
        <v>Dec</v>
      </c>
      <c r="M1799">
        <f t="shared" si="57"/>
        <v>12</v>
      </c>
    </row>
    <row r="1800" spans="1:13" x14ac:dyDescent="0.25">
      <c r="A1800" s="2" t="s">
        <v>1873</v>
      </c>
      <c r="B1800" s="3">
        <v>45993</v>
      </c>
      <c r="C1800" s="2" t="s">
        <v>97</v>
      </c>
      <c r="D1800" s="2" t="s">
        <v>98</v>
      </c>
      <c r="E1800" s="2" t="s">
        <v>99</v>
      </c>
      <c r="F1800" s="2" t="s">
        <v>14</v>
      </c>
      <c r="G1800" s="2" t="s">
        <v>37</v>
      </c>
      <c r="H1800" s="2">
        <v>1</v>
      </c>
      <c r="I1800" s="4">
        <v>183.82</v>
      </c>
      <c r="J1800" s="2" t="s">
        <v>16</v>
      </c>
      <c r="K1800">
        <f>H1800*I1800</f>
        <v>183.82</v>
      </c>
      <c r="L1800" t="str">
        <f t="shared" si="56"/>
        <v>Dec</v>
      </c>
      <c r="M1800">
        <f t="shared" si="57"/>
        <v>12</v>
      </c>
    </row>
    <row r="1801" spans="1:13" x14ac:dyDescent="0.25">
      <c r="A1801" s="2" t="s">
        <v>1874</v>
      </c>
      <c r="B1801" s="3">
        <v>45994</v>
      </c>
      <c r="C1801" s="2" t="s">
        <v>18</v>
      </c>
      <c r="D1801" s="2" t="s">
        <v>18</v>
      </c>
      <c r="E1801" s="2" t="s">
        <v>19</v>
      </c>
      <c r="F1801" s="2" t="s">
        <v>20</v>
      </c>
      <c r="G1801" s="2" t="s">
        <v>21</v>
      </c>
      <c r="H1801" s="2">
        <v>3</v>
      </c>
      <c r="I1801" s="4">
        <v>15</v>
      </c>
      <c r="J1801" s="2" t="s">
        <v>31</v>
      </c>
      <c r="K1801">
        <f>H1801*I1801</f>
        <v>45</v>
      </c>
      <c r="L1801" t="str">
        <f t="shared" si="56"/>
        <v>Dec</v>
      </c>
      <c r="M1801">
        <f t="shared" si="57"/>
        <v>12</v>
      </c>
    </row>
    <row r="1802" spans="1:13" x14ac:dyDescent="0.25">
      <c r="A1802" s="2" t="s">
        <v>1875</v>
      </c>
      <c r="B1802" s="3">
        <v>45994</v>
      </c>
      <c r="C1802" s="2" t="s">
        <v>194</v>
      </c>
      <c r="D1802" s="2" t="s">
        <v>98</v>
      </c>
      <c r="E1802" s="2" t="s">
        <v>99</v>
      </c>
      <c r="F1802" s="2" t="s">
        <v>20</v>
      </c>
      <c r="G1802" s="2" t="s">
        <v>21</v>
      </c>
      <c r="H1802" s="2">
        <v>5</v>
      </c>
      <c r="I1802" s="4">
        <v>70.7</v>
      </c>
      <c r="J1802" s="2" t="s">
        <v>16</v>
      </c>
      <c r="K1802">
        <f>H1802*I1802</f>
        <v>353.5</v>
      </c>
      <c r="L1802" t="str">
        <f t="shared" si="56"/>
        <v>Dec</v>
      </c>
      <c r="M1802">
        <f t="shared" si="57"/>
        <v>12</v>
      </c>
    </row>
    <row r="1803" spans="1:13" x14ac:dyDescent="0.25">
      <c r="A1803" s="2" t="s">
        <v>1876</v>
      </c>
      <c r="B1803" s="3">
        <v>45995</v>
      </c>
      <c r="C1803" s="2" t="s">
        <v>11</v>
      </c>
      <c r="D1803" s="2" t="s">
        <v>12</v>
      </c>
      <c r="E1803" s="2" t="s">
        <v>13</v>
      </c>
      <c r="F1803" s="2" t="s">
        <v>14</v>
      </c>
      <c r="G1803" s="2" t="s">
        <v>15</v>
      </c>
      <c r="H1803" s="2">
        <v>5</v>
      </c>
      <c r="I1803" s="4">
        <v>32.32</v>
      </c>
      <c r="J1803" s="2" t="s">
        <v>16</v>
      </c>
      <c r="K1803">
        <f>H1803*I1803</f>
        <v>161.6</v>
      </c>
      <c r="L1803" t="str">
        <f t="shared" si="56"/>
        <v>Dec</v>
      </c>
      <c r="M1803">
        <f t="shared" si="57"/>
        <v>12</v>
      </c>
    </row>
    <row r="1804" spans="1:13" x14ac:dyDescent="0.25">
      <c r="A1804" s="2" t="s">
        <v>1877</v>
      </c>
      <c r="B1804" s="3">
        <v>45995</v>
      </c>
      <c r="C1804" s="2" t="s">
        <v>75</v>
      </c>
      <c r="D1804" s="2" t="s">
        <v>75</v>
      </c>
      <c r="E1804" s="2" t="s">
        <v>76</v>
      </c>
      <c r="F1804" s="2" t="s">
        <v>20</v>
      </c>
      <c r="G1804" s="2" t="s">
        <v>21</v>
      </c>
      <c r="H1804" s="2">
        <v>6</v>
      </c>
      <c r="I1804" s="4">
        <v>12.12</v>
      </c>
      <c r="J1804" s="2" t="s">
        <v>16</v>
      </c>
      <c r="K1804">
        <f>H1804*I1804</f>
        <v>72.72</v>
      </c>
      <c r="L1804" t="str">
        <f t="shared" si="56"/>
        <v>Dec</v>
      </c>
      <c r="M1804">
        <f t="shared" si="57"/>
        <v>12</v>
      </c>
    </row>
    <row r="1805" spans="1:13" x14ac:dyDescent="0.25">
      <c r="A1805" s="2" t="s">
        <v>1878</v>
      </c>
      <c r="B1805" s="3">
        <v>45995</v>
      </c>
      <c r="C1805" s="2" t="s">
        <v>101</v>
      </c>
      <c r="D1805" s="2" t="s">
        <v>102</v>
      </c>
      <c r="E1805" s="2" t="s">
        <v>36</v>
      </c>
      <c r="F1805" s="2" t="s">
        <v>14</v>
      </c>
      <c r="G1805" s="2" t="s">
        <v>103</v>
      </c>
      <c r="H1805" s="2">
        <v>1</v>
      </c>
      <c r="I1805" s="4">
        <v>92.92</v>
      </c>
      <c r="J1805" s="2" t="s">
        <v>16</v>
      </c>
      <c r="K1805">
        <f>H1805*I1805</f>
        <v>92.92</v>
      </c>
      <c r="L1805" t="str">
        <f t="shared" si="56"/>
        <v>Dec</v>
      </c>
      <c r="M1805">
        <f t="shared" si="57"/>
        <v>12</v>
      </c>
    </row>
    <row r="1806" spans="1:13" x14ac:dyDescent="0.25">
      <c r="A1806" s="2" t="s">
        <v>1879</v>
      </c>
      <c r="B1806" s="3">
        <v>45995</v>
      </c>
      <c r="C1806" s="2" t="s">
        <v>190</v>
      </c>
      <c r="D1806" s="2" t="s">
        <v>40</v>
      </c>
      <c r="E1806" s="2" t="s">
        <v>19</v>
      </c>
      <c r="F1806" s="2" t="s">
        <v>14</v>
      </c>
      <c r="G1806" s="2" t="s">
        <v>191</v>
      </c>
      <c r="H1806" s="2">
        <v>3</v>
      </c>
      <c r="I1806" s="4">
        <v>142</v>
      </c>
      <c r="J1806" s="2" t="s">
        <v>38</v>
      </c>
      <c r="K1806">
        <f>H1806*I1806</f>
        <v>426</v>
      </c>
      <c r="L1806" t="str">
        <f t="shared" si="56"/>
        <v>Dec</v>
      </c>
      <c r="M1806">
        <f t="shared" si="57"/>
        <v>12</v>
      </c>
    </row>
    <row r="1807" spans="1:13" x14ac:dyDescent="0.25">
      <c r="A1807" s="2" t="s">
        <v>1880</v>
      </c>
      <c r="B1807" s="3">
        <v>45995</v>
      </c>
      <c r="C1807" s="2" t="s">
        <v>97</v>
      </c>
      <c r="D1807" s="2" t="s">
        <v>98</v>
      </c>
      <c r="E1807" s="2" t="s">
        <v>99</v>
      </c>
      <c r="F1807" s="2" t="s">
        <v>14</v>
      </c>
      <c r="G1807" s="2" t="s">
        <v>37</v>
      </c>
      <c r="H1807" s="2">
        <v>4</v>
      </c>
      <c r="I1807" s="4">
        <v>183.82</v>
      </c>
      <c r="J1807" s="2" t="s">
        <v>16</v>
      </c>
      <c r="K1807">
        <f>H1807*I1807</f>
        <v>735.28</v>
      </c>
      <c r="L1807" t="str">
        <f t="shared" si="56"/>
        <v>Dec</v>
      </c>
      <c r="M1807">
        <f t="shared" si="57"/>
        <v>12</v>
      </c>
    </row>
    <row r="1808" spans="1:13" x14ac:dyDescent="0.25">
      <c r="A1808" s="2" t="s">
        <v>1881</v>
      </c>
      <c r="B1808" s="3">
        <v>45995</v>
      </c>
      <c r="C1808" s="2" t="s">
        <v>52</v>
      </c>
      <c r="D1808" s="2" t="s">
        <v>30</v>
      </c>
      <c r="E1808" s="2" t="s">
        <v>13</v>
      </c>
      <c r="F1808" s="2" t="s">
        <v>14</v>
      </c>
      <c r="G1808" s="2" t="s">
        <v>53</v>
      </c>
      <c r="H1808" s="2">
        <v>1</v>
      </c>
      <c r="I1808" s="4">
        <v>42</v>
      </c>
      <c r="J1808" s="2" t="s">
        <v>16</v>
      </c>
      <c r="K1808">
        <f>H1808*I1808</f>
        <v>42</v>
      </c>
      <c r="L1808" t="str">
        <f t="shared" si="56"/>
        <v>Dec</v>
      </c>
      <c r="M1808">
        <f t="shared" si="57"/>
        <v>12</v>
      </c>
    </row>
    <row r="1809" spans="1:13" x14ac:dyDescent="0.25">
      <c r="A1809" s="2" t="s">
        <v>1882</v>
      </c>
      <c r="B1809" s="3">
        <v>45995</v>
      </c>
      <c r="C1809" s="2" t="s">
        <v>30</v>
      </c>
      <c r="D1809" s="2" t="s">
        <v>30</v>
      </c>
      <c r="E1809" s="2" t="s">
        <v>13</v>
      </c>
      <c r="F1809" s="2" t="s">
        <v>20</v>
      </c>
      <c r="G1809" s="2" t="s">
        <v>21</v>
      </c>
      <c r="H1809" s="2">
        <v>2</v>
      </c>
      <c r="I1809" s="4">
        <v>15.15</v>
      </c>
      <c r="J1809" s="2" t="s">
        <v>16</v>
      </c>
      <c r="K1809">
        <f>H1809*I1809</f>
        <v>30.3</v>
      </c>
      <c r="L1809" t="str">
        <f t="shared" si="56"/>
        <v>Dec</v>
      </c>
      <c r="M1809">
        <f t="shared" si="57"/>
        <v>12</v>
      </c>
    </row>
    <row r="1810" spans="1:13" x14ac:dyDescent="0.25">
      <c r="A1810" s="2" t="s">
        <v>1883</v>
      </c>
      <c r="B1810" s="3">
        <v>45996</v>
      </c>
      <c r="C1810" s="2" t="s">
        <v>11</v>
      </c>
      <c r="D1810" s="2" t="s">
        <v>12</v>
      </c>
      <c r="E1810" s="2" t="s">
        <v>13</v>
      </c>
      <c r="F1810" s="2" t="s">
        <v>14</v>
      </c>
      <c r="G1810" s="2" t="s">
        <v>15</v>
      </c>
      <c r="H1810" s="2">
        <v>5</v>
      </c>
      <c r="I1810" s="4">
        <v>32.32</v>
      </c>
      <c r="J1810" s="2" t="s">
        <v>16</v>
      </c>
      <c r="K1810">
        <f>H1810*I1810</f>
        <v>161.6</v>
      </c>
      <c r="L1810" t="str">
        <f t="shared" si="56"/>
        <v>Dec</v>
      </c>
      <c r="M1810">
        <f t="shared" si="57"/>
        <v>12</v>
      </c>
    </row>
    <row r="1811" spans="1:13" x14ac:dyDescent="0.25">
      <c r="A1811" s="2" t="s">
        <v>1884</v>
      </c>
      <c r="B1811" s="3">
        <v>45996</v>
      </c>
      <c r="C1811" s="2" t="s">
        <v>74</v>
      </c>
      <c r="D1811" s="2" t="s">
        <v>75</v>
      </c>
      <c r="E1811" s="2" t="s">
        <v>76</v>
      </c>
      <c r="F1811" s="2" t="s">
        <v>14</v>
      </c>
      <c r="G1811" s="2" t="s">
        <v>77</v>
      </c>
      <c r="H1811" s="2">
        <v>3</v>
      </c>
      <c r="I1811" s="4">
        <v>32.32</v>
      </c>
      <c r="J1811" s="2" t="s">
        <v>31</v>
      </c>
      <c r="K1811">
        <f>H1811*I1811</f>
        <v>96.960000000000008</v>
      </c>
      <c r="L1811" t="str">
        <f t="shared" si="56"/>
        <v>Dec</v>
      </c>
      <c r="M1811">
        <f t="shared" si="57"/>
        <v>12</v>
      </c>
    </row>
    <row r="1812" spans="1:13" x14ac:dyDescent="0.25">
      <c r="A1812" s="2" t="s">
        <v>1885</v>
      </c>
      <c r="B1812" s="3">
        <v>45996</v>
      </c>
      <c r="C1812" s="2" t="s">
        <v>119</v>
      </c>
      <c r="D1812" s="2" t="s">
        <v>120</v>
      </c>
      <c r="E1812" s="2" t="s">
        <v>76</v>
      </c>
      <c r="F1812" s="2" t="s">
        <v>14</v>
      </c>
      <c r="G1812" s="2" t="s">
        <v>121</v>
      </c>
      <c r="H1812" s="2">
        <v>3</v>
      </c>
      <c r="I1812" s="4">
        <v>191.9</v>
      </c>
      <c r="J1812" s="2" t="s">
        <v>16</v>
      </c>
      <c r="K1812">
        <f>H1812*I1812</f>
        <v>575.70000000000005</v>
      </c>
      <c r="L1812" t="str">
        <f t="shared" si="56"/>
        <v>Dec</v>
      </c>
      <c r="M1812">
        <f t="shared" si="57"/>
        <v>12</v>
      </c>
    </row>
    <row r="1813" spans="1:13" x14ac:dyDescent="0.25">
      <c r="A1813" s="2" t="s">
        <v>1886</v>
      </c>
      <c r="B1813" s="3">
        <v>45996</v>
      </c>
      <c r="C1813" s="2" t="s">
        <v>124</v>
      </c>
      <c r="D1813" s="2" t="s">
        <v>18</v>
      </c>
      <c r="E1813" s="2" t="s">
        <v>19</v>
      </c>
      <c r="F1813" s="2" t="s">
        <v>14</v>
      </c>
      <c r="G1813" s="2" t="s">
        <v>125</v>
      </c>
      <c r="H1813" s="2">
        <v>6</v>
      </c>
      <c r="I1813" s="4">
        <v>45.45</v>
      </c>
      <c r="J1813" s="2" t="s">
        <v>16</v>
      </c>
      <c r="K1813">
        <f>H1813*I1813</f>
        <v>272.70000000000005</v>
      </c>
      <c r="L1813" t="str">
        <f t="shared" si="56"/>
        <v>Dec</v>
      </c>
      <c r="M1813">
        <f t="shared" si="57"/>
        <v>12</v>
      </c>
    </row>
    <row r="1814" spans="1:13" x14ac:dyDescent="0.25">
      <c r="A1814" s="2" t="s">
        <v>1887</v>
      </c>
      <c r="B1814" s="3">
        <v>45996</v>
      </c>
      <c r="C1814" s="2" t="s">
        <v>18</v>
      </c>
      <c r="D1814" s="2" t="s">
        <v>18</v>
      </c>
      <c r="E1814" s="2" t="s">
        <v>19</v>
      </c>
      <c r="F1814" s="2" t="s">
        <v>20</v>
      </c>
      <c r="G1814" s="2" t="s">
        <v>21</v>
      </c>
      <c r="H1814" s="2">
        <v>6</v>
      </c>
      <c r="I1814" s="4">
        <v>15</v>
      </c>
      <c r="J1814" s="2" t="s">
        <v>16</v>
      </c>
      <c r="K1814">
        <f>H1814*I1814</f>
        <v>90</v>
      </c>
      <c r="L1814" t="str">
        <f t="shared" si="56"/>
        <v>Dec</v>
      </c>
      <c r="M1814">
        <f t="shared" si="57"/>
        <v>12</v>
      </c>
    </row>
    <row r="1815" spans="1:13" x14ac:dyDescent="0.25">
      <c r="A1815" s="2" t="s">
        <v>1888</v>
      </c>
      <c r="B1815" s="3">
        <v>45996</v>
      </c>
      <c r="C1815" s="2" t="s">
        <v>80</v>
      </c>
      <c r="D1815" s="2" t="s">
        <v>80</v>
      </c>
      <c r="E1815" s="2" t="s">
        <v>26</v>
      </c>
      <c r="F1815" s="2" t="s">
        <v>20</v>
      </c>
      <c r="G1815" s="2" t="s">
        <v>21</v>
      </c>
      <c r="H1815" s="2">
        <v>2</v>
      </c>
      <c r="I1815" s="4">
        <v>50.5</v>
      </c>
      <c r="J1815" s="2" t="s">
        <v>16</v>
      </c>
      <c r="K1815">
        <f>H1815*I1815</f>
        <v>101</v>
      </c>
      <c r="L1815" t="str">
        <f t="shared" si="56"/>
        <v>Dec</v>
      </c>
      <c r="M1815">
        <f t="shared" si="57"/>
        <v>12</v>
      </c>
    </row>
    <row r="1816" spans="1:13" x14ac:dyDescent="0.25">
      <c r="A1816" s="2" t="s">
        <v>1889</v>
      </c>
      <c r="B1816" s="3">
        <v>45996</v>
      </c>
      <c r="C1816" s="2" t="s">
        <v>60</v>
      </c>
      <c r="D1816" s="2" t="s">
        <v>61</v>
      </c>
      <c r="E1816" s="2" t="s">
        <v>62</v>
      </c>
      <c r="F1816" s="2" t="s">
        <v>14</v>
      </c>
      <c r="G1816" s="2" t="s">
        <v>63</v>
      </c>
      <c r="H1816" s="2">
        <v>2</v>
      </c>
      <c r="I1816" s="4">
        <v>26.26</v>
      </c>
      <c r="J1816" s="2" t="s">
        <v>16</v>
      </c>
      <c r="K1816">
        <f>H1816*I1816</f>
        <v>52.52</v>
      </c>
      <c r="L1816" t="str">
        <f t="shared" si="56"/>
        <v>Dec</v>
      </c>
      <c r="M1816">
        <f t="shared" si="57"/>
        <v>12</v>
      </c>
    </row>
    <row r="1817" spans="1:13" x14ac:dyDescent="0.25">
      <c r="A1817" s="2" t="s">
        <v>1890</v>
      </c>
      <c r="B1817" s="3">
        <v>45997</v>
      </c>
      <c r="C1817" s="2" t="s">
        <v>11</v>
      </c>
      <c r="D1817" s="2" t="s">
        <v>12</v>
      </c>
      <c r="E1817" s="2" t="s">
        <v>13</v>
      </c>
      <c r="F1817" s="2" t="s">
        <v>14</v>
      </c>
      <c r="G1817" s="2" t="s">
        <v>15</v>
      </c>
      <c r="H1817" s="2">
        <v>3</v>
      </c>
      <c r="I1817" s="4">
        <v>32</v>
      </c>
      <c r="J1817" s="2" t="s">
        <v>16</v>
      </c>
      <c r="K1817">
        <f>H1817*I1817</f>
        <v>96</v>
      </c>
      <c r="L1817" t="str">
        <f t="shared" si="56"/>
        <v>Dec</v>
      </c>
      <c r="M1817">
        <f t="shared" si="57"/>
        <v>12</v>
      </c>
    </row>
    <row r="1818" spans="1:13" x14ac:dyDescent="0.25">
      <c r="A1818" s="2" t="s">
        <v>1891</v>
      </c>
      <c r="B1818" s="3">
        <v>45997</v>
      </c>
      <c r="C1818" s="2" t="s">
        <v>120</v>
      </c>
      <c r="D1818" s="2" t="s">
        <v>120</v>
      </c>
      <c r="E1818" s="2" t="s">
        <v>76</v>
      </c>
      <c r="F1818" s="2" t="s">
        <v>20</v>
      </c>
      <c r="G1818" s="2" t="s">
        <v>21</v>
      </c>
      <c r="H1818" s="2">
        <v>12</v>
      </c>
      <c r="I1818" s="4">
        <v>42.42</v>
      </c>
      <c r="J1818" s="2" t="s">
        <v>16</v>
      </c>
      <c r="K1818">
        <f>H1818*I1818</f>
        <v>509.04</v>
      </c>
      <c r="L1818" t="str">
        <f t="shared" si="56"/>
        <v>Dec</v>
      </c>
      <c r="M1818">
        <f t="shared" si="57"/>
        <v>12</v>
      </c>
    </row>
    <row r="1819" spans="1:13" x14ac:dyDescent="0.25">
      <c r="A1819" s="2" t="s">
        <v>1892</v>
      </c>
      <c r="B1819" s="3">
        <v>45997</v>
      </c>
      <c r="C1819" s="2" t="s">
        <v>120</v>
      </c>
      <c r="D1819" s="2" t="s">
        <v>120</v>
      </c>
      <c r="E1819" s="2" t="s">
        <v>76</v>
      </c>
      <c r="F1819" s="2" t="s">
        <v>20</v>
      </c>
      <c r="G1819" s="2" t="s">
        <v>21</v>
      </c>
      <c r="H1819" s="2">
        <v>12</v>
      </c>
      <c r="I1819" s="4">
        <v>42.42</v>
      </c>
      <c r="J1819" s="2" t="s">
        <v>16</v>
      </c>
      <c r="K1819">
        <f>H1819*I1819</f>
        <v>509.04</v>
      </c>
      <c r="L1819" t="str">
        <f t="shared" si="56"/>
        <v>Dec</v>
      </c>
      <c r="M1819">
        <f t="shared" si="57"/>
        <v>12</v>
      </c>
    </row>
    <row r="1820" spans="1:13" x14ac:dyDescent="0.25">
      <c r="A1820" s="2" t="s">
        <v>1893</v>
      </c>
      <c r="B1820" s="3">
        <v>45997</v>
      </c>
      <c r="C1820" s="2" t="s">
        <v>101</v>
      </c>
      <c r="D1820" s="2" t="s">
        <v>102</v>
      </c>
      <c r="E1820" s="2" t="s">
        <v>36</v>
      </c>
      <c r="F1820" s="2" t="s">
        <v>14</v>
      </c>
      <c r="G1820" s="2" t="s">
        <v>103</v>
      </c>
      <c r="H1820" s="2">
        <v>3</v>
      </c>
      <c r="I1820" s="4">
        <v>92</v>
      </c>
      <c r="J1820" s="2" t="s">
        <v>31</v>
      </c>
      <c r="K1820">
        <f>H1820*I1820</f>
        <v>276</v>
      </c>
      <c r="L1820" t="str">
        <f t="shared" si="56"/>
        <v>Dec</v>
      </c>
      <c r="M1820">
        <f t="shared" si="57"/>
        <v>12</v>
      </c>
    </row>
    <row r="1821" spans="1:13" x14ac:dyDescent="0.25">
      <c r="A1821" s="2" t="s">
        <v>1894</v>
      </c>
      <c r="B1821" s="3">
        <v>45997</v>
      </c>
      <c r="C1821" s="2" t="s">
        <v>79</v>
      </c>
      <c r="D1821" s="2" t="s">
        <v>80</v>
      </c>
      <c r="E1821" s="2" t="s">
        <v>26</v>
      </c>
      <c r="F1821" s="2" t="s">
        <v>14</v>
      </c>
      <c r="G1821" s="2" t="s">
        <v>81</v>
      </c>
      <c r="H1821" s="2">
        <v>1</v>
      </c>
      <c r="I1821" s="4">
        <v>153.52000000000001</v>
      </c>
      <c r="J1821" s="2" t="s">
        <v>16</v>
      </c>
      <c r="K1821">
        <f>H1821*I1821</f>
        <v>153.52000000000001</v>
      </c>
      <c r="L1821" t="str">
        <f t="shared" si="56"/>
        <v>Dec</v>
      </c>
      <c r="M1821">
        <f t="shared" si="57"/>
        <v>12</v>
      </c>
    </row>
    <row r="1822" spans="1:13" x14ac:dyDescent="0.25">
      <c r="A1822" s="2" t="s">
        <v>1895</v>
      </c>
      <c r="B1822" s="3">
        <v>45997</v>
      </c>
      <c r="C1822" s="2" t="s">
        <v>60</v>
      </c>
      <c r="D1822" s="2" t="s">
        <v>61</v>
      </c>
      <c r="E1822" s="2" t="s">
        <v>62</v>
      </c>
      <c r="F1822" s="2" t="s">
        <v>14</v>
      </c>
      <c r="G1822" s="2" t="s">
        <v>63</v>
      </c>
      <c r="H1822" s="2">
        <v>3</v>
      </c>
      <c r="I1822" s="4">
        <v>26</v>
      </c>
      <c r="J1822" s="2" t="s">
        <v>31</v>
      </c>
      <c r="K1822">
        <f>H1822*I1822</f>
        <v>78</v>
      </c>
      <c r="L1822" t="str">
        <f t="shared" si="56"/>
        <v>Dec</v>
      </c>
      <c r="M1822">
        <f t="shared" si="57"/>
        <v>12</v>
      </c>
    </row>
    <row r="1823" spans="1:13" x14ac:dyDescent="0.25">
      <c r="A1823" s="2" t="s">
        <v>1896</v>
      </c>
      <c r="B1823" s="3">
        <v>45997</v>
      </c>
      <c r="C1823" s="2" t="s">
        <v>61</v>
      </c>
      <c r="D1823" s="2" t="s">
        <v>61</v>
      </c>
      <c r="E1823" s="2" t="s">
        <v>62</v>
      </c>
      <c r="F1823" s="2" t="s">
        <v>20</v>
      </c>
      <c r="G1823" s="2" t="s">
        <v>21</v>
      </c>
      <c r="H1823" s="2">
        <v>5</v>
      </c>
      <c r="I1823" s="4">
        <v>8.08</v>
      </c>
      <c r="J1823" s="2" t="s">
        <v>31</v>
      </c>
      <c r="K1823">
        <f>H1823*I1823</f>
        <v>40.4</v>
      </c>
      <c r="L1823" t="str">
        <f t="shared" si="56"/>
        <v>Dec</v>
      </c>
      <c r="M1823">
        <f t="shared" si="57"/>
        <v>12</v>
      </c>
    </row>
    <row r="1824" spans="1:13" x14ac:dyDescent="0.25">
      <c r="A1824" s="2" t="s">
        <v>1897</v>
      </c>
      <c r="B1824" s="3">
        <v>45997</v>
      </c>
      <c r="C1824" s="2" t="s">
        <v>61</v>
      </c>
      <c r="D1824" s="2" t="s">
        <v>61</v>
      </c>
      <c r="E1824" s="2" t="s">
        <v>62</v>
      </c>
      <c r="F1824" s="2" t="s">
        <v>20</v>
      </c>
      <c r="G1824" s="2" t="s">
        <v>21</v>
      </c>
      <c r="H1824" s="2">
        <v>3</v>
      </c>
      <c r="I1824" s="4">
        <v>8.08</v>
      </c>
      <c r="J1824" s="2" t="s">
        <v>16</v>
      </c>
      <c r="K1824">
        <f>H1824*I1824</f>
        <v>24.240000000000002</v>
      </c>
      <c r="L1824" t="str">
        <f t="shared" si="56"/>
        <v>Dec</v>
      </c>
      <c r="M1824">
        <f t="shared" si="57"/>
        <v>12</v>
      </c>
    </row>
    <row r="1825" spans="1:13" x14ac:dyDescent="0.25">
      <c r="A1825" s="2" t="s">
        <v>1898</v>
      </c>
      <c r="B1825" s="3">
        <v>45997</v>
      </c>
      <c r="C1825" s="2" t="s">
        <v>194</v>
      </c>
      <c r="D1825" s="2" t="s">
        <v>98</v>
      </c>
      <c r="E1825" s="2" t="s">
        <v>99</v>
      </c>
      <c r="F1825" s="2" t="s">
        <v>20</v>
      </c>
      <c r="G1825" s="2" t="s">
        <v>21</v>
      </c>
      <c r="H1825" s="2">
        <v>1</v>
      </c>
      <c r="I1825" s="4">
        <v>70.7</v>
      </c>
      <c r="J1825" s="2" t="s">
        <v>16</v>
      </c>
      <c r="K1825">
        <f>H1825*I1825</f>
        <v>70.7</v>
      </c>
      <c r="L1825" t="str">
        <f t="shared" si="56"/>
        <v>Dec</v>
      </c>
      <c r="M1825">
        <f t="shared" si="57"/>
        <v>12</v>
      </c>
    </row>
    <row r="1826" spans="1:13" x14ac:dyDescent="0.25">
      <c r="A1826" s="2" t="s">
        <v>1899</v>
      </c>
      <c r="B1826" s="3">
        <v>45998</v>
      </c>
      <c r="C1826" s="2" t="s">
        <v>86</v>
      </c>
      <c r="D1826" s="2" t="s">
        <v>48</v>
      </c>
      <c r="E1826" s="2" t="s">
        <v>49</v>
      </c>
      <c r="F1826" s="2" t="s">
        <v>14</v>
      </c>
      <c r="G1826" s="2" t="s">
        <v>87</v>
      </c>
      <c r="H1826" s="2">
        <v>1</v>
      </c>
      <c r="I1826" s="4">
        <v>126.25</v>
      </c>
      <c r="J1826" s="2" t="s">
        <v>16</v>
      </c>
      <c r="K1826">
        <f>H1826*I1826</f>
        <v>126.25</v>
      </c>
      <c r="L1826" t="str">
        <f t="shared" si="56"/>
        <v>Dec</v>
      </c>
      <c r="M1826">
        <f t="shared" si="57"/>
        <v>12</v>
      </c>
    </row>
    <row r="1827" spans="1:13" x14ac:dyDescent="0.25">
      <c r="A1827" s="2" t="s">
        <v>1900</v>
      </c>
      <c r="B1827" s="3">
        <v>45998</v>
      </c>
      <c r="C1827" s="2" t="s">
        <v>74</v>
      </c>
      <c r="D1827" s="2" t="s">
        <v>75</v>
      </c>
      <c r="E1827" s="2" t="s">
        <v>76</v>
      </c>
      <c r="F1827" s="2" t="s">
        <v>14</v>
      </c>
      <c r="G1827" s="2" t="s">
        <v>77</v>
      </c>
      <c r="H1827" s="2">
        <v>6</v>
      </c>
      <c r="I1827" s="4">
        <v>32.32</v>
      </c>
      <c r="J1827" s="2" t="s">
        <v>16</v>
      </c>
      <c r="K1827">
        <f>H1827*I1827</f>
        <v>193.92000000000002</v>
      </c>
      <c r="L1827" t="str">
        <f t="shared" si="56"/>
        <v>Dec</v>
      </c>
      <c r="M1827">
        <f t="shared" si="57"/>
        <v>12</v>
      </c>
    </row>
    <row r="1828" spans="1:13" x14ac:dyDescent="0.25">
      <c r="A1828" s="2" t="s">
        <v>1901</v>
      </c>
      <c r="B1828" s="3">
        <v>45998</v>
      </c>
      <c r="C1828" s="2" t="s">
        <v>18</v>
      </c>
      <c r="D1828" s="2" t="s">
        <v>18</v>
      </c>
      <c r="E1828" s="2" t="s">
        <v>19</v>
      </c>
      <c r="F1828" s="2" t="s">
        <v>20</v>
      </c>
      <c r="G1828" s="2" t="s">
        <v>21</v>
      </c>
      <c r="H1828" s="2">
        <v>3</v>
      </c>
      <c r="I1828" s="4">
        <v>15.15</v>
      </c>
      <c r="J1828" s="2" t="s">
        <v>16</v>
      </c>
      <c r="K1828">
        <f>H1828*I1828</f>
        <v>45.45</v>
      </c>
      <c r="L1828" t="str">
        <f t="shared" si="56"/>
        <v>Dec</v>
      </c>
      <c r="M1828">
        <f t="shared" si="57"/>
        <v>12</v>
      </c>
    </row>
    <row r="1829" spans="1:13" x14ac:dyDescent="0.25">
      <c r="A1829" s="2" t="s">
        <v>1902</v>
      </c>
      <c r="B1829" s="3">
        <v>45998</v>
      </c>
      <c r="C1829" s="2" t="s">
        <v>18</v>
      </c>
      <c r="D1829" s="2" t="s">
        <v>18</v>
      </c>
      <c r="E1829" s="2" t="s">
        <v>19</v>
      </c>
      <c r="F1829" s="2" t="s">
        <v>20</v>
      </c>
      <c r="G1829" s="2" t="s">
        <v>21</v>
      </c>
      <c r="H1829" s="2">
        <v>1</v>
      </c>
      <c r="I1829" s="4">
        <v>15.15</v>
      </c>
      <c r="J1829" s="2" t="s">
        <v>38</v>
      </c>
      <c r="K1829">
        <f>H1829*I1829</f>
        <v>15.15</v>
      </c>
      <c r="L1829" t="str">
        <f t="shared" si="56"/>
        <v>Dec</v>
      </c>
      <c r="M1829">
        <f t="shared" si="57"/>
        <v>12</v>
      </c>
    </row>
    <row r="1830" spans="1:13" x14ac:dyDescent="0.25">
      <c r="A1830" s="2" t="s">
        <v>1903</v>
      </c>
      <c r="B1830" s="3">
        <v>45998</v>
      </c>
      <c r="C1830" s="2" t="s">
        <v>80</v>
      </c>
      <c r="D1830" s="2" t="s">
        <v>80</v>
      </c>
      <c r="E1830" s="2" t="s">
        <v>26</v>
      </c>
      <c r="F1830" s="2" t="s">
        <v>20</v>
      </c>
      <c r="G1830" s="2" t="s">
        <v>21</v>
      </c>
      <c r="H1830" s="2">
        <v>1</v>
      </c>
      <c r="I1830" s="4">
        <v>50.5</v>
      </c>
      <c r="J1830" s="2" t="s">
        <v>16</v>
      </c>
      <c r="K1830">
        <f>H1830*I1830</f>
        <v>50.5</v>
      </c>
      <c r="L1830" t="str">
        <f t="shared" si="56"/>
        <v>Dec</v>
      </c>
      <c r="M1830">
        <f t="shared" si="57"/>
        <v>12</v>
      </c>
    </row>
    <row r="1831" spans="1:13" x14ac:dyDescent="0.25">
      <c r="A1831" s="2" t="s">
        <v>1904</v>
      </c>
      <c r="B1831" s="3">
        <v>45998</v>
      </c>
      <c r="C1831" s="2" t="s">
        <v>25</v>
      </c>
      <c r="D1831" s="2" t="s">
        <v>25</v>
      </c>
      <c r="E1831" s="2" t="s">
        <v>26</v>
      </c>
      <c r="F1831" s="2" t="s">
        <v>20</v>
      </c>
      <c r="G1831" s="2" t="s">
        <v>21</v>
      </c>
      <c r="H1831" s="2">
        <v>1</v>
      </c>
      <c r="I1831" s="4">
        <v>20</v>
      </c>
      <c r="J1831" s="2" t="s">
        <v>16</v>
      </c>
      <c r="K1831">
        <f>H1831*I1831</f>
        <v>20</v>
      </c>
      <c r="L1831" t="str">
        <f t="shared" si="56"/>
        <v>Dec</v>
      </c>
      <c r="M1831">
        <f t="shared" si="57"/>
        <v>12</v>
      </c>
    </row>
    <row r="1832" spans="1:13" x14ac:dyDescent="0.25">
      <c r="A1832" s="2" t="s">
        <v>1905</v>
      </c>
      <c r="B1832" s="3">
        <v>45998</v>
      </c>
      <c r="C1832" s="2" t="s">
        <v>60</v>
      </c>
      <c r="D1832" s="2" t="s">
        <v>61</v>
      </c>
      <c r="E1832" s="2" t="s">
        <v>62</v>
      </c>
      <c r="F1832" s="2" t="s">
        <v>14</v>
      </c>
      <c r="G1832" s="2" t="s">
        <v>63</v>
      </c>
      <c r="H1832" s="2">
        <v>1</v>
      </c>
      <c r="I1832" s="4">
        <v>26</v>
      </c>
      <c r="J1832" s="2" t="s">
        <v>22</v>
      </c>
      <c r="K1832">
        <f>H1832*I1832</f>
        <v>26</v>
      </c>
      <c r="L1832" t="str">
        <f t="shared" si="56"/>
        <v>Dec</v>
      </c>
      <c r="M1832">
        <f t="shared" si="57"/>
        <v>12</v>
      </c>
    </row>
    <row r="1833" spans="1:13" x14ac:dyDescent="0.25">
      <c r="A1833" s="2" t="s">
        <v>1906</v>
      </c>
      <c r="B1833" s="3">
        <v>45998</v>
      </c>
      <c r="C1833" s="2" t="s">
        <v>61</v>
      </c>
      <c r="D1833" s="2" t="s">
        <v>61</v>
      </c>
      <c r="E1833" s="2" t="s">
        <v>62</v>
      </c>
      <c r="F1833" s="2" t="s">
        <v>20</v>
      </c>
      <c r="G1833" s="2" t="s">
        <v>21</v>
      </c>
      <c r="H1833" s="2">
        <v>2</v>
      </c>
      <c r="I1833" s="4">
        <v>8.08</v>
      </c>
      <c r="J1833" s="2" t="s">
        <v>31</v>
      </c>
      <c r="K1833">
        <f>H1833*I1833</f>
        <v>16.16</v>
      </c>
      <c r="L1833" t="str">
        <f t="shared" si="56"/>
        <v>Dec</v>
      </c>
      <c r="M1833">
        <f t="shared" si="57"/>
        <v>12</v>
      </c>
    </row>
    <row r="1834" spans="1:13" x14ac:dyDescent="0.25">
      <c r="A1834" s="2" t="s">
        <v>1907</v>
      </c>
      <c r="B1834" s="3">
        <v>45998</v>
      </c>
      <c r="C1834" s="2" t="s">
        <v>52</v>
      </c>
      <c r="D1834" s="2" t="s">
        <v>30</v>
      </c>
      <c r="E1834" s="2" t="s">
        <v>13</v>
      </c>
      <c r="F1834" s="2" t="s">
        <v>14</v>
      </c>
      <c r="G1834" s="2" t="s">
        <v>53</v>
      </c>
      <c r="H1834" s="2">
        <v>3</v>
      </c>
      <c r="I1834" s="4">
        <v>42</v>
      </c>
      <c r="J1834" s="2" t="s">
        <v>38</v>
      </c>
      <c r="K1834">
        <f>H1834*I1834</f>
        <v>126</v>
      </c>
      <c r="L1834" t="str">
        <f t="shared" si="56"/>
        <v>Dec</v>
      </c>
      <c r="M1834">
        <f t="shared" si="57"/>
        <v>12</v>
      </c>
    </row>
    <row r="1835" spans="1:13" x14ac:dyDescent="0.25">
      <c r="A1835" s="2" t="s">
        <v>1908</v>
      </c>
      <c r="B1835" s="3">
        <v>45999</v>
      </c>
      <c r="C1835" s="2" t="s">
        <v>11</v>
      </c>
      <c r="D1835" s="2" t="s">
        <v>12</v>
      </c>
      <c r="E1835" s="2" t="s">
        <v>13</v>
      </c>
      <c r="F1835" s="2" t="s">
        <v>14</v>
      </c>
      <c r="G1835" s="2" t="s">
        <v>15</v>
      </c>
      <c r="H1835" s="2">
        <v>3</v>
      </c>
      <c r="I1835" s="4">
        <v>32.32</v>
      </c>
      <c r="J1835" s="2" t="s">
        <v>38</v>
      </c>
      <c r="K1835">
        <f>H1835*I1835</f>
        <v>96.960000000000008</v>
      </c>
      <c r="L1835" t="str">
        <f t="shared" si="56"/>
        <v>Dec</v>
      </c>
      <c r="M1835">
        <f t="shared" si="57"/>
        <v>12</v>
      </c>
    </row>
    <row r="1836" spans="1:13" x14ac:dyDescent="0.25">
      <c r="A1836" s="2" t="s">
        <v>1909</v>
      </c>
      <c r="B1836" s="3">
        <v>45999</v>
      </c>
      <c r="C1836" s="2" t="s">
        <v>11</v>
      </c>
      <c r="D1836" s="2" t="s">
        <v>12</v>
      </c>
      <c r="E1836" s="2" t="s">
        <v>13</v>
      </c>
      <c r="F1836" s="2" t="s">
        <v>14</v>
      </c>
      <c r="G1836" s="2" t="s">
        <v>15</v>
      </c>
      <c r="H1836" s="2">
        <v>1</v>
      </c>
      <c r="I1836" s="4">
        <v>32.32</v>
      </c>
      <c r="J1836" s="2" t="s">
        <v>31</v>
      </c>
      <c r="K1836">
        <f>H1836*I1836</f>
        <v>32.32</v>
      </c>
      <c r="L1836" t="str">
        <f t="shared" si="56"/>
        <v>Dec</v>
      </c>
      <c r="M1836">
        <f t="shared" si="57"/>
        <v>12</v>
      </c>
    </row>
    <row r="1837" spans="1:13" x14ac:dyDescent="0.25">
      <c r="A1837" s="2" t="s">
        <v>1910</v>
      </c>
      <c r="B1837" s="3">
        <v>45999</v>
      </c>
      <c r="C1837" s="2" t="s">
        <v>86</v>
      </c>
      <c r="D1837" s="2" t="s">
        <v>48</v>
      </c>
      <c r="E1837" s="2" t="s">
        <v>49</v>
      </c>
      <c r="F1837" s="2" t="s">
        <v>14</v>
      </c>
      <c r="G1837" s="2" t="s">
        <v>87</v>
      </c>
      <c r="H1837" s="2">
        <v>1</v>
      </c>
      <c r="I1837" s="4">
        <v>125</v>
      </c>
      <c r="J1837" s="2" t="s">
        <v>16</v>
      </c>
      <c r="K1837">
        <f>H1837*I1837</f>
        <v>125</v>
      </c>
      <c r="L1837" t="str">
        <f t="shared" si="56"/>
        <v>Dec</v>
      </c>
      <c r="M1837">
        <f t="shared" si="57"/>
        <v>12</v>
      </c>
    </row>
    <row r="1838" spans="1:13" x14ac:dyDescent="0.25">
      <c r="A1838" s="2" t="s">
        <v>1911</v>
      </c>
      <c r="B1838" s="3">
        <v>45999</v>
      </c>
      <c r="C1838" s="2" t="s">
        <v>119</v>
      </c>
      <c r="D1838" s="2" t="s">
        <v>120</v>
      </c>
      <c r="E1838" s="2" t="s">
        <v>76</v>
      </c>
      <c r="F1838" s="2" t="s">
        <v>14</v>
      </c>
      <c r="G1838" s="2" t="s">
        <v>121</v>
      </c>
      <c r="H1838" s="2">
        <v>3</v>
      </c>
      <c r="I1838" s="4">
        <v>191.9</v>
      </c>
      <c r="J1838" s="2" t="s">
        <v>31</v>
      </c>
      <c r="K1838">
        <f>H1838*I1838</f>
        <v>575.70000000000005</v>
      </c>
      <c r="L1838" t="str">
        <f t="shared" si="56"/>
        <v>Dec</v>
      </c>
      <c r="M1838">
        <f t="shared" si="57"/>
        <v>12</v>
      </c>
    </row>
    <row r="1839" spans="1:13" x14ac:dyDescent="0.25">
      <c r="A1839" s="2" t="s">
        <v>1912</v>
      </c>
      <c r="B1839" s="3">
        <v>45999</v>
      </c>
      <c r="C1839" s="2" t="s">
        <v>25</v>
      </c>
      <c r="D1839" s="2" t="s">
        <v>25</v>
      </c>
      <c r="E1839" s="2" t="s">
        <v>26</v>
      </c>
      <c r="F1839" s="2" t="s">
        <v>20</v>
      </c>
      <c r="G1839" s="2" t="s">
        <v>21</v>
      </c>
      <c r="H1839" s="2">
        <v>1</v>
      </c>
      <c r="I1839" s="4">
        <v>20.2</v>
      </c>
      <c r="J1839" s="2" t="s">
        <v>16</v>
      </c>
      <c r="K1839">
        <f>H1839*I1839</f>
        <v>20.2</v>
      </c>
      <c r="L1839" t="str">
        <f t="shared" si="56"/>
        <v>Dec</v>
      </c>
      <c r="M1839">
        <f t="shared" si="57"/>
        <v>12</v>
      </c>
    </row>
    <row r="1840" spans="1:13" x14ac:dyDescent="0.25">
      <c r="A1840" s="2" t="s">
        <v>1913</v>
      </c>
      <c r="B1840" s="3">
        <v>45999</v>
      </c>
      <c r="C1840" s="2" t="s">
        <v>97</v>
      </c>
      <c r="D1840" s="2" t="s">
        <v>98</v>
      </c>
      <c r="E1840" s="2" t="s">
        <v>99</v>
      </c>
      <c r="F1840" s="2" t="s">
        <v>14</v>
      </c>
      <c r="G1840" s="2" t="s">
        <v>37</v>
      </c>
      <c r="H1840" s="2">
        <v>4</v>
      </c>
      <c r="I1840" s="4">
        <v>183.82</v>
      </c>
      <c r="J1840" s="2" t="s">
        <v>16</v>
      </c>
      <c r="K1840">
        <f>H1840*I1840</f>
        <v>735.28</v>
      </c>
      <c r="L1840" t="str">
        <f t="shared" si="56"/>
        <v>Dec</v>
      </c>
      <c r="M1840">
        <f t="shared" si="57"/>
        <v>12</v>
      </c>
    </row>
    <row r="1841" spans="1:13" x14ac:dyDescent="0.25">
      <c r="A1841" s="2" t="s">
        <v>1914</v>
      </c>
      <c r="B1841" s="3">
        <v>46000</v>
      </c>
      <c r="C1841" s="2" t="s">
        <v>74</v>
      </c>
      <c r="D1841" s="2" t="s">
        <v>75</v>
      </c>
      <c r="E1841" s="2" t="s">
        <v>76</v>
      </c>
      <c r="F1841" s="2" t="s">
        <v>14</v>
      </c>
      <c r="G1841" s="2" t="s">
        <v>77</v>
      </c>
      <c r="H1841" s="2">
        <v>1</v>
      </c>
      <c r="I1841" s="4">
        <v>32.32</v>
      </c>
      <c r="J1841" s="2" t="s">
        <v>16</v>
      </c>
      <c r="K1841">
        <f>H1841*I1841</f>
        <v>32.32</v>
      </c>
      <c r="L1841" t="str">
        <f t="shared" si="56"/>
        <v>Dec</v>
      </c>
      <c r="M1841">
        <f t="shared" si="57"/>
        <v>12</v>
      </c>
    </row>
    <row r="1842" spans="1:13" x14ac:dyDescent="0.25">
      <c r="A1842" s="2" t="s">
        <v>1915</v>
      </c>
      <c r="B1842" s="3">
        <v>46000</v>
      </c>
      <c r="C1842" s="2" t="s">
        <v>40</v>
      </c>
      <c r="D1842" s="2" t="s">
        <v>40</v>
      </c>
      <c r="E1842" s="2" t="s">
        <v>19</v>
      </c>
      <c r="F1842" s="2" t="s">
        <v>20</v>
      </c>
      <c r="G1842" s="2" t="s">
        <v>21</v>
      </c>
      <c r="H1842" s="2">
        <v>12</v>
      </c>
      <c r="I1842" s="4">
        <v>46.46</v>
      </c>
      <c r="J1842" s="2" t="s">
        <v>22</v>
      </c>
      <c r="K1842">
        <f>H1842*I1842</f>
        <v>557.52</v>
      </c>
      <c r="L1842" t="str">
        <f t="shared" si="56"/>
        <v>Dec</v>
      </c>
      <c r="M1842">
        <f t="shared" si="57"/>
        <v>12</v>
      </c>
    </row>
    <row r="1843" spans="1:13" x14ac:dyDescent="0.25">
      <c r="A1843" s="2" t="s">
        <v>1916</v>
      </c>
      <c r="B1843" s="3">
        <v>46000</v>
      </c>
      <c r="C1843" s="2" t="s">
        <v>52</v>
      </c>
      <c r="D1843" s="2" t="s">
        <v>30</v>
      </c>
      <c r="E1843" s="2" t="s">
        <v>13</v>
      </c>
      <c r="F1843" s="2" t="s">
        <v>14</v>
      </c>
      <c r="G1843" s="2" t="s">
        <v>53</v>
      </c>
      <c r="H1843" s="2">
        <v>2</v>
      </c>
      <c r="I1843" s="4">
        <v>42.42</v>
      </c>
      <c r="J1843" s="2" t="s">
        <v>16</v>
      </c>
      <c r="K1843">
        <f>H1843*I1843</f>
        <v>84.84</v>
      </c>
      <c r="L1843" t="str">
        <f t="shared" si="56"/>
        <v>Dec</v>
      </c>
      <c r="M1843">
        <f t="shared" si="57"/>
        <v>12</v>
      </c>
    </row>
    <row r="1844" spans="1:13" x14ac:dyDescent="0.25">
      <c r="A1844" s="2" t="s">
        <v>1917</v>
      </c>
      <c r="B1844" s="3">
        <v>46000</v>
      </c>
      <c r="C1844" s="2" t="s">
        <v>30</v>
      </c>
      <c r="D1844" s="2" t="s">
        <v>30</v>
      </c>
      <c r="E1844" s="2" t="s">
        <v>13</v>
      </c>
      <c r="F1844" s="2" t="s">
        <v>20</v>
      </c>
      <c r="G1844" s="2" t="s">
        <v>21</v>
      </c>
      <c r="H1844" s="2">
        <v>1</v>
      </c>
      <c r="I1844" s="4">
        <v>15.15</v>
      </c>
      <c r="J1844" s="2" t="s">
        <v>31</v>
      </c>
      <c r="K1844">
        <f>H1844*I1844</f>
        <v>15.15</v>
      </c>
      <c r="L1844" t="str">
        <f t="shared" si="56"/>
        <v>Dec</v>
      </c>
      <c r="M1844">
        <f t="shared" si="57"/>
        <v>12</v>
      </c>
    </row>
    <row r="1845" spans="1:13" x14ac:dyDescent="0.25">
      <c r="A1845" s="2" t="s">
        <v>1918</v>
      </c>
      <c r="B1845" s="3">
        <v>46001</v>
      </c>
      <c r="C1845" s="2" t="s">
        <v>75</v>
      </c>
      <c r="D1845" s="2" t="s">
        <v>75</v>
      </c>
      <c r="E1845" s="2" t="s">
        <v>76</v>
      </c>
      <c r="F1845" s="2" t="s">
        <v>20</v>
      </c>
      <c r="G1845" s="2" t="s">
        <v>21</v>
      </c>
      <c r="H1845" s="2">
        <v>1</v>
      </c>
      <c r="I1845" s="4">
        <v>12</v>
      </c>
      <c r="J1845" s="2" t="s">
        <v>16</v>
      </c>
      <c r="K1845">
        <f>H1845*I1845</f>
        <v>12</v>
      </c>
      <c r="L1845" t="str">
        <f t="shared" si="56"/>
        <v>Dec</v>
      </c>
      <c r="M1845">
        <f t="shared" si="57"/>
        <v>12</v>
      </c>
    </row>
    <row r="1846" spans="1:13" x14ac:dyDescent="0.25">
      <c r="A1846" s="2" t="s">
        <v>1919</v>
      </c>
      <c r="B1846" s="3">
        <v>46001</v>
      </c>
      <c r="C1846" s="2" t="s">
        <v>75</v>
      </c>
      <c r="D1846" s="2" t="s">
        <v>75</v>
      </c>
      <c r="E1846" s="2" t="s">
        <v>76</v>
      </c>
      <c r="F1846" s="2" t="s">
        <v>20</v>
      </c>
      <c r="G1846" s="2" t="s">
        <v>21</v>
      </c>
      <c r="H1846" s="2">
        <v>6</v>
      </c>
      <c r="I1846" s="4">
        <v>12.12</v>
      </c>
      <c r="J1846" s="2" t="s">
        <v>16</v>
      </c>
      <c r="K1846">
        <f>H1846*I1846</f>
        <v>72.72</v>
      </c>
      <c r="L1846" t="str">
        <f t="shared" si="56"/>
        <v>Dec</v>
      </c>
      <c r="M1846">
        <f t="shared" si="57"/>
        <v>12</v>
      </c>
    </row>
    <row r="1847" spans="1:13" x14ac:dyDescent="0.25">
      <c r="A1847" s="2" t="s">
        <v>1920</v>
      </c>
      <c r="B1847" s="3">
        <v>46001</v>
      </c>
      <c r="C1847" s="2" t="s">
        <v>124</v>
      </c>
      <c r="D1847" s="2" t="s">
        <v>18</v>
      </c>
      <c r="E1847" s="2" t="s">
        <v>19</v>
      </c>
      <c r="F1847" s="2" t="s">
        <v>14</v>
      </c>
      <c r="G1847" s="2" t="s">
        <v>125</v>
      </c>
      <c r="H1847" s="2">
        <v>6</v>
      </c>
      <c r="I1847" s="4">
        <v>45</v>
      </c>
      <c r="J1847" s="2" t="s">
        <v>16</v>
      </c>
      <c r="K1847">
        <f>H1847*I1847</f>
        <v>270</v>
      </c>
      <c r="L1847" t="str">
        <f t="shared" si="56"/>
        <v>Dec</v>
      </c>
      <c r="M1847">
        <f t="shared" si="57"/>
        <v>12</v>
      </c>
    </row>
    <row r="1848" spans="1:13" x14ac:dyDescent="0.25">
      <c r="A1848" s="2" t="s">
        <v>1921</v>
      </c>
      <c r="B1848" s="3">
        <v>46001</v>
      </c>
      <c r="C1848" s="2" t="s">
        <v>124</v>
      </c>
      <c r="D1848" s="2" t="s">
        <v>18</v>
      </c>
      <c r="E1848" s="2" t="s">
        <v>19</v>
      </c>
      <c r="F1848" s="2" t="s">
        <v>14</v>
      </c>
      <c r="G1848" s="2" t="s">
        <v>125</v>
      </c>
      <c r="H1848" s="2">
        <v>2</v>
      </c>
      <c r="I1848" s="4">
        <v>45.45</v>
      </c>
      <c r="J1848" s="2" t="s">
        <v>22</v>
      </c>
      <c r="K1848">
        <f>H1848*I1848</f>
        <v>90.9</v>
      </c>
      <c r="L1848" t="str">
        <f t="shared" si="56"/>
        <v>Dec</v>
      </c>
      <c r="M1848">
        <f t="shared" si="57"/>
        <v>12</v>
      </c>
    </row>
    <row r="1849" spans="1:13" x14ac:dyDescent="0.25">
      <c r="A1849" s="2" t="s">
        <v>1922</v>
      </c>
      <c r="B1849" s="3">
        <v>46001</v>
      </c>
      <c r="C1849" s="2" t="s">
        <v>79</v>
      </c>
      <c r="D1849" s="2" t="s">
        <v>80</v>
      </c>
      <c r="E1849" s="2" t="s">
        <v>26</v>
      </c>
      <c r="F1849" s="2" t="s">
        <v>14</v>
      </c>
      <c r="G1849" s="2" t="s">
        <v>81</v>
      </c>
      <c r="H1849" s="2">
        <v>1</v>
      </c>
      <c r="I1849" s="4">
        <v>153.52000000000001</v>
      </c>
      <c r="J1849" s="2" t="s">
        <v>16</v>
      </c>
      <c r="K1849">
        <f>H1849*I1849</f>
        <v>153.52000000000001</v>
      </c>
      <c r="L1849" t="str">
        <f t="shared" si="56"/>
        <v>Dec</v>
      </c>
      <c r="M1849">
        <f t="shared" si="57"/>
        <v>12</v>
      </c>
    </row>
    <row r="1850" spans="1:13" x14ac:dyDescent="0.25">
      <c r="A1850" s="2" t="s">
        <v>1923</v>
      </c>
      <c r="B1850" s="3">
        <v>46001</v>
      </c>
      <c r="C1850" s="2" t="s">
        <v>24</v>
      </c>
      <c r="D1850" s="2" t="s">
        <v>25</v>
      </c>
      <c r="E1850" s="2" t="s">
        <v>26</v>
      </c>
      <c r="F1850" s="2" t="s">
        <v>14</v>
      </c>
      <c r="G1850" s="2" t="s">
        <v>27</v>
      </c>
      <c r="H1850" s="2">
        <v>3</v>
      </c>
      <c r="I1850" s="4">
        <v>58</v>
      </c>
      <c r="J1850" s="2" t="s">
        <v>16</v>
      </c>
      <c r="K1850">
        <f>H1850*I1850</f>
        <v>174</v>
      </c>
      <c r="L1850" t="str">
        <f t="shared" si="56"/>
        <v>Dec</v>
      </c>
      <c r="M1850">
        <f t="shared" si="57"/>
        <v>12</v>
      </c>
    </row>
    <row r="1851" spans="1:13" x14ac:dyDescent="0.25">
      <c r="A1851" s="2" t="s">
        <v>1924</v>
      </c>
      <c r="B1851" s="3">
        <v>46001</v>
      </c>
      <c r="C1851" s="2" t="s">
        <v>25</v>
      </c>
      <c r="D1851" s="2" t="s">
        <v>25</v>
      </c>
      <c r="E1851" s="2" t="s">
        <v>26</v>
      </c>
      <c r="F1851" s="2" t="s">
        <v>20</v>
      </c>
      <c r="G1851" s="2" t="s">
        <v>21</v>
      </c>
      <c r="H1851" s="2">
        <v>1</v>
      </c>
      <c r="I1851" s="4">
        <v>20.2</v>
      </c>
      <c r="J1851" s="2" t="s">
        <v>31</v>
      </c>
      <c r="K1851">
        <f>H1851*I1851</f>
        <v>20.2</v>
      </c>
      <c r="L1851" t="str">
        <f t="shared" si="56"/>
        <v>Dec</v>
      </c>
      <c r="M1851">
        <f t="shared" si="57"/>
        <v>12</v>
      </c>
    </row>
    <row r="1852" spans="1:13" x14ac:dyDescent="0.25">
      <c r="A1852" s="2" t="s">
        <v>1925</v>
      </c>
      <c r="B1852" s="3">
        <v>46001</v>
      </c>
      <c r="C1852" s="2" t="s">
        <v>60</v>
      </c>
      <c r="D1852" s="2" t="s">
        <v>61</v>
      </c>
      <c r="E1852" s="2" t="s">
        <v>62</v>
      </c>
      <c r="F1852" s="2" t="s">
        <v>14</v>
      </c>
      <c r="G1852" s="2" t="s">
        <v>63</v>
      </c>
      <c r="H1852" s="2">
        <v>1</v>
      </c>
      <c r="I1852" s="4">
        <v>26</v>
      </c>
      <c r="J1852" s="2" t="s">
        <v>31</v>
      </c>
      <c r="K1852">
        <f>H1852*I1852</f>
        <v>26</v>
      </c>
      <c r="L1852" t="str">
        <f t="shared" si="56"/>
        <v>Dec</v>
      </c>
      <c r="M1852">
        <f t="shared" si="57"/>
        <v>12</v>
      </c>
    </row>
    <row r="1853" spans="1:13" x14ac:dyDescent="0.25">
      <c r="A1853" s="2" t="s">
        <v>1926</v>
      </c>
      <c r="B1853" s="3">
        <v>46002</v>
      </c>
      <c r="C1853" s="2" t="s">
        <v>11</v>
      </c>
      <c r="D1853" s="2" t="s">
        <v>12</v>
      </c>
      <c r="E1853" s="2" t="s">
        <v>13</v>
      </c>
      <c r="F1853" s="2" t="s">
        <v>14</v>
      </c>
      <c r="G1853" s="2" t="s">
        <v>15</v>
      </c>
      <c r="H1853" s="2">
        <v>1</v>
      </c>
      <c r="I1853" s="4">
        <v>32</v>
      </c>
      <c r="J1853" s="2" t="s">
        <v>22</v>
      </c>
      <c r="K1853">
        <f>H1853*I1853</f>
        <v>32</v>
      </c>
      <c r="L1853" t="str">
        <f t="shared" si="56"/>
        <v>Dec</v>
      </c>
      <c r="M1853">
        <f t="shared" si="57"/>
        <v>12</v>
      </c>
    </row>
    <row r="1854" spans="1:13" x14ac:dyDescent="0.25">
      <c r="A1854" s="2" t="s">
        <v>1927</v>
      </c>
      <c r="B1854" s="3">
        <v>46002</v>
      </c>
      <c r="C1854" s="2" t="s">
        <v>102</v>
      </c>
      <c r="D1854" s="2" t="s">
        <v>102</v>
      </c>
      <c r="E1854" s="2" t="s">
        <v>36</v>
      </c>
      <c r="F1854" s="2" t="s">
        <v>20</v>
      </c>
      <c r="G1854" s="2" t="s">
        <v>21</v>
      </c>
      <c r="H1854" s="2">
        <v>6</v>
      </c>
      <c r="I1854" s="4">
        <v>35.35</v>
      </c>
      <c r="J1854" s="2" t="s">
        <v>16</v>
      </c>
      <c r="K1854">
        <f>H1854*I1854</f>
        <v>212.10000000000002</v>
      </c>
      <c r="L1854" t="str">
        <f t="shared" si="56"/>
        <v>Dec</v>
      </c>
      <c r="M1854">
        <f t="shared" si="57"/>
        <v>12</v>
      </c>
    </row>
    <row r="1855" spans="1:13" x14ac:dyDescent="0.25">
      <c r="A1855" s="2" t="s">
        <v>1928</v>
      </c>
      <c r="B1855" s="3">
        <v>46002</v>
      </c>
      <c r="C1855" s="2" t="s">
        <v>97</v>
      </c>
      <c r="D1855" s="2" t="s">
        <v>98</v>
      </c>
      <c r="E1855" s="2" t="s">
        <v>99</v>
      </c>
      <c r="F1855" s="2" t="s">
        <v>14</v>
      </c>
      <c r="G1855" s="2" t="s">
        <v>37</v>
      </c>
      <c r="H1855" s="2">
        <v>1</v>
      </c>
      <c r="I1855" s="4">
        <v>183.82</v>
      </c>
      <c r="J1855" s="2" t="s">
        <v>31</v>
      </c>
      <c r="K1855">
        <f>H1855*I1855</f>
        <v>183.82</v>
      </c>
      <c r="L1855" t="str">
        <f t="shared" si="56"/>
        <v>Dec</v>
      </c>
      <c r="M1855">
        <f t="shared" si="57"/>
        <v>12</v>
      </c>
    </row>
    <row r="1856" spans="1:13" x14ac:dyDescent="0.25">
      <c r="A1856" s="2" t="s">
        <v>1929</v>
      </c>
      <c r="B1856" s="3">
        <v>46002</v>
      </c>
      <c r="C1856" s="2" t="s">
        <v>109</v>
      </c>
      <c r="D1856" s="2" t="s">
        <v>109</v>
      </c>
      <c r="E1856" s="2" t="s">
        <v>13</v>
      </c>
      <c r="F1856" s="2" t="s">
        <v>20</v>
      </c>
      <c r="G1856" s="2" t="s">
        <v>21</v>
      </c>
      <c r="H1856" s="2">
        <v>1</v>
      </c>
      <c r="I1856" s="4">
        <v>20.2</v>
      </c>
      <c r="J1856" s="2" t="s">
        <v>38</v>
      </c>
      <c r="K1856">
        <f>H1856*I1856</f>
        <v>20.2</v>
      </c>
      <c r="L1856" t="str">
        <f t="shared" si="56"/>
        <v>Dec</v>
      </c>
      <c r="M1856">
        <f t="shared" si="57"/>
        <v>12</v>
      </c>
    </row>
    <row r="1857" spans="1:13" x14ac:dyDescent="0.25">
      <c r="A1857" s="2" t="s">
        <v>1930</v>
      </c>
      <c r="B1857" s="3">
        <v>46003</v>
      </c>
      <c r="C1857" s="2" t="s">
        <v>72</v>
      </c>
      <c r="D1857" s="2" t="s">
        <v>68</v>
      </c>
      <c r="E1857" s="2" t="s">
        <v>49</v>
      </c>
      <c r="F1857" s="2" t="s">
        <v>20</v>
      </c>
      <c r="G1857" s="2" t="s">
        <v>21</v>
      </c>
      <c r="H1857" s="2">
        <v>1</v>
      </c>
      <c r="I1857" s="4">
        <v>95.95</v>
      </c>
      <c r="J1857" s="2" t="s">
        <v>38</v>
      </c>
      <c r="K1857">
        <f>H1857*I1857</f>
        <v>95.95</v>
      </c>
      <c r="L1857" t="str">
        <f t="shared" si="56"/>
        <v>Dec</v>
      </c>
      <c r="M1857">
        <f t="shared" si="57"/>
        <v>12</v>
      </c>
    </row>
    <row r="1858" spans="1:13" x14ac:dyDescent="0.25">
      <c r="A1858" s="2" t="s">
        <v>1931</v>
      </c>
      <c r="B1858" s="3">
        <v>46003</v>
      </c>
      <c r="C1858" s="2" t="s">
        <v>101</v>
      </c>
      <c r="D1858" s="2" t="s">
        <v>102</v>
      </c>
      <c r="E1858" s="2" t="s">
        <v>36</v>
      </c>
      <c r="F1858" s="2" t="s">
        <v>14</v>
      </c>
      <c r="G1858" s="2" t="s">
        <v>103</v>
      </c>
      <c r="H1858" s="2">
        <v>1</v>
      </c>
      <c r="I1858" s="4">
        <v>92.92</v>
      </c>
      <c r="J1858" s="2" t="s">
        <v>38</v>
      </c>
      <c r="K1858">
        <f>H1858*I1858</f>
        <v>92.92</v>
      </c>
      <c r="L1858" t="str">
        <f t="shared" si="56"/>
        <v>Dec</v>
      </c>
      <c r="M1858">
        <f t="shared" si="57"/>
        <v>12</v>
      </c>
    </row>
    <row r="1859" spans="1:13" x14ac:dyDescent="0.25">
      <c r="A1859" s="2" t="s">
        <v>1932</v>
      </c>
      <c r="B1859" s="3">
        <v>46003</v>
      </c>
      <c r="C1859" s="2" t="s">
        <v>34</v>
      </c>
      <c r="D1859" s="2" t="s">
        <v>35</v>
      </c>
      <c r="E1859" s="2" t="s">
        <v>36</v>
      </c>
      <c r="F1859" s="2" t="s">
        <v>14</v>
      </c>
      <c r="G1859" s="2" t="s">
        <v>37</v>
      </c>
      <c r="H1859" s="2">
        <v>1</v>
      </c>
      <c r="I1859" s="4">
        <v>165</v>
      </c>
      <c r="J1859" s="2" t="s">
        <v>38</v>
      </c>
      <c r="K1859">
        <f>H1859*I1859</f>
        <v>165</v>
      </c>
      <c r="L1859" t="str">
        <f t="shared" ref="L1859:L1922" si="58">TEXT(B1859,"mmm")</f>
        <v>Dec</v>
      </c>
      <c r="M1859">
        <f t="shared" ref="M1859:M1922" si="59">MONTH(B1859)</f>
        <v>12</v>
      </c>
    </row>
    <row r="1860" spans="1:13" x14ac:dyDescent="0.25">
      <c r="A1860" s="2" t="s">
        <v>1933</v>
      </c>
      <c r="B1860" s="3">
        <v>46003</v>
      </c>
      <c r="C1860" s="2" t="s">
        <v>124</v>
      </c>
      <c r="D1860" s="2" t="s">
        <v>18</v>
      </c>
      <c r="E1860" s="2" t="s">
        <v>19</v>
      </c>
      <c r="F1860" s="2" t="s">
        <v>14</v>
      </c>
      <c r="G1860" s="2" t="s">
        <v>125</v>
      </c>
      <c r="H1860" s="2">
        <v>1</v>
      </c>
      <c r="I1860" s="4">
        <v>45.45</v>
      </c>
      <c r="J1860" s="2" t="s">
        <v>16</v>
      </c>
      <c r="K1860">
        <f>H1860*I1860</f>
        <v>45.45</v>
      </c>
      <c r="L1860" t="str">
        <f t="shared" si="58"/>
        <v>Dec</v>
      </c>
      <c r="M1860">
        <f t="shared" si="59"/>
        <v>12</v>
      </c>
    </row>
    <row r="1861" spans="1:13" x14ac:dyDescent="0.25">
      <c r="A1861" s="2" t="s">
        <v>1934</v>
      </c>
      <c r="B1861" s="3">
        <v>46003</v>
      </c>
      <c r="C1861" s="2" t="s">
        <v>60</v>
      </c>
      <c r="D1861" s="2" t="s">
        <v>61</v>
      </c>
      <c r="E1861" s="2" t="s">
        <v>62</v>
      </c>
      <c r="F1861" s="2" t="s">
        <v>14</v>
      </c>
      <c r="G1861" s="2" t="s">
        <v>63</v>
      </c>
      <c r="H1861" s="2">
        <v>1</v>
      </c>
      <c r="I1861" s="4">
        <v>26.26</v>
      </c>
      <c r="J1861" s="2" t="s">
        <v>22</v>
      </c>
      <c r="K1861">
        <f>H1861*I1861</f>
        <v>26.26</v>
      </c>
      <c r="L1861" t="str">
        <f t="shared" si="58"/>
        <v>Dec</v>
      </c>
      <c r="M1861">
        <f t="shared" si="59"/>
        <v>12</v>
      </c>
    </row>
    <row r="1862" spans="1:13" x14ac:dyDescent="0.25">
      <c r="A1862" s="2" t="s">
        <v>1935</v>
      </c>
      <c r="B1862" s="3">
        <v>46004</v>
      </c>
      <c r="C1862" s="2" t="s">
        <v>12</v>
      </c>
      <c r="D1862" s="2" t="s">
        <v>12</v>
      </c>
      <c r="E1862" s="2" t="s">
        <v>13</v>
      </c>
      <c r="F1862" s="2" t="s">
        <v>20</v>
      </c>
      <c r="G1862" s="2" t="s">
        <v>21</v>
      </c>
      <c r="H1862" s="2">
        <v>5</v>
      </c>
      <c r="I1862" s="4">
        <v>14.14</v>
      </c>
      <c r="J1862" s="2" t="s">
        <v>31</v>
      </c>
      <c r="K1862">
        <f>H1862*I1862</f>
        <v>70.7</v>
      </c>
      <c r="L1862" t="str">
        <f t="shared" si="58"/>
        <v>Dec</v>
      </c>
      <c r="M1862">
        <f t="shared" si="59"/>
        <v>12</v>
      </c>
    </row>
    <row r="1863" spans="1:13" x14ac:dyDescent="0.25">
      <c r="A1863" s="2" t="s">
        <v>1936</v>
      </c>
      <c r="B1863" s="3">
        <v>46004</v>
      </c>
      <c r="C1863" s="2" t="s">
        <v>48</v>
      </c>
      <c r="D1863" s="2" t="s">
        <v>48</v>
      </c>
      <c r="E1863" s="2" t="s">
        <v>49</v>
      </c>
      <c r="F1863" s="2" t="s">
        <v>20</v>
      </c>
      <c r="G1863" s="2" t="s">
        <v>21</v>
      </c>
      <c r="H1863" s="2">
        <v>3</v>
      </c>
      <c r="I1863" s="4">
        <v>55.55</v>
      </c>
      <c r="J1863" s="2" t="s">
        <v>31</v>
      </c>
      <c r="K1863">
        <f>H1863*I1863</f>
        <v>166.64999999999998</v>
      </c>
      <c r="L1863" t="str">
        <f t="shared" si="58"/>
        <v>Dec</v>
      </c>
      <c r="M1863">
        <f t="shared" si="59"/>
        <v>12</v>
      </c>
    </row>
    <row r="1864" spans="1:13" x14ac:dyDescent="0.25">
      <c r="A1864" s="2" t="s">
        <v>1937</v>
      </c>
      <c r="B1864" s="3">
        <v>46004</v>
      </c>
      <c r="C1864" s="2" t="s">
        <v>67</v>
      </c>
      <c r="D1864" s="2" t="s">
        <v>68</v>
      </c>
      <c r="E1864" s="2" t="s">
        <v>49</v>
      </c>
      <c r="F1864" s="2" t="s">
        <v>14</v>
      </c>
      <c r="G1864" s="2" t="s">
        <v>69</v>
      </c>
      <c r="H1864" s="2">
        <v>3</v>
      </c>
      <c r="I1864" s="4">
        <v>207.05</v>
      </c>
      <c r="J1864" s="2" t="s">
        <v>38</v>
      </c>
      <c r="K1864">
        <f>H1864*I1864</f>
        <v>621.15000000000009</v>
      </c>
      <c r="L1864" t="str">
        <f t="shared" si="58"/>
        <v>Dec</v>
      </c>
      <c r="M1864">
        <f t="shared" si="59"/>
        <v>12</v>
      </c>
    </row>
    <row r="1865" spans="1:13" x14ac:dyDescent="0.25">
      <c r="A1865" s="2" t="s">
        <v>1938</v>
      </c>
      <c r="B1865" s="3">
        <v>46004</v>
      </c>
      <c r="C1865" s="2" t="s">
        <v>101</v>
      </c>
      <c r="D1865" s="2" t="s">
        <v>102</v>
      </c>
      <c r="E1865" s="2" t="s">
        <v>36</v>
      </c>
      <c r="F1865" s="2" t="s">
        <v>14</v>
      </c>
      <c r="G1865" s="2" t="s">
        <v>103</v>
      </c>
      <c r="H1865" s="2">
        <v>3</v>
      </c>
      <c r="I1865" s="4">
        <v>92.92</v>
      </c>
      <c r="J1865" s="2" t="s">
        <v>16</v>
      </c>
      <c r="K1865">
        <f>H1865*I1865</f>
        <v>278.76</v>
      </c>
      <c r="L1865" t="str">
        <f t="shared" si="58"/>
        <v>Dec</v>
      </c>
      <c r="M1865">
        <f t="shared" si="59"/>
        <v>12</v>
      </c>
    </row>
    <row r="1866" spans="1:13" x14ac:dyDescent="0.25">
      <c r="A1866" s="2" t="s">
        <v>1939</v>
      </c>
      <c r="B1866" s="3">
        <v>46004</v>
      </c>
      <c r="C1866" s="2" t="s">
        <v>52</v>
      </c>
      <c r="D1866" s="2" t="s">
        <v>30</v>
      </c>
      <c r="E1866" s="2" t="s">
        <v>13</v>
      </c>
      <c r="F1866" s="2" t="s">
        <v>14</v>
      </c>
      <c r="G1866" s="2" t="s">
        <v>53</v>
      </c>
      <c r="H1866" s="2">
        <v>4</v>
      </c>
      <c r="I1866" s="4">
        <v>42.42</v>
      </c>
      <c r="J1866" s="2" t="s">
        <v>38</v>
      </c>
      <c r="K1866">
        <f>H1866*I1866</f>
        <v>169.68</v>
      </c>
      <c r="L1866" t="str">
        <f t="shared" si="58"/>
        <v>Dec</v>
      </c>
      <c r="M1866">
        <f t="shared" si="59"/>
        <v>12</v>
      </c>
    </row>
    <row r="1867" spans="1:13" x14ac:dyDescent="0.25">
      <c r="A1867" s="2" t="s">
        <v>1940</v>
      </c>
      <c r="B1867" s="3">
        <v>46004</v>
      </c>
      <c r="C1867" s="2" t="s">
        <v>42</v>
      </c>
      <c r="D1867" s="2" t="s">
        <v>43</v>
      </c>
      <c r="E1867" s="2" t="s">
        <v>44</v>
      </c>
      <c r="F1867" s="2" t="s">
        <v>14</v>
      </c>
      <c r="G1867" s="2" t="s">
        <v>45</v>
      </c>
      <c r="H1867" s="2">
        <v>5</v>
      </c>
      <c r="I1867" s="4">
        <v>46.46</v>
      </c>
      <c r="J1867" s="2" t="s">
        <v>16</v>
      </c>
      <c r="K1867">
        <f>H1867*I1867</f>
        <v>232.3</v>
      </c>
      <c r="L1867" t="str">
        <f t="shared" si="58"/>
        <v>Dec</v>
      </c>
      <c r="M1867">
        <f t="shared" si="59"/>
        <v>12</v>
      </c>
    </row>
    <row r="1868" spans="1:13" x14ac:dyDescent="0.25">
      <c r="A1868" s="2" t="s">
        <v>1941</v>
      </c>
      <c r="B1868" s="3">
        <v>46005</v>
      </c>
      <c r="C1868" s="2" t="s">
        <v>75</v>
      </c>
      <c r="D1868" s="2" t="s">
        <v>75</v>
      </c>
      <c r="E1868" s="2" t="s">
        <v>76</v>
      </c>
      <c r="F1868" s="2" t="s">
        <v>20</v>
      </c>
      <c r="G1868" s="2" t="s">
        <v>21</v>
      </c>
      <c r="H1868" s="2">
        <v>3</v>
      </c>
      <c r="I1868" s="4">
        <v>12.12</v>
      </c>
      <c r="J1868" s="2" t="s">
        <v>22</v>
      </c>
      <c r="K1868">
        <f>H1868*I1868</f>
        <v>36.36</v>
      </c>
      <c r="L1868" t="str">
        <f t="shared" si="58"/>
        <v>Dec</v>
      </c>
      <c r="M1868">
        <f t="shared" si="59"/>
        <v>12</v>
      </c>
    </row>
    <row r="1869" spans="1:13" x14ac:dyDescent="0.25">
      <c r="A1869" s="2" t="s">
        <v>1942</v>
      </c>
      <c r="B1869" s="3">
        <v>46005</v>
      </c>
      <c r="C1869" s="2" t="s">
        <v>18</v>
      </c>
      <c r="D1869" s="2" t="s">
        <v>18</v>
      </c>
      <c r="E1869" s="2" t="s">
        <v>19</v>
      </c>
      <c r="F1869" s="2" t="s">
        <v>20</v>
      </c>
      <c r="G1869" s="2" t="s">
        <v>21</v>
      </c>
      <c r="H1869" s="2">
        <v>6</v>
      </c>
      <c r="I1869" s="4">
        <v>15.15</v>
      </c>
      <c r="J1869" s="2" t="s">
        <v>16</v>
      </c>
      <c r="K1869">
        <f>H1869*I1869</f>
        <v>90.9</v>
      </c>
      <c r="L1869" t="str">
        <f t="shared" si="58"/>
        <v>Dec</v>
      </c>
      <c r="M1869">
        <f t="shared" si="59"/>
        <v>12</v>
      </c>
    </row>
    <row r="1870" spans="1:13" x14ac:dyDescent="0.25">
      <c r="A1870" s="2" t="s">
        <v>1943</v>
      </c>
      <c r="B1870" s="3">
        <v>46005</v>
      </c>
      <c r="C1870" s="2" t="s">
        <v>79</v>
      </c>
      <c r="D1870" s="2" t="s">
        <v>80</v>
      </c>
      <c r="E1870" s="2" t="s">
        <v>26</v>
      </c>
      <c r="F1870" s="2" t="s">
        <v>14</v>
      </c>
      <c r="G1870" s="2" t="s">
        <v>81</v>
      </c>
      <c r="H1870" s="2">
        <v>3</v>
      </c>
      <c r="I1870" s="4">
        <v>152</v>
      </c>
      <c r="J1870" s="2" t="s">
        <v>16</v>
      </c>
      <c r="K1870">
        <f>H1870*I1870</f>
        <v>456</v>
      </c>
      <c r="L1870" t="str">
        <f t="shared" si="58"/>
        <v>Dec</v>
      </c>
      <c r="M1870">
        <f t="shared" si="59"/>
        <v>12</v>
      </c>
    </row>
    <row r="1871" spans="1:13" x14ac:dyDescent="0.25">
      <c r="A1871" s="2" t="s">
        <v>1944</v>
      </c>
      <c r="B1871" s="3">
        <v>46005</v>
      </c>
      <c r="C1871" s="2" t="s">
        <v>80</v>
      </c>
      <c r="D1871" s="2" t="s">
        <v>80</v>
      </c>
      <c r="E1871" s="2" t="s">
        <v>26</v>
      </c>
      <c r="F1871" s="2" t="s">
        <v>20</v>
      </c>
      <c r="G1871" s="2" t="s">
        <v>21</v>
      </c>
      <c r="H1871" s="2">
        <v>3</v>
      </c>
      <c r="I1871" s="4">
        <v>50</v>
      </c>
      <c r="J1871" s="2" t="s">
        <v>31</v>
      </c>
      <c r="K1871">
        <f>H1871*I1871</f>
        <v>150</v>
      </c>
      <c r="L1871" t="str">
        <f t="shared" si="58"/>
        <v>Dec</v>
      </c>
      <c r="M1871">
        <f t="shared" si="59"/>
        <v>12</v>
      </c>
    </row>
    <row r="1872" spans="1:13" x14ac:dyDescent="0.25">
      <c r="A1872" s="2" t="s">
        <v>1945</v>
      </c>
      <c r="B1872" s="3">
        <v>46006</v>
      </c>
      <c r="C1872" s="2" t="s">
        <v>11</v>
      </c>
      <c r="D1872" s="2" t="s">
        <v>12</v>
      </c>
      <c r="E1872" s="2" t="s">
        <v>13</v>
      </c>
      <c r="F1872" s="2" t="s">
        <v>14</v>
      </c>
      <c r="G1872" s="2" t="s">
        <v>15</v>
      </c>
      <c r="H1872" s="2">
        <v>1</v>
      </c>
      <c r="I1872" s="4">
        <v>32.32</v>
      </c>
      <c r="J1872" s="2" t="s">
        <v>16</v>
      </c>
      <c r="K1872">
        <f>H1872*I1872</f>
        <v>32.32</v>
      </c>
      <c r="L1872" t="str">
        <f t="shared" si="58"/>
        <v>Dec</v>
      </c>
      <c r="M1872">
        <f t="shared" si="59"/>
        <v>12</v>
      </c>
    </row>
    <row r="1873" spans="1:13" x14ac:dyDescent="0.25">
      <c r="A1873" s="2" t="s">
        <v>1946</v>
      </c>
      <c r="B1873" s="3">
        <v>46006</v>
      </c>
      <c r="C1873" s="2" t="s">
        <v>12</v>
      </c>
      <c r="D1873" s="2" t="s">
        <v>12</v>
      </c>
      <c r="E1873" s="2" t="s">
        <v>13</v>
      </c>
      <c r="F1873" s="2" t="s">
        <v>20</v>
      </c>
      <c r="G1873" s="2" t="s">
        <v>21</v>
      </c>
      <c r="H1873" s="2">
        <v>5</v>
      </c>
      <c r="I1873" s="4">
        <v>14</v>
      </c>
      <c r="J1873" s="2" t="s">
        <v>31</v>
      </c>
      <c r="K1873">
        <f>H1873*I1873</f>
        <v>70</v>
      </c>
      <c r="L1873" t="str">
        <f t="shared" si="58"/>
        <v>Dec</v>
      </c>
      <c r="M1873">
        <f t="shared" si="59"/>
        <v>12</v>
      </c>
    </row>
    <row r="1874" spans="1:13" x14ac:dyDescent="0.25">
      <c r="A1874" s="2" t="s">
        <v>1947</v>
      </c>
      <c r="B1874" s="3">
        <v>46006</v>
      </c>
      <c r="C1874" s="2" t="s">
        <v>86</v>
      </c>
      <c r="D1874" s="2" t="s">
        <v>48</v>
      </c>
      <c r="E1874" s="2" t="s">
        <v>49</v>
      </c>
      <c r="F1874" s="2" t="s">
        <v>14</v>
      </c>
      <c r="G1874" s="2" t="s">
        <v>87</v>
      </c>
      <c r="H1874" s="2">
        <v>1</v>
      </c>
      <c r="I1874" s="4">
        <v>126.25</v>
      </c>
      <c r="J1874" s="2" t="s">
        <v>16</v>
      </c>
      <c r="K1874">
        <f>H1874*I1874</f>
        <v>126.25</v>
      </c>
      <c r="L1874" t="str">
        <f t="shared" si="58"/>
        <v>Dec</v>
      </c>
      <c r="M1874">
        <f t="shared" si="59"/>
        <v>12</v>
      </c>
    </row>
    <row r="1875" spans="1:13" x14ac:dyDescent="0.25">
      <c r="A1875" s="2" t="s">
        <v>1948</v>
      </c>
      <c r="B1875" s="3">
        <v>46006</v>
      </c>
      <c r="C1875" s="2" t="s">
        <v>74</v>
      </c>
      <c r="D1875" s="2" t="s">
        <v>75</v>
      </c>
      <c r="E1875" s="2" t="s">
        <v>76</v>
      </c>
      <c r="F1875" s="2" t="s">
        <v>14</v>
      </c>
      <c r="G1875" s="2" t="s">
        <v>77</v>
      </c>
      <c r="H1875" s="2">
        <v>6</v>
      </c>
      <c r="I1875" s="4">
        <v>32.32</v>
      </c>
      <c r="J1875" s="2" t="s">
        <v>31</v>
      </c>
      <c r="K1875">
        <f>H1875*I1875</f>
        <v>193.92000000000002</v>
      </c>
      <c r="L1875" t="str">
        <f t="shared" si="58"/>
        <v>Dec</v>
      </c>
      <c r="M1875">
        <f t="shared" si="59"/>
        <v>12</v>
      </c>
    </row>
    <row r="1876" spans="1:13" x14ac:dyDescent="0.25">
      <c r="A1876" s="2" t="s">
        <v>1949</v>
      </c>
      <c r="B1876" s="3">
        <v>46006</v>
      </c>
      <c r="C1876" s="2" t="s">
        <v>75</v>
      </c>
      <c r="D1876" s="2" t="s">
        <v>75</v>
      </c>
      <c r="E1876" s="2" t="s">
        <v>76</v>
      </c>
      <c r="F1876" s="2" t="s">
        <v>20</v>
      </c>
      <c r="G1876" s="2" t="s">
        <v>21</v>
      </c>
      <c r="H1876" s="2">
        <v>1</v>
      </c>
      <c r="I1876" s="4">
        <v>12.12</v>
      </c>
      <c r="J1876" s="2" t="s">
        <v>16</v>
      </c>
      <c r="K1876">
        <f>H1876*I1876</f>
        <v>12.12</v>
      </c>
      <c r="L1876" t="str">
        <f t="shared" si="58"/>
        <v>Dec</v>
      </c>
      <c r="M1876">
        <f t="shared" si="59"/>
        <v>12</v>
      </c>
    </row>
    <row r="1877" spans="1:13" x14ac:dyDescent="0.25">
      <c r="A1877" s="2" t="s">
        <v>1950</v>
      </c>
      <c r="B1877" s="3">
        <v>46006</v>
      </c>
      <c r="C1877" s="2" t="s">
        <v>101</v>
      </c>
      <c r="D1877" s="2" t="s">
        <v>102</v>
      </c>
      <c r="E1877" s="2" t="s">
        <v>36</v>
      </c>
      <c r="F1877" s="2" t="s">
        <v>14</v>
      </c>
      <c r="G1877" s="2" t="s">
        <v>103</v>
      </c>
      <c r="H1877" s="2">
        <v>3</v>
      </c>
      <c r="I1877" s="4">
        <v>92</v>
      </c>
      <c r="J1877" s="2" t="s">
        <v>16</v>
      </c>
      <c r="K1877">
        <f>H1877*I1877</f>
        <v>276</v>
      </c>
      <c r="L1877" t="str">
        <f t="shared" si="58"/>
        <v>Dec</v>
      </c>
      <c r="M1877">
        <f t="shared" si="59"/>
        <v>12</v>
      </c>
    </row>
    <row r="1878" spans="1:13" x14ac:dyDescent="0.25">
      <c r="A1878" s="2" t="s">
        <v>1951</v>
      </c>
      <c r="B1878" s="3">
        <v>46006</v>
      </c>
      <c r="C1878" s="2" t="s">
        <v>42</v>
      </c>
      <c r="D1878" s="2" t="s">
        <v>43</v>
      </c>
      <c r="E1878" s="2" t="s">
        <v>44</v>
      </c>
      <c r="F1878" s="2" t="s">
        <v>14</v>
      </c>
      <c r="G1878" s="2" t="s">
        <v>45</v>
      </c>
      <c r="H1878" s="2">
        <v>5</v>
      </c>
      <c r="I1878" s="4">
        <v>46</v>
      </c>
      <c r="J1878" s="2" t="s">
        <v>31</v>
      </c>
      <c r="K1878">
        <f>H1878*I1878</f>
        <v>230</v>
      </c>
      <c r="L1878" t="str">
        <f t="shared" si="58"/>
        <v>Dec</v>
      </c>
      <c r="M1878">
        <f t="shared" si="59"/>
        <v>12</v>
      </c>
    </row>
    <row r="1879" spans="1:13" x14ac:dyDescent="0.25">
      <c r="A1879" s="2" t="s">
        <v>1952</v>
      </c>
      <c r="B1879" s="3">
        <v>46007</v>
      </c>
      <c r="C1879" s="2" t="s">
        <v>11</v>
      </c>
      <c r="D1879" s="2" t="s">
        <v>12</v>
      </c>
      <c r="E1879" s="2" t="s">
        <v>13</v>
      </c>
      <c r="F1879" s="2" t="s">
        <v>14</v>
      </c>
      <c r="G1879" s="2" t="s">
        <v>15</v>
      </c>
      <c r="H1879" s="2">
        <v>5</v>
      </c>
      <c r="I1879" s="4">
        <v>32.32</v>
      </c>
      <c r="J1879" s="2" t="s">
        <v>31</v>
      </c>
      <c r="K1879">
        <f>H1879*I1879</f>
        <v>161.6</v>
      </c>
      <c r="L1879" t="str">
        <f t="shared" si="58"/>
        <v>Dec</v>
      </c>
      <c r="M1879">
        <f t="shared" si="59"/>
        <v>12</v>
      </c>
    </row>
    <row r="1880" spans="1:13" x14ac:dyDescent="0.25">
      <c r="A1880" s="2" t="s">
        <v>1953</v>
      </c>
      <c r="B1880" s="3">
        <v>46007</v>
      </c>
      <c r="C1880" s="2" t="s">
        <v>74</v>
      </c>
      <c r="D1880" s="2" t="s">
        <v>75</v>
      </c>
      <c r="E1880" s="2" t="s">
        <v>76</v>
      </c>
      <c r="F1880" s="2" t="s">
        <v>14</v>
      </c>
      <c r="G1880" s="2" t="s">
        <v>77</v>
      </c>
      <c r="H1880" s="2">
        <v>12</v>
      </c>
      <c r="I1880" s="4">
        <v>32.32</v>
      </c>
      <c r="J1880" s="2" t="s">
        <v>38</v>
      </c>
      <c r="K1880">
        <f>H1880*I1880</f>
        <v>387.84000000000003</v>
      </c>
      <c r="L1880" t="str">
        <f t="shared" si="58"/>
        <v>Dec</v>
      </c>
      <c r="M1880">
        <f t="shared" si="59"/>
        <v>12</v>
      </c>
    </row>
    <row r="1881" spans="1:13" x14ac:dyDescent="0.25">
      <c r="A1881" s="2" t="s">
        <v>1954</v>
      </c>
      <c r="B1881" s="3">
        <v>46007</v>
      </c>
      <c r="C1881" s="2" t="s">
        <v>75</v>
      </c>
      <c r="D1881" s="2" t="s">
        <v>75</v>
      </c>
      <c r="E1881" s="2" t="s">
        <v>76</v>
      </c>
      <c r="F1881" s="2" t="s">
        <v>20</v>
      </c>
      <c r="G1881" s="2" t="s">
        <v>21</v>
      </c>
      <c r="H1881" s="2">
        <v>3</v>
      </c>
      <c r="I1881" s="4">
        <v>12.12</v>
      </c>
      <c r="J1881" s="2" t="s">
        <v>22</v>
      </c>
      <c r="K1881">
        <f>H1881*I1881</f>
        <v>36.36</v>
      </c>
      <c r="L1881" t="str">
        <f t="shared" si="58"/>
        <v>Dec</v>
      </c>
      <c r="M1881">
        <f t="shared" si="59"/>
        <v>12</v>
      </c>
    </row>
    <row r="1882" spans="1:13" x14ac:dyDescent="0.25">
      <c r="A1882" s="2" t="s">
        <v>1955</v>
      </c>
      <c r="B1882" s="3">
        <v>46007</v>
      </c>
      <c r="C1882" s="2" t="s">
        <v>18</v>
      </c>
      <c r="D1882" s="2" t="s">
        <v>18</v>
      </c>
      <c r="E1882" s="2" t="s">
        <v>19</v>
      </c>
      <c r="F1882" s="2" t="s">
        <v>20</v>
      </c>
      <c r="G1882" s="2" t="s">
        <v>21</v>
      </c>
      <c r="H1882" s="2">
        <v>1</v>
      </c>
      <c r="I1882" s="4">
        <v>15.15</v>
      </c>
      <c r="J1882" s="2" t="s">
        <v>16</v>
      </c>
      <c r="K1882">
        <f>H1882*I1882</f>
        <v>15.15</v>
      </c>
      <c r="L1882" t="str">
        <f t="shared" si="58"/>
        <v>Dec</v>
      </c>
      <c r="M1882">
        <f t="shared" si="59"/>
        <v>12</v>
      </c>
    </row>
    <row r="1883" spans="1:13" x14ac:dyDescent="0.25">
      <c r="A1883" s="2" t="s">
        <v>1956</v>
      </c>
      <c r="B1883" s="3">
        <v>46007</v>
      </c>
      <c r="C1883" s="2" t="s">
        <v>18</v>
      </c>
      <c r="D1883" s="2" t="s">
        <v>18</v>
      </c>
      <c r="E1883" s="2" t="s">
        <v>19</v>
      </c>
      <c r="F1883" s="2" t="s">
        <v>20</v>
      </c>
      <c r="G1883" s="2" t="s">
        <v>21</v>
      </c>
      <c r="H1883" s="2">
        <v>6</v>
      </c>
      <c r="I1883" s="4">
        <v>15.15</v>
      </c>
      <c r="J1883" s="2" t="s">
        <v>16</v>
      </c>
      <c r="K1883">
        <f>H1883*I1883</f>
        <v>90.9</v>
      </c>
      <c r="L1883" t="str">
        <f t="shared" si="58"/>
        <v>Dec</v>
      </c>
      <c r="M1883">
        <f t="shared" si="59"/>
        <v>12</v>
      </c>
    </row>
    <row r="1884" spans="1:13" x14ac:dyDescent="0.25">
      <c r="A1884" s="2" t="s">
        <v>1957</v>
      </c>
      <c r="B1884" s="3">
        <v>46007</v>
      </c>
      <c r="C1884" s="2" t="s">
        <v>61</v>
      </c>
      <c r="D1884" s="2" t="s">
        <v>61</v>
      </c>
      <c r="E1884" s="2" t="s">
        <v>62</v>
      </c>
      <c r="F1884" s="2" t="s">
        <v>20</v>
      </c>
      <c r="G1884" s="2" t="s">
        <v>21</v>
      </c>
      <c r="H1884" s="2">
        <v>3</v>
      </c>
      <c r="I1884" s="4">
        <v>8.08</v>
      </c>
      <c r="J1884" s="2" t="s">
        <v>38</v>
      </c>
      <c r="K1884">
        <f>H1884*I1884</f>
        <v>24.240000000000002</v>
      </c>
      <c r="L1884" t="str">
        <f t="shared" si="58"/>
        <v>Dec</v>
      </c>
      <c r="M1884">
        <f t="shared" si="59"/>
        <v>12</v>
      </c>
    </row>
    <row r="1885" spans="1:13" x14ac:dyDescent="0.25">
      <c r="A1885" s="2" t="s">
        <v>1958</v>
      </c>
      <c r="B1885" s="3">
        <v>46007</v>
      </c>
      <c r="C1885" s="2" t="s">
        <v>42</v>
      </c>
      <c r="D1885" s="2" t="s">
        <v>43</v>
      </c>
      <c r="E1885" s="2" t="s">
        <v>44</v>
      </c>
      <c r="F1885" s="2" t="s">
        <v>14</v>
      </c>
      <c r="G1885" s="2" t="s">
        <v>45</v>
      </c>
      <c r="H1885" s="2">
        <v>5</v>
      </c>
      <c r="I1885" s="4">
        <v>46.46</v>
      </c>
      <c r="J1885" s="2" t="s">
        <v>16</v>
      </c>
      <c r="K1885">
        <f>H1885*I1885</f>
        <v>232.3</v>
      </c>
      <c r="L1885" t="str">
        <f t="shared" si="58"/>
        <v>Dec</v>
      </c>
      <c r="M1885">
        <f t="shared" si="59"/>
        <v>12</v>
      </c>
    </row>
    <row r="1886" spans="1:13" x14ac:dyDescent="0.25">
      <c r="A1886" s="2" t="s">
        <v>1959</v>
      </c>
      <c r="B1886" s="3">
        <v>46007</v>
      </c>
      <c r="C1886" s="2" t="s">
        <v>43</v>
      </c>
      <c r="D1886" s="2" t="s">
        <v>43</v>
      </c>
      <c r="E1886" s="2" t="s">
        <v>44</v>
      </c>
      <c r="F1886" s="2" t="s">
        <v>20</v>
      </c>
      <c r="G1886" s="2" t="s">
        <v>21</v>
      </c>
      <c r="H1886" s="2">
        <v>4</v>
      </c>
      <c r="I1886" s="4">
        <v>18</v>
      </c>
      <c r="J1886" s="2" t="s">
        <v>16</v>
      </c>
      <c r="K1886">
        <f>H1886*I1886</f>
        <v>72</v>
      </c>
      <c r="L1886" t="str">
        <f t="shared" si="58"/>
        <v>Dec</v>
      </c>
      <c r="M1886">
        <f t="shared" si="59"/>
        <v>12</v>
      </c>
    </row>
    <row r="1887" spans="1:13" x14ac:dyDescent="0.25">
      <c r="A1887" s="2" t="s">
        <v>1960</v>
      </c>
      <c r="B1887" s="3">
        <v>46008</v>
      </c>
      <c r="C1887" s="2" t="s">
        <v>67</v>
      </c>
      <c r="D1887" s="2" t="s">
        <v>68</v>
      </c>
      <c r="E1887" s="2" t="s">
        <v>49</v>
      </c>
      <c r="F1887" s="2" t="s">
        <v>14</v>
      </c>
      <c r="G1887" s="2" t="s">
        <v>69</v>
      </c>
      <c r="H1887" s="2">
        <v>3</v>
      </c>
      <c r="I1887" s="4">
        <v>205</v>
      </c>
      <c r="J1887" s="2" t="s">
        <v>31</v>
      </c>
      <c r="K1887">
        <f>H1887*I1887</f>
        <v>615</v>
      </c>
      <c r="L1887" t="str">
        <f t="shared" si="58"/>
        <v>Dec</v>
      </c>
      <c r="M1887">
        <f t="shared" si="59"/>
        <v>12</v>
      </c>
    </row>
    <row r="1888" spans="1:13" x14ac:dyDescent="0.25">
      <c r="A1888" s="2" t="s">
        <v>1961</v>
      </c>
      <c r="B1888" s="3">
        <v>46008</v>
      </c>
      <c r="C1888" s="2" t="s">
        <v>35</v>
      </c>
      <c r="D1888" s="2" t="s">
        <v>35</v>
      </c>
      <c r="E1888" s="2" t="s">
        <v>36</v>
      </c>
      <c r="F1888" s="2" t="s">
        <v>20</v>
      </c>
      <c r="G1888" s="2" t="s">
        <v>21</v>
      </c>
      <c r="H1888" s="2">
        <v>3</v>
      </c>
      <c r="I1888" s="4">
        <v>58.58</v>
      </c>
      <c r="J1888" s="2" t="s">
        <v>16</v>
      </c>
      <c r="K1888">
        <f>H1888*I1888</f>
        <v>175.74</v>
      </c>
      <c r="L1888" t="str">
        <f t="shared" si="58"/>
        <v>Dec</v>
      </c>
      <c r="M1888">
        <f t="shared" si="59"/>
        <v>12</v>
      </c>
    </row>
    <row r="1889" spans="1:13" x14ac:dyDescent="0.25">
      <c r="A1889" s="2" t="s">
        <v>1962</v>
      </c>
      <c r="B1889" s="3">
        <v>46008</v>
      </c>
      <c r="C1889" s="2" t="s">
        <v>124</v>
      </c>
      <c r="D1889" s="2" t="s">
        <v>18</v>
      </c>
      <c r="E1889" s="2" t="s">
        <v>19</v>
      </c>
      <c r="F1889" s="2" t="s">
        <v>14</v>
      </c>
      <c r="G1889" s="2" t="s">
        <v>125</v>
      </c>
      <c r="H1889" s="2">
        <v>2</v>
      </c>
      <c r="I1889" s="4">
        <v>45.45</v>
      </c>
      <c r="J1889" s="2" t="s">
        <v>16</v>
      </c>
      <c r="K1889">
        <f>H1889*I1889</f>
        <v>90.9</v>
      </c>
      <c r="L1889" t="str">
        <f t="shared" si="58"/>
        <v>Dec</v>
      </c>
      <c r="M1889">
        <f t="shared" si="59"/>
        <v>12</v>
      </c>
    </row>
    <row r="1890" spans="1:13" x14ac:dyDescent="0.25">
      <c r="A1890" s="2" t="s">
        <v>1963</v>
      </c>
      <c r="B1890" s="3">
        <v>46008</v>
      </c>
      <c r="C1890" s="2" t="s">
        <v>60</v>
      </c>
      <c r="D1890" s="2" t="s">
        <v>61</v>
      </c>
      <c r="E1890" s="2" t="s">
        <v>62</v>
      </c>
      <c r="F1890" s="2" t="s">
        <v>14</v>
      </c>
      <c r="G1890" s="2" t="s">
        <v>63</v>
      </c>
      <c r="H1890" s="2">
        <v>1</v>
      </c>
      <c r="I1890" s="4">
        <v>26.26</v>
      </c>
      <c r="J1890" s="2" t="s">
        <v>31</v>
      </c>
      <c r="K1890">
        <f>H1890*I1890</f>
        <v>26.26</v>
      </c>
      <c r="L1890" t="str">
        <f t="shared" si="58"/>
        <v>Dec</v>
      </c>
      <c r="M1890">
        <f t="shared" si="59"/>
        <v>12</v>
      </c>
    </row>
    <row r="1891" spans="1:13" x14ac:dyDescent="0.25">
      <c r="A1891" s="2" t="s">
        <v>1964</v>
      </c>
      <c r="B1891" s="3">
        <v>46008</v>
      </c>
      <c r="C1891" s="2" t="s">
        <v>97</v>
      </c>
      <c r="D1891" s="2" t="s">
        <v>98</v>
      </c>
      <c r="E1891" s="2" t="s">
        <v>99</v>
      </c>
      <c r="F1891" s="2" t="s">
        <v>14</v>
      </c>
      <c r="G1891" s="2" t="s">
        <v>37</v>
      </c>
      <c r="H1891" s="2">
        <v>1</v>
      </c>
      <c r="I1891" s="4">
        <v>183.82</v>
      </c>
      <c r="J1891" s="2" t="s">
        <v>16</v>
      </c>
      <c r="K1891">
        <f>H1891*I1891</f>
        <v>183.82</v>
      </c>
      <c r="L1891" t="str">
        <f t="shared" si="58"/>
        <v>Dec</v>
      </c>
      <c r="M1891">
        <f t="shared" si="59"/>
        <v>12</v>
      </c>
    </row>
    <row r="1892" spans="1:13" x14ac:dyDescent="0.25">
      <c r="A1892" s="2" t="s">
        <v>1965</v>
      </c>
      <c r="B1892" s="3">
        <v>46009</v>
      </c>
      <c r="C1892" s="2" t="s">
        <v>12</v>
      </c>
      <c r="D1892" s="2" t="s">
        <v>12</v>
      </c>
      <c r="E1892" s="2" t="s">
        <v>13</v>
      </c>
      <c r="F1892" s="2" t="s">
        <v>20</v>
      </c>
      <c r="G1892" s="2" t="s">
        <v>21</v>
      </c>
      <c r="H1892" s="2">
        <v>1</v>
      </c>
      <c r="I1892" s="4">
        <v>14.14</v>
      </c>
      <c r="J1892" s="2" t="s">
        <v>22</v>
      </c>
      <c r="K1892">
        <f>H1892*I1892</f>
        <v>14.14</v>
      </c>
      <c r="L1892" t="str">
        <f t="shared" si="58"/>
        <v>Dec</v>
      </c>
      <c r="M1892">
        <f t="shared" si="59"/>
        <v>12</v>
      </c>
    </row>
    <row r="1893" spans="1:13" x14ac:dyDescent="0.25">
      <c r="A1893" s="2" t="s">
        <v>1966</v>
      </c>
      <c r="B1893" s="3">
        <v>46009</v>
      </c>
      <c r="C1893" s="2" t="s">
        <v>67</v>
      </c>
      <c r="D1893" s="2" t="s">
        <v>68</v>
      </c>
      <c r="E1893" s="2" t="s">
        <v>49</v>
      </c>
      <c r="F1893" s="2" t="s">
        <v>14</v>
      </c>
      <c r="G1893" s="2" t="s">
        <v>69</v>
      </c>
      <c r="H1893" s="2">
        <v>2</v>
      </c>
      <c r="I1893" s="4">
        <v>207.05</v>
      </c>
      <c r="J1893" s="2" t="s">
        <v>31</v>
      </c>
      <c r="K1893">
        <f>H1893*I1893</f>
        <v>414.1</v>
      </c>
      <c r="L1893" t="str">
        <f t="shared" si="58"/>
        <v>Dec</v>
      </c>
      <c r="M1893">
        <f t="shared" si="59"/>
        <v>12</v>
      </c>
    </row>
    <row r="1894" spans="1:13" x14ac:dyDescent="0.25">
      <c r="A1894" s="2" t="s">
        <v>1967</v>
      </c>
      <c r="B1894" s="3">
        <v>46009</v>
      </c>
      <c r="C1894" s="2" t="s">
        <v>101</v>
      </c>
      <c r="D1894" s="2" t="s">
        <v>102</v>
      </c>
      <c r="E1894" s="2" t="s">
        <v>36</v>
      </c>
      <c r="F1894" s="2" t="s">
        <v>14</v>
      </c>
      <c r="G1894" s="2" t="s">
        <v>103</v>
      </c>
      <c r="H1894" s="2">
        <v>6</v>
      </c>
      <c r="I1894" s="4">
        <v>92.92</v>
      </c>
      <c r="J1894" s="2" t="s">
        <v>16</v>
      </c>
      <c r="K1894">
        <f>H1894*I1894</f>
        <v>557.52</v>
      </c>
      <c r="L1894" t="str">
        <f t="shared" si="58"/>
        <v>Dec</v>
      </c>
      <c r="M1894">
        <f t="shared" si="59"/>
        <v>12</v>
      </c>
    </row>
    <row r="1895" spans="1:13" x14ac:dyDescent="0.25">
      <c r="A1895" s="2" t="s">
        <v>1968</v>
      </c>
      <c r="B1895" s="3">
        <v>46009</v>
      </c>
      <c r="C1895" s="2" t="s">
        <v>35</v>
      </c>
      <c r="D1895" s="2" t="s">
        <v>35</v>
      </c>
      <c r="E1895" s="2" t="s">
        <v>36</v>
      </c>
      <c r="F1895" s="2" t="s">
        <v>20</v>
      </c>
      <c r="G1895" s="2" t="s">
        <v>21</v>
      </c>
      <c r="H1895" s="2">
        <v>6</v>
      </c>
      <c r="I1895" s="4">
        <v>58.58</v>
      </c>
      <c r="J1895" s="2" t="s">
        <v>31</v>
      </c>
      <c r="K1895">
        <f>H1895*I1895</f>
        <v>351.48</v>
      </c>
      <c r="L1895" t="str">
        <f t="shared" si="58"/>
        <v>Dec</v>
      </c>
      <c r="M1895">
        <f t="shared" si="59"/>
        <v>12</v>
      </c>
    </row>
    <row r="1896" spans="1:13" x14ac:dyDescent="0.25">
      <c r="A1896" s="2" t="s">
        <v>1969</v>
      </c>
      <c r="B1896" s="3">
        <v>46009</v>
      </c>
      <c r="C1896" s="2" t="s">
        <v>18</v>
      </c>
      <c r="D1896" s="2" t="s">
        <v>18</v>
      </c>
      <c r="E1896" s="2" t="s">
        <v>19</v>
      </c>
      <c r="F1896" s="2" t="s">
        <v>20</v>
      </c>
      <c r="G1896" s="2" t="s">
        <v>21</v>
      </c>
      <c r="H1896" s="2">
        <v>6</v>
      </c>
      <c r="I1896" s="4">
        <v>15.15</v>
      </c>
      <c r="J1896" s="2" t="s">
        <v>16</v>
      </c>
      <c r="K1896">
        <f>H1896*I1896</f>
        <v>90.9</v>
      </c>
      <c r="L1896" t="str">
        <f t="shared" si="58"/>
        <v>Dec</v>
      </c>
      <c r="M1896">
        <f t="shared" si="59"/>
        <v>12</v>
      </c>
    </row>
    <row r="1897" spans="1:13" x14ac:dyDescent="0.25">
      <c r="A1897" s="2" t="s">
        <v>1970</v>
      </c>
      <c r="B1897" s="3">
        <v>46009</v>
      </c>
      <c r="C1897" s="2" t="s">
        <v>42</v>
      </c>
      <c r="D1897" s="2" t="s">
        <v>43</v>
      </c>
      <c r="E1897" s="2" t="s">
        <v>44</v>
      </c>
      <c r="F1897" s="2" t="s">
        <v>14</v>
      </c>
      <c r="G1897" s="2" t="s">
        <v>45</v>
      </c>
      <c r="H1897" s="2">
        <v>3</v>
      </c>
      <c r="I1897" s="4">
        <v>46.46</v>
      </c>
      <c r="J1897" s="2" t="s">
        <v>38</v>
      </c>
      <c r="K1897">
        <f>H1897*I1897</f>
        <v>139.38</v>
      </c>
      <c r="L1897" t="str">
        <f t="shared" si="58"/>
        <v>Dec</v>
      </c>
      <c r="M1897">
        <f t="shared" si="59"/>
        <v>12</v>
      </c>
    </row>
    <row r="1898" spans="1:13" x14ac:dyDescent="0.25">
      <c r="A1898" s="2" t="s">
        <v>1971</v>
      </c>
      <c r="B1898" s="3">
        <v>46010</v>
      </c>
      <c r="C1898" s="2" t="s">
        <v>11</v>
      </c>
      <c r="D1898" s="2" t="s">
        <v>12</v>
      </c>
      <c r="E1898" s="2" t="s">
        <v>13</v>
      </c>
      <c r="F1898" s="2" t="s">
        <v>14</v>
      </c>
      <c r="G1898" s="2" t="s">
        <v>15</v>
      </c>
      <c r="H1898" s="2">
        <v>1</v>
      </c>
      <c r="I1898" s="4">
        <v>32.32</v>
      </c>
      <c r="J1898" s="2" t="s">
        <v>16</v>
      </c>
      <c r="K1898">
        <f>H1898*I1898</f>
        <v>32.32</v>
      </c>
      <c r="L1898" t="str">
        <f t="shared" si="58"/>
        <v>Dec</v>
      </c>
      <c r="M1898">
        <f t="shared" si="59"/>
        <v>12</v>
      </c>
    </row>
    <row r="1899" spans="1:13" x14ac:dyDescent="0.25">
      <c r="A1899" s="2" t="s">
        <v>1972</v>
      </c>
      <c r="B1899" s="3">
        <v>46010</v>
      </c>
      <c r="C1899" s="2" t="s">
        <v>119</v>
      </c>
      <c r="D1899" s="2" t="s">
        <v>120</v>
      </c>
      <c r="E1899" s="2" t="s">
        <v>76</v>
      </c>
      <c r="F1899" s="2" t="s">
        <v>14</v>
      </c>
      <c r="G1899" s="2" t="s">
        <v>121</v>
      </c>
      <c r="H1899" s="2">
        <v>1</v>
      </c>
      <c r="I1899" s="4">
        <v>190</v>
      </c>
      <c r="J1899" s="2" t="s">
        <v>16</v>
      </c>
      <c r="K1899">
        <f>H1899*I1899</f>
        <v>190</v>
      </c>
      <c r="L1899" t="str">
        <f t="shared" si="58"/>
        <v>Dec</v>
      </c>
      <c r="M1899">
        <f t="shared" si="59"/>
        <v>12</v>
      </c>
    </row>
    <row r="1900" spans="1:13" x14ac:dyDescent="0.25">
      <c r="A1900" s="2" t="s">
        <v>1973</v>
      </c>
      <c r="B1900" s="3">
        <v>46010</v>
      </c>
      <c r="C1900" s="2" t="s">
        <v>40</v>
      </c>
      <c r="D1900" s="2" t="s">
        <v>40</v>
      </c>
      <c r="E1900" s="2" t="s">
        <v>19</v>
      </c>
      <c r="F1900" s="2" t="s">
        <v>20</v>
      </c>
      <c r="G1900" s="2" t="s">
        <v>21</v>
      </c>
      <c r="H1900" s="2">
        <v>1</v>
      </c>
      <c r="I1900" s="4">
        <v>46</v>
      </c>
      <c r="J1900" s="2" t="s">
        <v>38</v>
      </c>
      <c r="K1900">
        <f>H1900*I1900</f>
        <v>46</v>
      </c>
      <c r="L1900" t="str">
        <f t="shared" si="58"/>
        <v>Dec</v>
      </c>
      <c r="M1900">
        <f t="shared" si="59"/>
        <v>12</v>
      </c>
    </row>
    <row r="1901" spans="1:13" x14ac:dyDescent="0.25">
      <c r="A1901" s="2" t="s">
        <v>1974</v>
      </c>
      <c r="B1901" s="3">
        <v>46010</v>
      </c>
      <c r="C1901" s="2" t="s">
        <v>80</v>
      </c>
      <c r="D1901" s="2" t="s">
        <v>80</v>
      </c>
      <c r="E1901" s="2" t="s">
        <v>26</v>
      </c>
      <c r="F1901" s="2" t="s">
        <v>20</v>
      </c>
      <c r="G1901" s="2" t="s">
        <v>21</v>
      </c>
      <c r="H1901" s="2">
        <v>3</v>
      </c>
      <c r="I1901" s="4">
        <v>50</v>
      </c>
      <c r="J1901" s="2" t="s">
        <v>31</v>
      </c>
      <c r="K1901">
        <f>H1901*I1901</f>
        <v>150</v>
      </c>
      <c r="L1901" t="str">
        <f t="shared" si="58"/>
        <v>Dec</v>
      </c>
      <c r="M1901">
        <f t="shared" si="59"/>
        <v>12</v>
      </c>
    </row>
    <row r="1902" spans="1:13" x14ac:dyDescent="0.25">
      <c r="A1902" s="2" t="s">
        <v>1975</v>
      </c>
      <c r="B1902" s="3">
        <v>46011</v>
      </c>
      <c r="C1902" s="2" t="s">
        <v>11</v>
      </c>
      <c r="D1902" s="2" t="s">
        <v>12</v>
      </c>
      <c r="E1902" s="2" t="s">
        <v>13</v>
      </c>
      <c r="F1902" s="2" t="s">
        <v>14</v>
      </c>
      <c r="G1902" s="2" t="s">
        <v>15</v>
      </c>
      <c r="H1902" s="2">
        <v>1</v>
      </c>
      <c r="I1902" s="4">
        <v>32.32</v>
      </c>
      <c r="J1902" s="2" t="s">
        <v>38</v>
      </c>
      <c r="K1902">
        <f>H1902*I1902</f>
        <v>32.32</v>
      </c>
      <c r="L1902" t="str">
        <f t="shared" si="58"/>
        <v>Dec</v>
      </c>
      <c r="M1902">
        <f t="shared" si="59"/>
        <v>12</v>
      </c>
    </row>
    <row r="1903" spans="1:13" x14ac:dyDescent="0.25">
      <c r="A1903" s="2" t="s">
        <v>1976</v>
      </c>
      <c r="B1903" s="3">
        <v>46011</v>
      </c>
      <c r="C1903" s="2" t="s">
        <v>67</v>
      </c>
      <c r="D1903" s="2" t="s">
        <v>68</v>
      </c>
      <c r="E1903" s="2" t="s">
        <v>49</v>
      </c>
      <c r="F1903" s="2" t="s">
        <v>14</v>
      </c>
      <c r="G1903" s="2" t="s">
        <v>69</v>
      </c>
      <c r="H1903" s="2">
        <v>3</v>
      </c>
      <c r="I1903" s="4">
        <v>207.05</v>
      </c>
      <c r="J1903" s="2" t="s">
        <v>31</v>
      </c>
      <c r="K1903">
        <f>H1903*I1903</f>
        <v>621.15000000000009</v>
      </c>
      <c r="L1903" t="str">
        <f t="shared" si="58"/>
        <v>Dec</v>
      </c>
      <c r="M1903">
        <f t="shared" si="59"/>
        <v>12</v>
      </c>
    </row>
    <row r="1904" spans="1:13" x14ac:dyDescent="0.25">
      <c r="A1904" s="2" t="s">
        <v>1977</v>
      </c>
      <c r="B1904" s="3">
        <v>46011</v>
      </c>
      <c r="C1904" s="2" t="s">
        <v>25</v>
      </c>
      <c r="D1904" s="2" t="s">
        <v>25</v>
      </c>
      <c r="E1904" s="2" t="s">
        <v>26</v>
      </c>
      <c r="F1904" s="2" t="s">
        <v>20</v>
      </c>
      <c r="G1904" s="2" t="s">
        <v>21</v>
      </c>
      <c r="H1904" s="2">
        <v>3</v>
      </c>
      <c r="I1904" s="4">
        <v>20</v>
      </c>
      <c r="J1904" s="2" t="s">
        <v>22</v>
      </c>
      <c r="K1904">
        <f>H1904*I1904</f>
        <v>60</v>
      </c>
      <c r="L1904" t="str">
        <f t="shared" si="58"/>
        <v>Dec</v>
      </c>
      <c r="M1904">
        <f t="shared" si="59"/>
        <v>12</v>
      </c>
    </row>
    <row r="1905" spans="1:13" x14ac:dyDescent="0.25">
      <c r="A1905" s="2" t="s">
        <v>1978</v>
      </c>
      <c r="B1905" s="3">
        <v>46011</v>
      </c>
      <c r="C1905" s="2" t="s">
        <v>60</v>
      </c>
      <c r="D1905" s="2" t="s">
        <v>61</v>
      </c>
      <c r="E1905" s="2" t="s">
        <v>62</v>
      </c>
      <c r="F1905" s="2" t="s">
        <v>14</v>
      </c>
      <c r="G1905" s="2" t="s">
        <v>63</v>
      </c>
      <c r="H1905" s="2">
        <v>2</v>
      </c>
      <c r="I1905" s="4">
        <v>26.26</v>
      </c>
      <c r="J1905" s="2" t="s">
        <v>38</v>
      </c>
      <c r="K1905">
        <f>H1905*I1905</f>
        <v>52.52</v>
      </c>
      <c r="L1905" t="str">
        <f t="shared" si="58"/>
        <v>Dec</v>
      </c>
      <c r="M1905">
        <f t="shared" si="59"/>
        <v>12</v>
      </c>
    </row>
    <row r="1906" spans="1:13" x14ac:dyDescent="0.25">
      <c r="A1906" s="2" t="s">
        <v>1979</v>
      </c>
      <c r="B1906" s="3">
        <v>46011</v>
      </c>
      <c r="C1906" s="2" t="s">
        <v>97</v>
      </c>
      <c r="D1906" s="2" t="s">
        <v>98</v>
      </c>
      <c r="E1906" s="2" t="s">
        <v>99</v>
      </c>
      <c r="F1906" s="2" t="s">
        <v>14</v>
      </c>
      <c r="G1906" s="2" t="s">
        <v>37</v>
      </c>
      <c r="H1906" s="2">
        <v>2</v>
      </c>
      <c r="I1906" s="4">
        <v>183.82</v>
      </c>
      <c r="J1906" s="2" t="s">
        <v>16</v>
      </c>
      <c r="K1906">
        <f>H1906*I1906</f>
        <v>367.64</v>
      </c>
      <c r="L1906" t="str">
        <f t="shared" si="58"/>
        <v>Dec</v>
      </c>
      <c r="M1906">
        <f t="shared" si="59"/>
        <v>12</v>
      </c>
    </row>
    <row r="1907" spans="1:13" x14ac:dyDescent="0.25">
      <c r="A1907" s="2" t="s">
        <v>1980</v>
      </c>
      <c r="B1907" s="3">
        <v>46011</v>
      </c>
      <c r="C1907" s="2" t="s">
        <v>109</v>
      </c>
      <c r="D1907" s="2" t="s">
        <v>109</v>
      </c>
      <c r="E1907" s="2" t="s">
        <v>13</v>
      </c>
      <c r="F1907" s="2" t="s">
        <v>20</v>
      </c>
      <c r="G1907" s="2" t="s">
        <v>21</v>
      </c>
      <c r="H1907" s="2">
        <v>1</v>
      </c>
      <c r="I1907" s="4">
        <v>20</v>
      </c>
      <c r="J1907" s="2" t="s">
        <v>22</v>
      </c>
      <c r="K1907">
        <f>H1907*I1907</f>
        <v>20</v>
      </c>
      <c r="L1907" t="str">
        <f t="shared" si="58"/>
        <v>Dec</v>
      </c>
      <c r="M1907">
        <f t="shared" si="59"/>
        <v>12</v>
      </c>
    </row>
    <row r="1908" spans="1:13" x14ac:dyDescent="0.25">
      <c r="A1908" s="2" t="s">
        <v>1981</v>
      </c>
      <c r="B1908" s="3">
        <v>46012</v>
      </c>
      <c r="C1908" s="2" t="s">
        <v>11</v>
      </c>
      <c r="D1908" s="2" t="s">
        <v>12</v>
      </c>
      <c r="E1908" s="2" t="s">
        <v>13</v>
      </c>
      <c r="F1908" s="2" t="s">
        <v>14</v>
      </c>
      <c r="G1908" s="2" t="s">
        <v>15</v>
      </c>
      <c r="H1908" s="2">
        <v>3</v>
      </c>
      <c r="I1908" s="4">
        <v>32.32</v>
      </c>
      <c r="J1908" s="2" t="s">
        <v>16</v>
      </c>
      <c r="K1908">
        <f>H1908*I1908</f>
        <v>96.960000000000008</v>
      </c>
      <c r="L1908" t="str">
        <f t="shared" si="58"/>
        <v>Dec</v>
      </c>
      <c r="M1908">
        <f t="shared" si="59"/>
        <v>12</v>
      </c>
    </row>
    <row r="1909" spans="1:13" x14ac:dyDescent="0.25">
      <c r="A1909" s="2" t="s">
        <v>1982</v>
      </c>
      <c r="B1909" s="3">
        <v>46012</v>
      </c>
      <c r="C1909" s="2" t="s">
        <v>74</v>
      </c>
      <c r="D1909" s="2" t="s">
        <v>75</v>
      </c>
      <c r="E1909" s="2" t="s">
        <v>76</v>
      </c>
      <c r="F1909" s="2" t="s">
        <v>14</v>
      </c>
      <c r="G1909" s="2" t="s">
        <v>77</v>
      </c>
      <c r="H1909" s="2">
        <v>6</v>
      </c>
      <c r="I1909" s="4">
        <v>32.32</v>
      </c>
      <c r="J1909" s="2" t="s">
        <v>22</v>
      </c>
      <c r="K1909">
        <f>H1909*I1909</f>
        <v>193.92000000000002</v>
      </c>
      <c r="L1909" t="str">
        <f t="shared" si="58"/>
        <v>Dec</v>
      </c>
      <c r="M1909">
        <f t="shared" si="59"/>
        <v>12</v>
      </c>
    </row>
    <row r="1910" spans="1:13" x14ac:dyDescent="0.25">
      <c r="A1910" s="2" t="s">
        <v>1983</v>
      </c>
      <c r="B1910" s="3">
        <v>46012</v>
      </c>
      <c r="C1910" s="2" t="s">
        <v>75</v>
      </c>
      <c r="D1910" s="2" t="s">
        <v>75</v>
      </c>
      <c r="E1910" s="2" t="s">
        <v>76</v>
      </c>
      <c r="F1910" s="2" t="s">
        <v>20</v>
      </c>
      <c r="G1910" s="2" t="s">
        <v>21</v>
      </c>
      <c r="H1910" s="2">
        <v>1</v>
      </c>
      <c r="I1910" s="4">
        <v>12</v>
      </c>
      <c r="J1910" s="2" t="s">
        <v>31</v>
      </c>
      <c r="K1910">
        <f>H1910*I1910</f>
        <v>12</v>
      </c>
      <c r="L1910" t="str">
        <f t="shared" si="58"/>
        <v>Dec</v>
      </c>
      <c r="M1910">
        <f t="shared" si="59"/>
        <v>12</v>
      </c>
    </row>
    <row r="1911" spans="1:13" x14ac:dyDescent="0.25">
      <c r="A1911" s="2" t="s">
        <v>1984</v>
      </c>
      <c r="B1911" s="3">
        <v>46012</v>
      </c>
      <c r="C1911" s="2" t="s">
        <v>34</v>
      </c>
      <c r="D1911" s="2" t="s">
        <v>35</v>
      </c>
      <c r="E1911" s="2" t="s">
        <v>36</v>
      </c>
      <c r="F1911" s="2" t="s">
        <v>14</v>
      </c>
      <c r="G1911" s="2" t="s">
        <v>37</v>
      </c>
      <c r="H1911" s="2">
        <v>2</v>
      </c>
      <c r="I1911" s="4">
        <v>166.65</v>
      </c>
      <c r="J1911" s="2" t="s">
        <v>16</v>
      </c>
      <c r="K1911">
        <f>H1911*I1911</f>
        <v>333.3</v>
      </c>
      <c r="L1911" t="str">
        <f t="shared" si="58"/>
        <v>Dec</v>
      </c>
      <c r="M1911">
        <f t="shared" si="59"/>
        <v>12</v>
      </c>
    </row>
    <row r="1912" spans="1:13" x14ac:dyDescent="0.25">
      <c r="A1912" s="2" t="s">
        <v>1985</v>
      </c>
      <c r="B1912" s="3">
        <v>46013</v>
      </c>
      <c r="C1912" s="2" t="s">
        <v>86</v>
      </c>
      <c r="D1912" s="2" t="s">
        <v>48</v>
      </c>
      <c r="E1912" s="2" t="s">
        <v>49</v>
      </c>
      <c r="F1912" s="2" t="s">
        <v>14</v>
      </c>
      <c r="G1912" s="2" t="s">
        <v>87</v>
      </c>
      <c r="H1912" s="2">
        <v>2</v>
      </c>
      <c r="I1912" s="4">
        <v>125</v>
      </c>
      <c r="J1912" s="2" t="s">
        <v>22</v>
      </c>
      <c r="K1912">
        <f>H1912*I1912</f>
        <v>250</v>
      </c>
      <c r="L1912" t="str">
        <f t="shared" si="58"/>
        <v>Dec</v>
      </c>
      <c r="M1912">
        <f t="shared" si="59"/>
        <v>12</v>
      </c>
    </row>
    <row r="1913" spans="1:13" x14ac:dyDescent="0.25">
      <c r="A1913" s="2" t="s">
        <v>1986</v>
      </c>
      <c r="B1913" s="3">
        <v>46013</v>
      </c>
      <c r="C1913" s="2" t="s">
        <v>102</v>
      </c>
      <c r="D1913" s="2" t="s">
        <v>102</v>
      </c>
      <c r="E1913" s="2" t="s">
        <v>36</v>
      </c>
      <c r="F1913" s="2" t="s">
        <v>20</v>
      </c>
      <c r="G1913" s="2" t="s">
        <v>21</v>
      </c>
      <c r="H1913" s="2">
        <v>2</v>
      </c>
      <c r="I1913" s="4">
        <v>35.35</v>
      </c>
      <c r="J1913" s="2" t="s">
        <v>16</v>
      </c>
      <c r="K1913">
        <f>H1913*I1913</f>
        <v>70.7</v>
      </c>
      <c r="L1913" t="str">
        <f t="shared" si="58"/>
        <v>Dec</v>
      </c>
      <c r="M1913">
        <f t="shared" si="59"/>
        <v>12</v>
      </c>
    </row>
    <row r="1914" spans="1:13" x14ac:dyDescent="0.25">
      <c r="A1914" s="2" t="s">
        <v>1987</v>
      </c>
      <c r="B1914" s="3">
        <v>46013</v>
      </c>
      <c r="C1914" s="2" t="s">
        <v>190</v>
      </c>
      <c r="D1914" s="2" t="s">
        <v>40</v>
      </c>
      <c r="E1914" s="2" t="s">
        <v>19</v>
      </c>
      <c r="F1914" s="2" t="s">
        <v>14</v>
      </c>
      <c r="G1914" s="2" t="s">
        <v>191</v>
      </c>
      <c r="H1914" s="2">
        <v>3</v>
      </c>
      <c r="I1914" s="4">
        <v>142</v>
      </c>
      <c r="J1914" s="2" t="s">
        <v>16</v>
      </c>
      <c r="K1914">
        <f>H1914*I1914</f>
        <v>426</v>
      </c>
      <c r="L1914" t="str">
        <f t="shared" si="58"/>
        <v>Dec</v>
      </c>
      <c r="M1914">
        <f t="shared" si="59"/>
        <v>12</v>
      </c>
    </row>
    <row r="1915" spans="1:13" x14ac:dyDescent="0.25">
      <c r="A1915" s="2" t="s">
        <v>1988</v>
      </c>
      <c r="B1915" s="3">
        <v>46013</v>
      </c>
      <c r="C1915" s="2" t="s">
        <v>194</v>
      </c>
      <c r="D1915" s="2" t="s">
        <v>98</v>
      </c>
      <c r="E1915" s="2" t="s">
        <v>99</v>
      </c>
      <c r="F1915" s="2" t="s">
        <v>20</v>
      </c>
      <c r="G1915" s="2" t="s">
        <v>21</v>
      </c>
      <c r="H1915" s="2">
        <v>1</v>
      </c>
      <c r="I1915" s="4">
        <v>70.7</v>
      </c>
      <c r="J1915" s="2" t="s">
        <v>16</v>
      </c>
      <c r="K1915">
        <f>H1915*I1915</f>
        <v>70.7</v>
      </c>
      <c r="L1915" t="str">
        <f t="shared" si="58"/>
        <v>Dec</v>
      </c>
      <c r="M1915">
        <f t="shared" si="59"/>
        <v>12</v>
      </c>
    </row>
    <row r="1916" spans="1:13" x14ac:dyDescent="0.25">
      <c r="A1916" s="2" t="s">
        <v>1989</v>
      </c>
      <c r="B1916" s="3">
        <v>46013</v>
      </c>
      <c r="C1916" s="2" t="s">
        <v>52</v>
      </c>
      <c r="D1916" s="2" t="s">
        <v>30</v>
      </c>
      <c r="E1916" s="2" t="s">
        <v>13</v>
      </c>
      <c r="F1916" s="2" t="s">
        <v>14</v>
      </c>
      <c r="G1916" s="2" t="s">
        <v>53</v>
      </c>
      <c r="H1916" s="2">
        <v>1</v>
      </c>
      <c r="I1916" s="4">
        <v>42</v>
      </c>
      <c r="J1916" s="2" t="s">
        <v>16</v>
      </c>
      <c r="K1916">
        <f>H1916*I1916</f>
        <v>42</v>
      </c>
      <c r="L1916" t="str">
        <f t="shared" si="58"/>
        <v>Dec</v>
      </c>
      <c r="M1916">
        <f t="shared" si="59"/>
        <v>12</v>
      </c>
    </row>
    <row r="1917" spans="1:13" x14ac:dyDescent="0.25">
      <c r="A1917" s="2" t="s">
        <v>1990</v>
      </c>
      <c r="B1917" s="3">
        <v>46013</v>
      </c>
      <c r="C1917" s="2" t="s">
        <v>30</v>
      </c>
      <c r="D1917" s="2" t="s">
        <v>30</v>
      </c>
      <c r="E1917" s="2" t="s">
        <v>13</v>
      </c>
      <c r="F1917" s="2" t="s">
        <v>20</v>
      </c>
      <c r="G1917" s="2" t="s">
        <v>21</v>
      </c>
      <c r="H1917" s="2">
        <v>4</v>
      </c>
      <c r="I1917" s="4">
        <v>15.15</v>
      </c>
      <c r="J1917" s="2" t="s">
        <v>38</v>
      </c>
      <c r="K1917">
        <f>H1917*I1917</f>
        <v>60.6</v>
      </c>
      <c r="L1917" t="str">
        <f t="shared" si="58"/>
        <v>Dec</v>
      </c>
      <c r="M1917">
        <f t="shared" si="59"/>
        <v>12</v>
      </c>
    </row>
    <row r="1918" spans="1:13" x14ac:dyDescent="0.25">
      <c r="A1918" s="2" t="s">
        <v>1991</v>
      </c>
      <c r="B1918" s="3">
        <v>46013</v>
      </c>
      <c r="C1918" s="2" t="s">
        <v>108</v>
      </c>
      <c r="D1918" s="2" t="s">
        <v>109</v>
      </c>
      <c r="E1918" s="2" t="s">
        <v>13</v>
      </c>
      <c r="F1918" s="2" t="s">
        <v>14</v>
      </c>
      <c r="G1918" s="2" t="s">
        <v>110</v>
      </c>
      <c r="H1918" s="2">
        <v>1</v>
      </c>
      <c r="I1918" s="4">
        <v>62</v>
      </c>
      <c r="J1918" s="2" t="s">
        <v>16</v>
      </c>
      <c r="K1918">
        <f>H1918*I1918</f>
        <v>62</v>
      </c>
      <c r="L1918" t="str">
        <f t="shared" si="58"/>
        <v>Dec</v>
      </c>
      <c r="M1918">
        <f t="shared" si="59"/>
        <v>12</v>
      </c>
    </row>
    <row r="1919" spans="1:13" x14ac:dyDescent="0.25">
      <c r="A1919" s="2" t="s">
        <v>1992</v>
      </c>
      <c r="B1919" s="3">
        <v>46013</v>
      </c>
      <c r="C1919" s="2" t="s">
        <v>43</v>
      </c>
      <c r="D1919" s="2" t="s">
        <v>43</v>
      </c>
      <c r="E1919" s="2" t="s">
        <v>44</v>
      </c>
      <c r="F1919" s="2" t="s">
        <v>20</v>
      </c>
      <c r="G1919" s="2" t="s">
        <v>21</v>
      </c>
      <c r="H1919" s="2">
        <v>2</v>
      </c>
      <c r="I1919" s="4">
        <v>18.18</v>
      </c>
      <c r="J1919" s="2" t="s">
        <v>16</v>
      </c>
      <c r="K1919">
        <f>H1919*I1919</f>
        <v>36.36</v>
      </c>
      <c r="L1919" t="str">
        <f t="shared" si="58"/>
        <v>Dec</v>
      </c>
      <c r="M1919">
        <f t="shared" si="59"/>
        <v>12</v>
      </c>
    </row>
    <row r="1920" spans="1:13" x14ac:dyDescent="0.25">
      <c r="A1920" s="2" t="s">
        <v>1993</v>
      </c>
      <c r="B1920" s="3">
        <v>46014</v>
      </c>
      <c r="C1920" s="2" t="s">
        <v>48</v>
      </c>
      <c r="D1920" s="2" t="s">
        <v>48</v>
      </c>
      <c r="E1920" s="2" t="s">
        <v>49</v>
      </c>
      <c r="F1920" s="2" t="s">
        <v>20</v>
      </c>
      <c r="G1920" s="2" t="s">
        <v>21</v>
      </c>
      <c r="H1920" s="2">
        <v>1</v>
      </c>
      <c r="I1920" s="4">
        <v>55.55</v>
      </c>
      <c r="J1920" s="2" t="s">
        <v>31</v>
      </c>
      <c r="K1920">
        <f>H1920*I1920</f>
        <v>55.55</v>
      </c>
      <c r="L1920" t="str">
        <f t="shared" si="58"/>
        <v>Dec</v>
      </c>
      <c r="M1920">
        <f t="shared" si="59"/>
        <v>12</v>
      </c>
    </row>
    <row r="1921" spans="1:13" x14ac:dyDescent="0.25">
      <c r="A1921" s="2" t="s">
        <v>1994</v>
      </c>
      <c r="B1921" s="3">
        <v>46014</v>
      </c>
      <c r="C1921" s="2" t="s">
        <v>72</v>
      </c>
      <c r="D1921" s="2" t="s">
        <v>68</v>
      </c>
      <c r="E1921" s="2" t="s">
        <v>49</v>
      </c>
      <c r="F1921" s="2" t="s">
        <v>20</v>
      </c>
      <c r="G1921" s="2" t="s">
        <v>21</v>
      </c>
      <c r="H1921" s="2">
        <v>1</v>
      </c>
      <c r="I1921" s="4">
        <v>95.95</v>
      </c>
      <c r="J1921" s="2" t="s">
        <v>22</v>
      </c>
      <c r="K1921">
        <f>H1921*I1921</f>
        <v>95.95</v>
      </c>
      <c r="L1921" t="str">
        <f t="shared" si="58"/>
        <v>Dec</v>
      </c>
      <c r="M1921">
        <f t="shared" si="59"/>
        <v>12</v>
      </c>
    </row>
    <row r="1922" spans="1:13" x14ac:dyDescent="0.25">
      <c r="A1922" s="2" t="s">
        <v>1995</v>
      </c>
      <c r="B1922" s="3">
        <v>46014</v>
      </c>
      <c r="C1922" s="2" t="s">
        <v>102</v>
      </c>
      <c r="D1922" s="2" t="s">
        <v>102</v>
      </c>
      <c r="E1922" s="2" t="s">
        <v>36</v>
      </c>
      <c r="F1922" s="2" t="s">
        <v>20</v>
      </c>
      <c r="G1922" s="2" t="s">
        <v>21</v>
      </c>
      <c r="H1922" s="2">
        <v>3</v>
      </c>
      <c r="I1922" s="4">
        <v>35.35</v>
      </c>
      <c r="J1922" s="2" t="s">
        <v>38</v>
      </c>
      <c r="K1922">
        <f>H1922*I1922</f>
        <v>106.05000000000001</v>
      </c>
      <c r="L1922" t="str">
        <f t="shared" si="58"/>
        <v>Dec</v>
      </c>
      <c r="M1922">
        <f t="shared" si="59"/>
        <v>12</v>
      </c>
    </row>
    <row r="1923" spans="1:13" x14ac:dyDescent="0.25">
      <c r="A1923" s="2" t="s">
        <v>1996</v>
      </c>
      <c r="B1923" s="3">
        <v>46014</v>
      </c>
      <c r="C1923" s="2" t="s">
        <v>80</v>
      </c>
      <c r="D1923" s="2" t="s">
        <v>80</v>
      </c>
      <c r="E1923" s="2" t="s">
        <v>26</v>
      </c>
      <c r="F1923" s="2" t="s">
        <v>20</v>
      </c>
      <c r="G1923" s="2" t="s">
        <v>21</v>
      </c>
      <c r="H1923" s="2">
        <v>3</v>
      </c>
      <c r="I1923" s="4">
        <v>50</v>
      </c>
      <c r="J1923" s="2" t="s">
        <v>38</v>
      </c>
      <c r="K1923">
        <f>H1923*I1923</f>
        <v>150</v>
      </c>
      <c r="L1923" t="str">
        <f t="shared" ref="L1923:L1965" si="60">TEXT(B1923,"mmm")</f>
        <v>Dec</v>
      </c>
      <c r="M1923">
        <f t="shared" ref="M1923:M1956" si="61">MONTH(B1923)</f>
        <v>12</v>
      </c>
    </row>
    <row r="1924" spans="1:13" x14ac:dyDescent="0.25">
      <c r="A1924" s="2" t="s">
        <v>1997</v>
      </c>
      <c r="B1924" s="3">
        <v>46014</v>
      </c>
      <c r="C1924" s="2" t="s">
        <v>25</v>
      </c>
      <c r="D1924" s="2" t="s">
        <v>25</v>
      </c>
      <c r="E1924" s="2" t="s">
        <v>26</v>
      </c>
      <c r="F1924" s="2" t="s">
        <v>20</v>
      </c>
      <c r="G1924" s="2" t="s">
        <v>21</v>
      </c>
      <c r="H1924" s="2">
        <v>2</v>
      </c>
      <c r="I1924" s="4">
        <v>20.2</v>
      </c>
      <c r="J1924" s="2" t="s">
        <v>16</v>
      </c>
      <c r="K1924">
        <f>H1924*I1924</f>
        <v>40.4</v>
      </c>
      <c r="L1924" t="str">
        <f t="shared" si="60"/>
        <v>Dec</v>
      </c>
      <c r="M1924">
        <f t="shared" si="61"/>
        <v>12</v>
      </c>
    </row>
    <row r="1925" spans="1:13" x14ac:dyDescent="0.25">
      <c r="A1925" s="2" t="s">
        <v>1998</v>
      </c>
      <c r="B1925" s="3">
        <v>46014</v>
      </c>
      <c r="C1925" s="2" t="s">
        <v>61</v>
      </c>
      <c r="D1925" s="2" t="s">
        <v>61</v>
      </c>
      <c r="E1925" s="2" t="s">
        <v>62</v>
      </c>
      <c r="F1925" s="2" t="s">
        <v>20</v>
      </c>
      <c r="G1925" s="2" t="s">
        <v>21</v>
      </c>
      <c r="H1925" s="2">
        <v>2</v>
      </c>
      <c r="I1925" s="4">
        <v>8.08</v>
      </c>
      <c r="J1925" s="2" t="s">
        <v>16</v>
      </c>
      <c r="K1925">
        <f>H1925*I1925</f>
        <v>16.16</v>
      </c>
      <c r="L1925" t="str">
        <f t="shared" si="60"/>
        <v>Dec</v>
      </c>
      <c r="M1925">
        <f t="shared" si="61"/>
        <v>12</v>
      </c>
    </row>
    <row r="1926" spans="1:13" x14ac:dyDescent="0.25">
      <c r="A1926" s="2" t="s">
        <v>1999</v>
      </c>
      <c r="B1926" s="3">
        <v>46014</v>
      </c>
      <c r="C1926" s="2" t="s">
        <v>97</v>
      </c>
      <c r="D1926" s="2" t="s">
        <v>98</v>
      </c>
      <c r="E1926" s="2" t="s">
        <v>99</v>
      </c>
      <c r="F1926" s="2" t="s">
        <v>14</v>
      </c>
      <c r="G1926" s="2" t="s">
        <v>37</v>
      </c>
      <c r="H1926" s="2">
        <v>2</v>
      </c>
      <c r="I1926" s="4">
        <v>183.82</v>
      </c>
      <c r="J1926" s="2" t="s">
        <v>22</v>
      </c>
      <c r="K1926">
        <f>H1926*I1926</f>
        <v>367.64</v>
      </c>
      <c r="L1926" t="str">
        <f t="shared" si="60"/>
        <v>Dec</v>
      </c>
      <c r="M1926">
        <f t="shared" si="61"/>
        <v>12</v>
      </c>
    </row>
    <row r="1927" spans="1:13" x14ac:dyDescent="0.25">
      <c r="A1927" s="2" t="s">
        <v>2000</v>
      </c>
      <c r="B1927" s="3">
        <v>46015</v>
      </c>
      <c r="C1927" s="2" t="s">
        <v>11</v>
      </c>
      <c r="D1927" s="2" t="s">
        <v>12</v>
      </c>
      <c r="E1927" s="2" t="s">
        <v>13</v>
      </c>
      <c r="F1927" s="2" t="s">
        <v>14</v>
      </c>
      <c r="G1927" s="2" t="s">
        <v>15</v>
      </c>
      <c r="H1927" s="2">
        <v>4</v>
      </c>
      <c r="I1927" s="4">
        <v>32.32</v>
      </c>
      <c r="J1927" s="2" t="s">
        <v>16</v>
      </c>
      <c r="K1927">
        <f>H1927*I1927</f>
        <v>129.28</v>
      </c>
      <c r="L1927" t="str">
        <f t="shared" si="60"/>
        <v>Dec</v>
      </c>
      <c r="M1927">
        <f t="shared" si="61"/>
        <v>12</v>
      </c>
    </row>
    <row r="1928" spans="1:13" x14ac:dyDescent="0.25">
      <c r="A1928" s="2" t="s">
        <v>2001</v>
      </c>
      <c r="B1928" s="3">
        <v>46015</v>
      </c>
      <c r="C1928" s="2" t="s">
        <v>102</v>
      </c>
      <c r="D1928" s="2" t="s">
        <v>102</v>
      </c>
      <c r="E1928" s="2" t="s">
        <v>36</v>
      </c>
      <c r="F1928" s="2" t="s">
        <v>20</v>
      </c>
      <c r="G1928" s="2" t="s">
        <v>21</v>
      </c>
      <c r="H1928" s="2">
        <v>6</v>
      </c>
      <c r="I1928" s="4">
        <v>35.35</v>
      </c>
      <c r="J1928" s="2" t="s">
        <v>22</v>
      </c>
      <c r="K1928">
        <f>H1928*I1928</f>
        <v>212.10000000000002</v>
      </c>
      <c r="L1928" t="str">
        <f t="shared" si="60"/>
        <v>Dec</v>
      </c>
      <c r="M1928">
        <f t="shared" si="61"/>
        <v>12</v>
      </c>
    </row>
    <row r="1929" spans="1:13" x14ac:dyDescent="0.25">
      <c r="A1929" s="2" t="s">
        <v>2002</v>
      </c>
      <c r="B1929" s="3">
        <v>46015</v>
      </c>
      <c r="C1929" s="2" t="s">
        <v>124</v>
      </c>
      <c r="D1929" s="2" t="s">
        <v>18</v>
      </c>
      <c r="E1929" s="2" t="s">
        <v>19</v>
      </c>
      <c r="F1929" s="2" t="s">
        <v>14</v>
      </c>
      <c r="G1929" s="2" t="s">
        <v>125</v>
      </c>
      <c r="H1929" s="2">
        <v>6</v>
      </c>
      <c r="I1929" s="4">
        <v>45.45</v>
      </c>
      <c r="J1929" s="2" t="s">
        <v>16</v>
      </c>
      <c r="K1929">
        <f>H1929*I1929</f>
        <v>272.70000000000005</v>
      </c>
      <c r="L1929" t="str">
        <f t="shared" si="60"/>
        <v>Dec</v>
      </c>
      <c r="M1929">
        <f t="shared" si="61"/>
        <v>12</v>
      </c>
    </row>
    <row r="1930" spans="1:13" x14ac:dyDescent="0.25">
      <c r="A1930" s="2" t="s">
        <v>2003</v>
      </c>
      <c r="B1930" s="3">
        <v>46015</v>
      </c>
      <c r="C1930" s="2" t="s">
        <v>190</v>
      </c>
      <c r="D1930" s="2" t="s">
        <v>40</v>
      </c>
      <c r="E1930" s="2" t="s">
        <v>19</v>
      </c>
      <c r="F1930" s="2" t="s">
        <v>14</v>
      </c>
      <c r="G1930" s="2" t="s">
        <v>191</v>
      </c>
      <c r="H1930" s="2">
        <v>6</v>
      </c>
      <c r="I1930" s="4">
        <v>143.41999999999999</v>
      </c>
      <c r="J1930" s="2" t="s">
        <v>38</v>
      </c>
      <c r="K1930">
        <f>H1930*I1930</f>
        <v>860.52</v>
      </c>
      <c r="L1930" t="str">
        <f t="shared" si="60"/>
        <v>Dec</v>
      </c>
      <c r="M1930">
        <f t="shared" si="61"/>
        <v>12</v>
      </c>
    </row>
    <row r="1931" spans="1:13" x14ac:dyDescent="0.25">
      <c r="A1931" s="2" t="s">
        <v>2004</v>
      </c>
      <c r="B1931" s="3">
        <v>46015</v>
      </c>
      <c r="C1931" s="2" t="s">
        <v>108</v>
      </c>
      <c r="D1931" s="2" t="s">
        <v>109</v>
      </c>
      <c r="E1931" s="2" t="s">
        <v>13</v>
      </c>
      <c r="F1931" s="2" t="s">
        <v>14</v>
      </c>
      <c r="G1931" s="2" t="s">
        <v>110</v>
      </c>
      <c r="H1931" s="2">
        <v>1</v>
      </c>
      <c r="I1931" s="4">
        <v>62</v>
      </c>
      <c r="J1931" s="2" t="s">
        <v>16</v>
      </c>
      <c r="K1931">
        <f>H1931*I1931</f>
        <v>62</v>
      </c>
      <c r="L1931" t="str">
        <f t="shared" si="60"/>
        <v>Dec</v>
      </c>
      <c r="M1931">
        <f t="shared" si="61"/>
        <v>12</v>
      </c>
    </row>
    <row r="1932" spans="1:13" x14ac:dyDescent="0.25">
      <c r="A1932" s="2" t="s">
        <v>2005</v>
      </c>
      <c r="B1932" s="3">
        <v>46016</v>
      </c>
      <c r="C1932" s="2" t="s">
        <v>12</v>
      </c>
      <c r="D1932" s="2" t="s">
        <v>12</v>
      </c>
      <c r="E1932" s="2" t="s">
        <v>13</v>
      </c>
      <c r="F1932" s="2" t="s">
        <v>20</v>
      </c>
      <c r="G1932" s="2" t="s">
        <v>21</v>
      </c>
      <c r="H1932" s="2">
        <v>1</v>
      </c>
      <c r="I1932" s="4">
        <v>14.14</v>
      </c>
      <c r="J1932" s="2" t="s">
        <v>38</v>
      </c>
      <c r="K1932">
        <f>H1932*I1932</f>
        <v>14.14</v>
      </c>
      <c r="L1932" t="str">
        <f t="shared" si="60"/>
        <v>Dec</v>
      </c>
      <c r="M1932">
        <f t="shared" si="61"/>
        <v>12</v>
      </c>
    </row>
    <row r="1933" spans="1:13" x14ac:dyDescent="0.25">
      <c r="A1933" s="2" t="s">
        <v>2006</v>
      </c>
      <c r="B1933" s="3">
        <v>46016</v>
      </c>
      <c r="C1933" s="2" t="s">
        <v>86</v>
      </c>
      <c r="D1933" s="2" t="s">
        <v>48</v>
      </c>
      <c r="E1933" s="2" t="s">
        <v>49</v>
      </c>
      <c r="F1933" s="2" t="s">
        <v>14</v>
      </c>
      <c r="G1933" s="2" t="s">
        <v>87</v>
      </c>
      <c r="H1933" s="2">
        <v>1</v>
      </c>
      <c r="I1933" s="4">
        <v>126.25</v>
      </c>
      <c r="J1933" s="2" t="s">
        <v>16</v>
      </c>
      <c r="K1933">
        <f>H1933*I1933</f>
        <v>126.25</v>
      </c>
      <c r="L1933" t="str">
        <f t="shared" si="60"/>
        <v>Dec</v>
      </c>
      <c r="M1933">
        <f t="shared" si="61"/>
        <v>12</v>
      </c>
    </row>
    <row r="1934" spans="1:13" x14ac:dyDescent="0.25">
      <c r="A1934" s="2" t="s">
        <v>2007</v>
      </c>
      <c r="B1934" s="3">
        <v>46016</v>
      </c>
      <c r="C1934" s="2" t="s">
        <v>67</v>
      </c>
      <c r="D1934" s="2" t="s">
        <v>68</v>
      </c>
      <c r="E1934" s="2" t="s">
        <v>49</v>
      </c>
      <c r="F1934" s="2" t="s">
        <v>14</v>
      </c>
      <c r="G1934" s="2" t="s">
        <v>69</v>
      </c>
      <c r="H1934" s="2">
        <v>2</v>
      </c>
      <c r="I1934" s="4">
        <v>207.05</v>
      </c>
      <c r="J1934" s="2" t="s">
        <v>38</v>
      </c>
      <c r="K1934">
        <f>H1934*I1934</f>
        <v>414.1</v>
      </c>
      <c r="L1934" t="str">
        <f t="shared" si="60"/>
        <v>Dec</v>
      </c>
      <c r="M1934">
        <f t="shared" si="61"/>
        <v>12</v>
      </c>
    </row>
    <row r="1935" spans="1:13" x14ac:dyDescent="0.25">
      <c r="A1935" s="2" t="s">
        <v>2008</v>
      </c>
      <c r="B1935" s="3">
        <v>46016</v>
      </c>
      <c r="C1935" s="2" t="s">
        <v>35</v>
      </c>
      <c r="D1935" s="2" t="s">
        <v>35</v>
      </c>
      <c r="E1935" s="2" t="s">
        <v>36</v>
      </c>
      <c r="F1935" s="2" t="s">
        <v>20</v>
      </c>
      <c r="G1935" s="2" t="s">
        <v>21</v>
      </c>
      <c r="H1935" s="2">
        <v>3</v>
      </c>
      <c r="I1935" s="4">
        <v>58</v>
      </c>
      <c r="J1935" s="2" t="s">
        <v>31</v>
      </c>
      <c r="K1935">
        <f>H1935*I1935</f>
        <v>174</v>
      </c>
      <c r="L1935" t="str">
        <f t="shared" si="60"/>
        <v>Dec</v>
      </c>
      <c r="M1935">
        <f t="shared" si="61"/>
        <v>12</v>
      </c>
    </row>
    <row r="1936" spans="1:13" x14ac:dyDescent="0.25">
      <c r="A1936" s="2" t="s">
        <v>2009</v>
      </c>
      <c r="B1936" s="3">
        <v>46016</v>
      </c>
      <c r="C1936" s="2" t="s">
        <v>79</v>
      </c>
      <c r="D1936" s="2" t="s">
        <v>80</v>
      </c>
      <c r="E1936" s="2" t="s">
        <v>26</v>
      </c>
      <c r="F1936" s="2" t="s">
        <v>14</v>
      </c>
      <c r="G1936" s="2" t="s">
        <v>81</v>
      </c>
      <c r="H1936" s="2">
        <v>1</v>
      </c>
      <c r="I1936" s="4">
        <v>152</v>
      </c>
      <c r="J1936" s="2" t="s">
        <v>38</v>
      </c>
      <c r="K1936">
        <f>H1936*I1936</f>
        <v>152</v>
      </c>
      <c r="L1936" t="str">
        <f t="shared" si="60"/>
        <v>Dec</v>
      </c>
      <c r="M1936">
        <f t="shared" si="61"/>
        <v>12</v>
      </c>
    </row>
    <row r="1937" spans="1:13" x14ac:dyDescent="0.25">
      <c r="A1937" s="2" t="s">
        <v>2010</v>
      </c>
      <c r="B1937" s="3">
        <v>46016</v>
      </c>
      <c r="C1937" s="2" t="s">
        <v>79</v>
      </c>
      <c r="D1937" s="2" t="s">
        <v>80</v>
      </c>
      <c r="E1937" s="2" t="s">
        <v>26</v>
      </c>
      <c r="F1937" s="2" t="s">
        <v>14</v>
      </c>
      <c r="G1937" s="2" t="s">
        <v>81</v>
      </c>
      <c r="H1937" s="2">
        <v>1</v>
      </c>
      <c r="I1937" s="4">
        <v>153.52000000000001</v>
      </c>
      <c r="J1937" s="2" t="s">
        <v>16</v>
      </c>
      <c r="K1937">
        <f>H1937*I1937</f>
        <v>153.52000000000001</v>
      </c>
      <c r="L1937" t="str">
        <f t="shared" si="60"/>
        <v>Dec</v>
      </c>
      <c r="M1937">
        <f t="shared" si="61"/>
        <v>12</v>
      </c>
    </row>
    <row r="1938" spans="1:13" x14ac:dyDescent="0.25">
      <c r="A1938" s="2" t="s">
        <v>2011</v>
      </c>
      <c r="B1938" s="3">
        <v>46016</v>
      </c>
      <c r="C1938" s="2" t="s">
        <v>60</v>
      </c>
      <c r="D1938" s="2" t="s">
        <v>61</v>
      </c>
      <c r="E1938" s="2" t="s">
        <v>62</v>
      </c>
      <c r="F1938" s="2" t="s">
        <v>14</v>
      </c>
      <c r="G1938" s="2" t="s">
        <v>63</v>
      </c>
      <c r="H1938" s="2">
        <v>5</v>
      </c>
      <c r="I1938" s="4">
        <v>26.26</v>
      </c>
      <c r="J1938" s="2" t="s">
        <v>31</v>
      </c>
      <c r="K1938">
        <f>H1938*I1938</f>
        <v>131.30000000000001</v>
      </c>
      <c r="L1938" t="str">
        <f t="shared" si="60"/>
        <v>Dec</v>
      </c>
      <c r="M1938">
        <f t="shared" si="61"/>
        <v>12</v>
      </c>
    </row>
    <row r="1939" spans="1:13" x14ac:dyDescent="0.25">
      <c r="A1939" s="2" t="s">
        <v>2012</v>
      </c>
      <c r="B1939" s="3">
        <v>46016</v>
      </c>
      <c r="C1939" s="2" t="s">
        <v>109</v>
      </c>
      <c r="D1939" s="2" t="s">
        <v>109</v>
      </c>
      <c r="E1939" s="2" t="s">
        <v>13</v>
      </c>
      <c r="F1939" s="2" t="s">
        <v>20</v>
      </c>
      <c r="G1939" s="2" t="s">
        <v>21</v>
      </c>
      <c r="H1939" s="2">
        <v>5</v>
      </c>
      <c r="I1939" s="4">
        <v>20.2</v>
      </c>
      <c r="J1939" s="2" t="s">
        <v>16</v>
      </c>
      <c r="K1939">
        <f>H1939*I1939</f>
        <v>101</v>
      </c>
      <c r="L1939" t="str">
        <f t="shared" si="60"/>
        <v>Dec</v>
      </c>
      <c r="M1939">
        <f t="shared" si="61"/>
        <v>12</v>
      </c>
    </row>
    <row r="1940" spans="1:13" x14ac:dyDescent="0.25">
      <c r="A1940" s="2" t="s">
        <v>2013</v>
      </c>
      <c r="B1940" s="3">
        <v>46017</v>
      </c>
      <c r="C1940" s="2" t="s">
        <v>74</v>
      </c>
      <c r="D1940" s="2" t="s">
        <v>75</v>
      </c>
      <c r="E1940" s="2" t="s">
        <v>76</v>
      </c>
      <c r="F1940" s="2" t="s">
        <v>14</v>
      </c>
      <c r="G1940" s="2" t="s">
        <v>77</v>
      </c>
      <c r="H1940" s="2">
        <v>12</v>
      </c>
      <c r="I1940" s="4">
        <v>32</v>
      </c>
      <c r="J1940" s="2" t="s">
        <v>16</v>
      </c>
      <c r="K1940">
        <f>H1940*I1940</f>
        <v>384</v>
      </c>
      <c r="L1940" t="str">
        <f t="shared" si="60"/>
        <v>Dec</v>
      </c>
      <c r="M1940">
        <f t="shared" si="61"/>
        <v>12</v>
      </c>
    </row>
    <row r="1941" spans="1:13" x14ac:dyDescent="0.25">
      <c r="A1941" s="2" t="s">
        <v>2014</v>
      </c>
      <c r="B1941" s="3">
        <v>46017</v>
      </c>
      <c r="C1941" s="2" t="s">
        <v>75</v>
      </c>
      <c r="D1941" s="2" t="s">
        <v>75</v>
      </c>
      <c r="E1941" s="2" t="s">
        <v>76</v>
      </c>
      <c r="F1941" s="2" t="s">
        <v>20</v>
      </c>
      <c r="G1941" s="2" t="s">
        <v>21</v>
      </c>
      <c r="H1941" s="2">
        <v>3</v>
      </c>
      <c r="I1941" s="4">
        <v>12.12</v>
      </c>
      <c r="J1941" s="2" t="s">
        <v>22</v>
      </c>
      <c r="K1941">
        <f>H1941*I1941</f>
        <v>36.36</v>
      </c>
      <c r="L1941" t="str">
        <f t="shared" si="60"/>
        <v>Dec</v>
      </c>
      <c r="M1941">
        <f t="shared" si="61"/>
        <v>12</v>
      </c>
    </row>
    <row r="1942" spans="1:13" x14ac:dyDescent="0.25">
      <c r="A1942" s="2" t="s">
        <v>2015</v>
      </c>
      <c r="B1942" s="3">
        <v>46017</v>
      </c>
      <c r="C1942" s="2" t="s">
        <v>24</v>
      </c>
      <c r="D1942" s="2" t="s">
        <v>25</v>
      </c>
      <c r="E1942" s="2" t="s">
        <v>26</v>
      </c>
      <c r="F1942" s="2" t="s">
        <v>14</v>
      </c>
      <c r="G1942" s="2" t="s">
        <v>27</v>
      </c>
      <c r="H1942" s="2">
        <v>1</v>
      </c>
      <c r="I1942" s="4">
        <v>58.58</v>
      </c>
      <c r="J1942" s="2" t="s">
        <v>16</v>
      </c>
      <c r="K1942">
        <f>H1942*I1942</f>
        <v>58.58</v>
      </c>
      <c r="L1942" t="str">
        <f t="shared" si="60"/>
        <v>Dec</v>
      </c>
      <c r="M1942">
        <f t="shared" si="61"/>
        <v>12</v>
      </c>
    </row>
    <row r="1943" spans="1:13" x14ac:dyDescent="0.25">
      <c r="A1943" s="2" t="s">
        <v>2016</v>
      </c>
      <c r="B1943" s="3">
        <v>46017</v>
      </c>
      <c r="C1943" s="2" t="s">
        <v>60</v>
      </c>
      <c r="D1943" s="2" t="s">
        <v>61</v>
      </c>
      <c r="E1943" s="2" t="s">
        <v>62</v>
      </c>
      <c r="F1943" s="2" t="s">
        <v>14</v>
      </c>
      <c r="G1943" s="2" t="s">
        <v>63</v>
      </c>
      <c r="H1943" s="2">
        <v>1</v>
      </c>
      <c r="I1943" s="4">
        <v>26</v>
      </c>
      <c r="J1943" s="2" t="s">
        <v>31</v>
      </c>
      <c r="K1943">
        <f>H1943*I1943</f>
        <v>26</v>
      </c>
      <c r="L1943" t="str">
        <f t="shared" si="60"/>
        <v>Dec</v>
      </c>
      <c r="M1943">
        <f t="shared" si="61"/>
        <v>12</v>
      </c>
    </row>
    <row r="1944" spans="1:13" x14ac:dyDescent="0.25">
      <c r="A1944" s="2" t="s">
        <v>2017</v>
      </c>
      <c r="B1944" s="3">
        <v>46018</v>
      </c>
      <c r="C1944" s="2" t="s">
        <v>119</v>
      </c>
      <c r="D1944" s="2" t="s">
        <v>120</v>
      </c>
      <c r="E1944" s="2" t="s">
        <v>76</v>
      </c>
      <c r="F1944" s="2" t="s">
        <v>14</v>
      </c>
      <c r="G1944" s="2" t="s">
        <v>121</v>
      </c>
      <c r="H1944" s="2">
        <v>3</v>
      </c>
      <c r="I1944" s="4">
        <v>191.9</v>
      </c>
      <c r="J1944" s="2" t="s">
        <v>16</v>
      </c>
      <c r="K1944">
        <f>H1944*I1944</f>
        <v>575.70000000000005</v>
      </c>
      <c r="L1944" t="str">
        <f t="shared" si="60"/>
        <v>Dec</v>
      </c>
      <c r="M1944">
        <f t="shared" si="61"/>
        <v>12</v>
      </c>
    </row>
    <row r="1945" spans="1:13" x14ac:dyDescent="0.25">
      <c r="A1945" s="2" t="s">
        <v>2018</v>
      </c>
      <c r="B1945" s="3">
        <v>46018</v>
      </c>
      <c r="C1945" s="2" t="s">
        <v>190</v>
      </c>
      <c r="D1945" s="2" t="s">
        <v>40</v>
      </c>
      <c r="E1945" s="2" t="s">
        <v>19</v>
      </c>
      <c r="F1945" s="2" t="s">
        <v>14</v>
      </c>
      <c r="G1945" s="2" t="s">
        <v>191</v>
      </c>
      <c r="H1945" s="2">
        <v>6</v>
      </c>
      <c r="I1945" s="4">
        <v>142</v>
      </c>
      <c r="J1945" s="2" t="s">
        <v>22</v>
      </c>
      <c r="K1945">
        <f>H1945*I1945</f>
        <v>852</v>
      </c>
      <c r="L1945" t="str">
        <f t="shared" si="60"/>
        <v>Dec</v>
      </c>
      <c r="M1945">
        <f t="shared" si="61"/>
        <v>12</v>
      </c>
    </row>
    <row r="1946" spans="1:13" x14ac:dyDescent="0.25">
      <c r="A1946" s="2" t="s">
        <v>2019</v>
      </c>
      <c r="B1946" s="3">
        <v>46018</v>
      </c>
      <c r="C1946" s="2" t="s">
        <v>40</v>
      </c>
      <c r="D1946" s="2" t="s">
        <v>40</v>
      </c>
      <c r="E1946" s="2" t="s">
        <v>19</v>
      </c>
      <c r="F1946" s="2" t="s">
        <v>20</v>
      </c>
      <c r="G1946" s="2" t="s">
        <v>21</v>
      </c>
      <c r="H1946" s="2">
        <v>1</v>
      </c>
      <c r="I1946" s="4">
        <v>46.46</v>
      </c>
      <c r="J1946" s="2" t="s">
        <v>22</v>
      </c>
      <c r="K1946">
        <f>H1946*I1946</f>
        <v>46.46</v>
      </c>
      <c r="L1946" t="str">
        <f t="shared" si="60"/>
        <v>Dec</v>
      </c>
      <c r="M1946">
        <f t="shared" si="61"/>
        <v>12</v>
      </c>
    </row>
    <row r="1947" spans="1:13" x14ac:dyDescent="0.25">
      <c r="A1947" s="2" t="s">
        <v>2020</v>
      </c>
      <c r="B1947" s="3">
        <v>46018</v>
      </c>
      <c r="C1947" s="2" t="s">
        <v>61</v>
      </c>
      <c r="D1947" s="2" t="s">
        <v>61</v>
      </c>
      <c r="E1947" s="2" t="s">
        <v>62</v>
      </c>
      <c r="F1947" s="2" t="s">
        <v>20</v>
      </c>
      <c r="G1947" s="2" t="s">
        <v>21</v>
      </c>
      <c r="H1947" s="2">
        <v>1</v>
      </c>
      <c r="I1947" s="4">
        <v>8.08</v>
      </c>
      <c r="J1947" s="2" t="s">
        <v>16</v>
      </c>
      <c r="K1947">
        <f>H1947*I1947</f>
        <v>8.08</v>
      </c>
      <c r="L1947" t="str">
        <f t="shared" si="60"/>
        <v>Dec</v>
      </c>
      <c r="M1947">
        <f t="shared" si="61"/>
        <v>12</v>
      </c>
    </row>
    <row r="1948" spans="1:13" x14ac:dyDescent="0.25">
      <c r="A1948" s="2" t="s">
        <v>2021</v>
      </c>
      <c r="B1948" s="3">
        <v>46018</v>
      </c>
      <c r="C1948" s="2" t="s">
        <v>52</v>
      </c>
      <c r="D1948" s="2" t="s">
        <v>30</v>
      </c>
      <c r="E1948" s="2" t="s">
        <v>13</v>
      </c>
      <c r="F1948" s="2" t="s">
        <v>14</v>
      </c>
      <c r="G1948" s="2" t="s">
        <v>53</v>
      </c>
      <c r="H1948" s="2">
        <v>4</v>
      </c>
      <c r="I1948" s="4">
        <v>42.42</v>
      </c>
      <c r="J1948" s="2" t="s">
        <v>16</v>
      </c>
      <c r="K1948">
        <f>H1948*I1948</f>
        <v>169.68</v>
      </c>
      <c r="L1948" t="str">
        <f t="shared" si="60"/>
        <v>Dec</v>
      </c>
      <c r="M1948">
        <f t="shared" si="61"/>
        <v>12</v>
      </c>
    </row>
    <row r="1949" spans="1:13" x14ac:dyDescent="0.25">
      <c r="A1949" s="2" t="s">
        <v>2022</v>
      </c>
      <c r="B1949" s="3">
        <v>46019</v>
      </c>
      <c r="C1949" s="2" t="s">
        <v>11</v>
      </c>
      <c r="D1949" s="2" t="s">
        <v>12</v>
      </c>
      <c r="E1949" s="2" t="s">
        <v>13</v>
      </c>
      <c r="F1949" s="2" t="s">
        <v>14</v>
      </c>
      <c r="G1949" s="2" t="s">
        <v>15</v>
      </c>
      <c r="H1949" s="2">
        <v>2</v>
      </c>
      <c r="I1949" s="4">
        <v>32</v>
      </c>
      <c r="J1949" s="2" t="s">
        <v>16</v>
      </c>
      <c r="K1949">
        <f>H1949*I1949</f>
        <v>64</v>
      </c>
      <c r="L1949" t="str">
        <f t="shared" si="60"/>
        <v>Dec</v>
      </c>
      <c r="M1949">
        <f t="shared" si="61"/>
        <v>12</v>
      </c>
    </row>
    <row r="1950" spans="1:13" x14ac:dyDescent="0.25">
      <c r="A1950" s="2" t="s">
        <v>2023</v>
      </c>
      <c r="B1950" s="3">
        <v>46019</v>
      </c>
      <c r="C1950" s="2" t="s">
        <v>11</v>
      </c>
      <c r="D1950" s="2" t="s">
        <v>12</v>
      </c>
      <c r="E1950" s="2" t="s">
        <v>13</v>
      </c>
      <c r="F1950" s="2" t="s">
        <v>14</v>
      </c>
      <c r="G1950" s="2" t="s">
        <v>15</v>
      </c>
      <c r="H1950" s="2">
        <v>5</v>
      </c>
      <c r="I1950" s="4">
        <v>32</v>
      </c>
      <c r="J1950" s="2" t="s">
        <v>38</v>
      </c>
      <c r="K1950">
        <f>H1950*I1950</f>
        <v>160</v>
      </c>
      <c r="L1950" t="str">
        <f t="shared" si="60"/>
        <v>Dec</v>
      </c>
      <c r="M1950">
        <f t="shared" si="61"/>
        <v>12</v>
      </c>
    </row>
    <row r="1951" spans="1:13" x14ac:dyDescent="0.25">
      <c r="A1951" s="2" t="s">
        <v>2024</v>
      </c>
      <c r="B1951" s="3">
        <v>46019</v>
      </c>
      <c r="C1951" s="2" t="s">
        <v>48</v>
      </c>
      <c r="D1951" s="2" t="s">
        <v>48</v>
      </c>
      <c r="E1951" s="2" t="s">
        <v>49</v>
      </c>
      <c r="F1951" s="2" t="s">
        <v>20</v>
      </c>
      <c r="G1951" s="2" t="s">
        <v>21</v>
      </c>
      <c r="H1951" s="2">
        <v>3</v>
      </c>
      <c r="I1951" s="4">
        <v>55.55</v>
      </c>
      <c r="J1951" s="2" t="s">
        <v>16</v>
      </c>
      <c r="K1951">
        <f>H1951*I1951</f>
        <v>166.64999999999998</v>
      </c>
      <c r="L1951" t="str">
        <f t="shared" si="60"/>
        <v>Dec</v>
      </c>
      <c r="M1951">
        <f t="shared" si="61"/>
        <v>12</v>
      </c>
    </row>
    <row r="1952" spans="1:13" x14ac:dyDescent="0.25">
      <c r="A1952" s="2" t="s">
        <v>2025</v>
      </c>
      <c r="B1952" s="3">
        <v>46019</v>
      </c>
      <c r="C1952" s="2" t="s">
        <v>75</v>
      </c>
      <c r="D1952" s="2" t="s">
        <v>75</v>
      </c>
      <c r="E1952" s="2" t="s">
        <v>76</v>
      </c>
      <c r="F1952" s="2" t="s">
        <v>20</v>
      </c>
      <c r="G1952" s="2" t="s">
        <v>21</v>
      </c>
      <c r="H1952" s="2">
        <v>2</v>
      </c>
      <c r="I1952" s="4">
        <v>12.12</v>
      </c>
      <c r="J1952" s="2" t="s">
        <v>31</v>
      </c>
      <c r="K1952">
        <f>H1952*I1952</f>
        <v>24.24</v>
      </c>
      <c r="L1952" t="str">
        <f t="shared" si="60"/>
        <v>Dec</v>
      </c>
      <c r="M1952">
        <f t="shared" si="61"/>
        <v>12</v>
      </c>
    </row>
    <row r="1953" spans="1:13" x14ac:dyDescent="0.25">
      <c r="A1953" s="2" t="s">
        <v>2026</v>
      </c>
      <c r="B1953" s="3">
        <v>46019</v>
      </c>
      <c r="C1953" s="2" t="s">
        <v>79</v>
      </c>
      <c r="D1953" s="2" t="s">
        <v>80</v>
      </c>
      <c r="E1953" s="2" t="s">
        <v>26</v>
      </c>
      <c r="F1953" s="2" t="s">
        <v>14</v>
      </c>
      <c r="G1953" s="2" t="s">
        <v>81</v>
      </c>
      <c r="H1953" s="2">
        <v>3</v>
      </c>
      <c r="I1953" s="4">
        <v>153.52000000000001</v>
      </c>
      <c r="J1953" s="2" t="s">
        <v>16</v>
      </c>
      <c r="K1953">
        <f>H1953*I1953</f>
        <v>460.56000000000006</v>
      </c>
      <c r="L1953" t="str">
        <f t="shared" si="60"/>
        <v>Dec</v>
      </c>
      <c r="M1953">
        <f t="shared" si="61"/>
        <v>12</v>
      </c>
    </row>
    <row r="1954" spans="1:13" x14ac:dyDescent="0.25">
      <c r="A1954" s="2" t="s">
        <v>2027</v>
      </c>
      <c r="B1954" s="3">
        <v>46019</v>
      </c>
      <c r="C1954" s="2" t="s">
        <v>52</v>
      </c>
      <c r="D1954" s="2" t="s">
        <v>30</v>
      </c>
      <c r="E1954" s="2" t="s">
        <v>13</v>
      </c>
      <c r="F1954" s="2" t="s">
        <v>14</v>
      </c>
      <c r="G1954" s="2" t="s">
        <v>53</v>
      </c>
      <c r="H1954" s="2">
        <v>4</v>
      </c>
      <c r="I1954" s="4">
        <v>42</v>
      </c>
      <c r="J1954" s="2" t="s">
        <v>16</v>
      </c>
      <c r="K1954">
        <f>H1954*I1954</f>
        <v>168</v>
      </c>
      <c r="L1954" t="str">
        <f t="shared" si="60"/>
        <v>Dec</v>
      </c>
      <c r="M1954">
        <f t="shared" si="61"/>
        <v>12</v>
      </c>
    </row>
    <row r="1955" spans="1:13" x14ac:dyDescent="0.25">
      <c r="A1955" s="2" t="s">
        <v>2028</v>
      </c>
      <c r="B1955" s="3">
        <v>46020</v>
      </c>
      <c r="C1955" s="2" t="s">
        <v>11</v>
      </c>
      <c r="D1955" s="2" t="s">
        <v>12</v>
      </c>
      <c r="E1955" s="2" t="s">
        <v>13</v>
      </c>
      <c r="F1955" s="2" t="s">
        <v>14</v>
      </c>
      <c r="G1955" s="2" t="s">
        <v>15</v>
      </c>
      <c r="H1955" s="2">
        <v>1</v>
      </c>
      <c r="I1955" s="4">
        <v>32.32</v>
      </c>
      <c r="J1955" s="2" t="s">
        <v>38</v>
      </c>
      <c r="K1955">
        <f>H1955*I1955</f>
        <v>32.32</v>
      </c>
      <c r="L1955" t="str">
        <f t="shared" si="60"/>
        <v>Dec</v>
      </c>
      <c r="M1955">
        <f t="shared" si="61"/>
        <v>12</v>
      </c>
    </row>
    <row r="1956" spans="1:13" x14ac:dyDescent="0.25">
      <c r="A1956" s="2" t="s">
        <v>2029</v>
      </c>
      <c r="B1956" s="3">
        <v>46020</v>
      </c>
      <c r="C1956" s="2" t="s">
        <v>74</v>
      </c>
      <c r="D1956" s="2" t="s">
        <v>75</v>
      </c>
      <c r="E1956" s="2" t="s">
        <v>76</v>
      </c>
      <c r="F1956" s="2" t="s">
        <v>14</v>
      </c>
      <c r="G1956" s="2" t="s">
        <v>77</v>
      </c>
      <c r="H1956" s="2">
        <v>6</v>
      </c>
      <c r="I1956" s="4">
        <v>32.32</v>
      </c>
      <c r="J1956" s="2" t="s">
        <v>16</v>
      </c>
      <c r="K1956">
        <f>H1956*I1956</f>
        <v>193.92000000000002</v>
      </c>
      <c r="L1956" t="str">
        <f t="shared" si="60"/>
        <v>Dec</v>
      </c>
      <c r="M1956">
        <f t="shared" si="61"/>
        <v>12</v>
      </c>
    </row>
    <row r="1957" spans="1:13" x14ac:dyDescent="0.25">
      <c r="A1957" s="2" t="s">
        <v>2030</v>
      </c>
      <c r="B1957" s="3">
        <v>46020</v>
      </c>
      <c r="C1957" s="2" t="s">
        <v>74</v>
      </c>
      <c r="D1957" s="2" t="s">
        <v>75</v>
      </c>
      <c r="E1957" s="2" t="s">
        <v>76</v>
      </c>
      <c r="F1957" s="2" t="s">
        <v>14</v>
      </c>
      <c r="G1957" s="2" t="s">
        <v>77</v>
      </c>
      <c r="H1957" s="2">
        <v>3</v>
      </c>
      <c r="I1957" s="4">
        <v>32.32</v>
      </c>
      <c r="J1957" s="2" t="s">
        <v>16</v>
      </c>
      <c r="K1957">
        <f>H1957*I1957</f>
        <v>96.960000000000008</v>
      </c>
      <c r="L1957" t="str">
        <f t="shared" si="60"/>
        <v>Dec</v>
      </c>
      <c r="M1957">
        <f>MONTH(B1957)</f>
        <v>12</v>
      </c>
    </row>
    <row r="1958" spans="1:13" x14ac:dyDescent="0.25">
      <c r="A1958" s="2" t="s">
        <v>2031</v>
      </c>
      <c r="B1958" s="3">
        <v>46020</v>
      </c>
      <c r="C1958" s="2" t="s">
        <v>102</v>
      </c>
      <c r="D1958" s="2" t="s">
        <v>102</v>
      </c>
      <c r="E1958" s="2" t="s">
        <v>36</v>
      </c>
      <c r="F1958" s="2" t="s">
        <v>20</v>
      </c>
      <c r="G1958" s="2" t="s">
        <v>21</v>
      </c>
      <c r="H1958" s="2">
        <v>1</v>
      </c>
      <c r="I1958" s="4">
        <v>35.35</v>
      </c>
      <c r="J1958" s="2" t="s">
        <v>38</v>
      </c>
      <c r="K1958">
        <f>H1958*I1958</f>
        <v>35.35</v>
      </c>
      <c r="L1958" t="str">
        <f t="shared" si="60"/>
        <v>Dec</v>
      </c>
      <c r="M1958">
        <f t="shared" ref="M1958:M1966" si="62">MONTH(B1958)</f>
        <v>12</v>
      </c>
    </row>
    <row r="1959" spans="1:13" x14ac:dyDescent="0.25">
      <c r="A1959" s="2" t="s">
        <v>2032</v>
      </c>
      <c r="B1959" s="3">
        <v>46020</v>
      </c>
      <c r="C1959" s="2" t="s">
        <v>61</v>
      </c>
      <c r="D1959" s="2" t="s">
        <v>61</v>
      </c>
      <c r="E1959" s="2" t="s">
        <v>62</v>
      </c>
      <c r="F1959" s="2" t="s">
        <v>20</v>
      </c>
      <c r="G1959" s="2" t="s">
        <v>21</v>
      </c>
      <c r="H1959" s="2">
        <v>1</v>
      </c>
      <c r="I1959" s="4">
        <v>8.08</v>
      </c>
      <c r="J1959" s="2" t="s">
        <v>31</v>
      </c>
      <c r="K1959">
        <f>H1959*I1959</f>
        <v>8.08</v>
      </c>
      <c r="L1959" t="str">
        <f t="shared" si="60"/>
        <v>Dec</v>
      </c>
      <c r="M1959">
        <f t="shared" si="62"/>
        <v>12</v>
      </c>
    </row>
    <row r="1960" spans="1:13" x14ac:dyDescent="0.25">
      <c r="A1960" s="2" t="s">
        <v>2033</v>
      </c>
      <c r="B1960" s="3">
        <v>46021</v>
      </c>
      <c r="C1960" s="2" t="s">
        <v>190</v>
      </c>
      <c r="D1960" s="2" t="s">
        <v>40</v>
      </c>
      <c r="E1960" s="2" t="s">
        <v>19</v>
      </c>
      <c r="F1960" s="2" t="s">
        <v>14</v>
      </c>
      <c r="G1960" s="2" t="s">
        <v>191</v>
      </c>
      <c r="H1960" s="2">
        <v>12</v>
      </c>
      <c r="I1960" s="4">
        <v>142</v>
      </c>
      <c r="J1960" s="2" t="s">
        <v>31</v>
      </c>
      <c r="K1960">
        <f>H1960*I1960</f>
        <v>1704</v>
      </c>
      <c r="L1960" t="str">
        <f t="shared" si="60"/>
        <v>Dec</v>
      </c>
      <c r="M1960">
        <f t="shared" si="62"/>
        <v>12</v>
      </c>
    </row>
    <row r="1961" spans="1:13" x14ac:dyDescent="0.25">
      <c r="A1961" s="2" t="s">
        <v>2034</v>
      </c>
      <c r="B1961" s="3">
        <v>46021</v>
      </c>
      <c r="C1961" s="2" t="s">
        <v>24</v>
      </c>
      <c r="D1961" s="2" t="s">
        <v>25</v>
      </c>
      <c r="E1961" s="2" t="s">
        <v>26</v>
      </c>
      <c r="F1961" s="2" t="s">
        <v>14</v>
      </c>
      <c r="G1961" s="2" t="s">
        <v>27</v>
      </c>
      <c r="H1961" s="2">
        <v>1</v>
      </c>
      <c r="I1961" s="4">
        <v>58</v>
      </c>
      <c r="J1961" s="2" t="s">
        <v>16</v>
      </c>
      <c r="K1961">
        <f>H1961*I1961</f>
        <v>58</v>
      </c>
      <c r="L1961" t="str">
        <f t="shared" si="60"/>
        <v>Dec</v>
      </c>
      <c r="M1961">
        <f t="shared" si="62"/>
        <v>12</v>
      </c>
    </row>
    <row r="1962" spans="1:13" x14ac:dyDescent="0.25">
      <c r="A1962" s="2" t="s">
        <v>2035</v>
      </c>
      <c r="B1962" s="3">
        <v>46021</v>
      </c>
      <c r="C1962" s="2" t="s">
        <v>24</v>
      </c>
      <c r="D1962" s="2" t="s">
        <v>25</v>
      </c>
      <c r="E1962" s="2" t="s">
        <v>26</v>
      </c>
      <c r="F1962" s="2" t="s">
        <v>14</v>
      </c>
      <c r="G1962" s="2" t="s">
        <v>27</v>
      </c>
      <c r="H1962" s="2">
        <v>1</v>
      </c>
      <c r="I1962" s="4">
        <v>58.58</v>
      </c>
      <c r="J1962" s="2" t="s">
        <v>16</v>
      </c>
      <c r="K1962">
        <f>H1962*I1962</f>
        <v>58.58</v>
      </c>
      <c r="L1962" t="str">
        <f t="shared" si="60"/>
        <v>Dec</v>
      </c>
      <c r="M1962">
        <f t="shared" si="62"/>
        <v>12</v>
      </c>
    </row>
    <row r="1963" spans="1:13" x14ac:dyDescent="0.25">
      <c r="A1963" s="2" t="s">
        <v>2036</v>
      </c>
      <c r="B1963" s="3">
        <v>46021</v>
      </c>
      <c r="C1963" s="2" t="s">
        <v>60</v>
      </c>
      <c r="D1963" s="2" t="s">
        <v>61</v>
      </c>
      <c r="E1963" s="2" t="s">
        <v>62</v>
      </c>
      <c r="F1963" s="2" t="s">
        <v>14</v>
      </c>
      <c r="G1963" s="2" t="s">
        <v>63</v>
      </c>
      <c r="H1963" s="2">
        <v>2</v>
      </c>
      <c r="I1963" s="4">
        <v>26</v>
      </c>
      <c r="J1963" s="2" t="s">
        <v>31</v>
      </c>
      <c r="K1963">
        <f>H1963*I1963</f>
        <v>52</v>
      </c>
      <c r="L1963" t="str">
        <f t="shared" si="60"/>
        <v>Dec</v>
      </c>
      <c r="M1963">
        <f t="shared" si="62"/>
        <v>12</v>
      </c>
    </row>
    <row r="1964" spans="1:13" x14ac:dyDescent="0.25">
      <c r="A1964" s="2" t="s">
        <v>2037</v>
      </c>
      <c r="B1964" s="3">
        <v>46021</v>
      </c>
      <c r="C1964" s="2" t="s">
        <v>60</v>
      </c>
      <c r="D1964" s="2" t="s">
        <v>61</v>
      </c>
      <c r="E1964" s="2" t="s">
        <v>62</v>
      </c>
      <c r="F1964" s="2" t="s">
        <v>14</v>
      </c>
      <c r="G1964" s="2" t="s">
        <v>63</v>
      </c>
      <c r="H1964" s="2">
        <v>2</v>
      </c>
      <c r="I1964" s="4">
        <v>26.26</v>
      </c>
      <c r="J1964" s="2" t="s">
        <v>16</v>
      </c>
      <c r="K1964">
        <f>H1964*I1964</f>
        <v>52.52</v>
      </c>
      <c r="L1964" t="str">
        <f t="shared" si="60"/>
        <v>Dec</v>
      </c>
      <c r="M1964">
        <f t="shared" si="62"/>
        <v>12</v>
      </c>
    </row>
    <row r="1965" spans="1:13" x14ac:dyDescent="0.25">
      <c r="A1965" s="2" t="s">
        <v>2038</v>
      </c>
      <c r="B1965" s="3">
        <v>46021</v>
      </c>
      <c r="C1965" s="2" t="s">
        <v>61</v>
      </c>
      <c r="D1965" s="2" t="s">
        <v>61</v>
      </c>
      <c r="E1965" s="2" t="s">
        <v>62</v>
      </c>
      <c r="F1965" s="2" t="s">
        <v>20</v>
      </c>
      <c r="G1965" s="2" t="s">
        <v>21</v>
      </c>
      <c r="H1965" s="2">
        <v>2</v>
      </c>
      <c r="I1965" s="4">
        <v>8.08</v>
      </c>
      <c r="J1965" s="2" t="s">
        <v>22</v>
      </c>
      <c r="K1965">
        <f>H1965*I1965</f>
        <v>16.16</v>
      </c>
      <c r="L1965" t="str">
        <f t="shared" si="60"/>
        <v>Dec</v>
      </c>
      <c r="M1965">
        <f t="shared" si="62"/>
        <v>12</v>
      </c>
    </row>
    <row r="1966" spans="1:13" x14ac:dyDescent="0.25">
      <c r="A1966" s="2" t="s">
        <v>2039</v>
      </c>
      <c r="B1966" s="3">
        <v>46022</v>
      </c>
      <c r="C1966" s="2" t="s">
        <v>108</v>
      </c>
      <c r="D1966" s="2" t="s">
        <v>109</v>
      </c>
      <c r="E1966" s="2" t="s">
        <v>13</v>
      </c>
      <c r="F1966" s="2" t="s">
        <v>14</v>
      </c>
      <c r="G1966" s="2" t="s">
        <v>110</v>
      </c>
      <c r="H1966" s="2">
        <v>1</v>
      </c>
      <c r="I1966" s="4">
        <v>62</v>
      </c>
      <c r="J1966" s="2" t="s">
        <v>31</v>
      </c>
      <c r="K1966">
        <f>H1966*I1966</f>
        <v>62</v>
      </c>
      <c r="L1966" t="str">
        <f>TEXT(B1966,"mmm")</f>
        <v>Dec</v>
      </c>
      <c r="M1966">
        <f t="shared" si="62"/>
        <v>12</v>
      </c>
    </row>
  </sheetData>
  <autoFilter ref="A1:J1966" xr:uid="{00000000-0009-0000-0000-000000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6" customWidth="1"/>
    <col min="2" max="2" width="30" customWidth="1"/>
    <col min="3" max="3" width="24" customWidth="1"/>
    <col min="4" max="4" width="10" customWidth="1"/>
    <col min="5" max="5" width="16" customWidth="1"/>
    <col min="6" max="6" width="14" customWidth="1"/>
  </cols>
  <sheetData>
    <row r="1" spans="1:6" x14ac:dyDescent="0.25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2040</v>
      </c>
    </row>
    <row r="2" spans="1:6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32</v>
      </c>
    </row>
    <row r="3" spans="1:6" x14ac:dyDescent="0.25">
      <c r="A3" s="2" t="s">
        <v>12</v>
      </c>
      <c r="B3" s="2" t="s">
        <v>12</v>
      </c>
      <c r="C3" s="2" t="s">
        <v>13</v>
      </c>
      <c r="D3" s="2" t="s">
        <v>20</v>
      </c>
      <c r="E3" s="2" t="s">
        <v>21</v>
      </c>
      <c r="F3" s="2">
        <v>14</v>
      </c>
    </row>
    <row r="4" spans="1:6" x14ac:dyDescent="0.25">
      <c r="A4" s="2" t="s">
        <v>86</v>
      </c>
      <c r="B4" s="2" t="s">
        <v>48</v>
      </c>
      <c r="C4" s="2" t="s">
        <v>49</v>
      </c>
      <c r="D4" s="2" t="s">
        <v>14</v>
      </c>
      <c r="E4" s="2" t="s">
        <v>87</v>
      </c>
      <c r="F4" s="2">
        <v>125</v>
      </c>
    </row>
    <row r="5" spans="1:6" x14ac:dyDescent="0.25">
      <c r="A5" s="2" t="s">
        <v>48</v>
      </c>
      <c r="B5" s="2" t="s">
        <v>48</v>
      </c>
      <c r="C5" s="2" t="s">
        <v>49</v>
      </c>
      <c r="D5" s="2" t="s">
        <v>20</v>
      </c>
      <c r="E5" s="2" t="s">
        <v>21</v>
      </c>
      <c r="F5" s="2">
        <v>55</v>
      </c>
    </row>
    <row r="6" spans="1:6" x14ac:dyDescent="0.25">
      <c r="A6" s="2" t="s">
        <v>67</v>
      </c>
      <c r="B6" s="2" t="s">
        <v>68</v>
      </c>
      <c r="C6" s="2" t="s">
        <v>49</v>
      </c>
      <c r="D6" s="2" t="s">
        <v>14</v>
      </c>
      <c r="E6" s="2" t="s">
        <v>69</v>
      </c>
      <c r="F6" s="2">
        <v>205</v>
      </c>
    </row>
    <row r="7" spans="1:6" x14ac:dyDescent="0.25">
      <c r="A7" s="2" t="s">
        <v>72</v>
      </c>
      <c r="B7" s="2" t="s">
        <v>68</v>
      </c>
      <c r="C7" s="2" t="s">
        <v>49</v>
      </c>
      <c r="D7" s="2" t="s">
        <v>20</v>
      </c>
      <c r="E7" s="2" t="s">
        <v>21</v>
      </c>
      <c r="F7" s="2">
        <v>95</v>
      </c>
    </row>
    <row r="8" spans="1:6" x14ac:dyDescent="0.25">
      <c r="A8" s="2" t="s">
        <v>74</v>
      </c>
      <c r="B8" s="2" t="s">
        <v>75</v>
      </c>
      <c r="C8" s="2" t="s">
        <v>76</v>
      </c>
      <c r="D8" s="2" t="s">
        <v>14</v>
      </c>
      <c r="E8" s="2" t="s">
        <v>77</v>
      </c>
      <c r="F8" s="2">
        <v>32</v>
      </c>
    </row>
    <row r="9" spans="1:6" x14ac:dyDescent="0.25">
      <c r="A9" s="2" t="s">
        <v>75</v>
      </c>
      <c r="B9" s="2" t="s">
        <v>75</v>
      </c>
      <c r="C9" s="2" t="s">
        <v>76</v>
      </c>
      <c r="D9" s="2" t="s">
        <v>20</v>
      </c>
      <c r="E9" s="2" t="s">
        <v>21</v>
      </c>
      <c r="F9" s="2">
        <v>12</v>
      </c>
    </row>
    <row r="10" spans="1:6" x14ac:dyDescent="0.25">
      <c r="A10" s="2" t="s">
        <v>119</v>
      </c>
      <c r="B10" s="2" t="s">
        <v>120</v>
      </c>
      <c r="C10" s="2" t="s">
        <v>76</v>
      </c>
      <c r="D10" s="2" t="s">
        <v>14</v>
      </c>
      <c r="E10" s="2" t="s">
        <v>121</v>
      </c>
      <c r="F10" s="2">
        <v>190</v>
      </c>
    </row>
    <row r="11" spans="1:6" x14ac:dyDescent="0.25">
      <c r="A11" s="2" t="s">
        <v>120</v>
      </c>
      <c r="B11" s="2" t="s">
        <v>120</v>
      </c>
      <c r="C11" s="2" t="s">
        <v>76</v>
      </c>
      <c r="D11" s="2" t="s">
        <v>20</v>
      </c>
      <c r="E11" s="2" t="s">
        <v>21</v>
      </c>
      <c r="F11" s="2">
        <v>42</v>
      </c>
    </row>
    <row r="12" spans="1:6" x14ac:dyDescent="0.25">
      <c r="A12" s="2" t="s">
        <v>101</v>
      </c>
      <c r="B12" s="2" t="s">
        <v>102</v>
      </c>
      <c r="C12" s="2" t="s">
        <v>36</v>
      </c>
      <c r="D12" s="2" t="s">
        <v>14</v>
      </c>
      <c r="E12" s="2" t="s">
        <v>103</v>
      </c>
      <c r="F12" s="2">
        <v>92</v>
      </c>
    </row>
    <row r="13" spans="1:6" x14ac:dyDescent="0.25">
      <c r="A13" s="2" t="s">
        <v>102</v>
      </c>
      <c r="B13" s="2" t="s">
        <v>102</v>
      </c>
      <c r="C13" s="2" t="s">
        <v>36</v>
      </c>
      <c r="D13" s="2" t="s">
        <v>20</v>
      </c>
      <c r="E13" s="2" t="s">
        <v>21</v>
      </c>
      <c r="F13" s="2">
        <v>35</v>
      </c>
    </row>
    <row r="14" spans="1:6" x14ac:dyDescent="0.25">
      <c r="A14" s="2" t="s">
        <v>34</v>
      </c>
      <c r="B14" s="2" t="s">
        <v>35</v>
      </c>
      <c r="C14" s="2" t="s">
        <v>36</v>
      </c>
      <c r="D14" s="2" t="s">
        <v>14</v>
      </c>
      <c r="E14" s="2" t="s">
        <v>37</v>
      </c>
      <c r="F14" s="2">
        <v>165</v>
      </c>
    </row>
    <row r="15" spans="1:6" x14ac:dyDescent="0.25">
      <c r="A15" s="2" t="s">
        <v>35</v>
      </c>
      <c r="B15" s="2" t="s">
        <v>35</v>
      </c>
      <c r="C15" s="2" t="s">
        <v>36</v>
      </c>
      <c r="D15" s="2" t="s">
        <v>20</v>
      </c>
      <c r="E15" s="2" t="s">
        <v>21</v>
      </c>
      <c r="F15" s="2">
        <v>58</v>
      </c>
    </row>
    <row r="16" spans="1:6" x14ac:dyDescent="0.25">
      <c r="A16" s="2" t="s">
        <v>124</v>
      </c>
      <c r="B16" s="2" t="s">
        <v>18</v>
      </c>
      <c r="C16" s="2" t="s">
        <v>19</v>
      </c>
      <c r="D16" s="2" t="s">
        <v>14</v>
      </c>
      <c r="E16" s="2" t="s">
        <v>125</v>
      </c>
      <c r="F16" s="2">
        <v>45</v>
      </c>
    </row>
    <row r="17" spans="1:6" x14ac:dyDescent="0.25">
      <c r="A17" s="2" t="s">
        <v>18</v>
      </c>
      <c r="B17" s="2" t="s">
        <v>18</v>
      </c>
      <c r="C17" s="2" t="s">
        <v>19</v>
      </c>
      <c r="D17" s="2" t="s">
        <v>20</v>
      </c>
      <c r="E17" s="2" t="s">
        <v>21</v>
      </c>
      <c r="F17" s="2">
        <v>15</v>
      </c>
    </row>
    <row r="18" spans="1:6" x14ac:dyDescent="0.25">
      <c r="A18" s="2" t="s">
        <v>190</v>
      </c>
      <c r="B18" s="2" t="s">
        <v>40</v>
      </c>
      <c r="C18" s="2" t="s">
        <v>19</v>
      </c>
      <c r="D18" s="2" t="s">
        <v>14</v>
      </c>
      <c r="E18" s="2" t="s">
        <v>191</v>
      </c>
      <c r="F18" s="2">
        <v>142</v>
      </c>
    </row>
    <row r="19" spans="1:6" x14ac:dyDescent="0.25">
      <c r="A19" s="2" t="s">
        <v>40</v>
      </c>
      <c r="B19" s="2" t="s">
        <v>40</v>
      </c>
      <c r="C19" s="2" t="s">
        <v>19</v>
      </c>
      <c r="D19" s="2" t="s">
        <v>20</v>
      </c>
      <c r="E19" s="2" t="s">
        <v>21</v>
      </c>
      <c r="F19" s="2">
        <v>46</v>
      </c>
    </row>
    <row r="20" spans="1:6" x14ac:dyDescent="0.25">
      <c r="A20" s="2" t="s">
        <v>79</v>
      </c>
      <c r="B20" s="2" t="s">
        <v>80</v>
      </c>
      <c r="C20" s="2" t="s">
        <v>26</v>
      </c>
      <c r="D20" s="2" t="s">
        <v>14</v>
      </c>
      <c r="E20" s="2" t="s">
        <v>81</v>
      </c>
      <c r="F20" s="2">
        <v>152</v>
      </c>
    </row>
    <row r="21" spans="1:6" x14ac:dyDescent="0.25">
      <c r="A21" s="2" t="s">
        <v>80</v>
      </c>
      <c r="B21" s="2" t="s">
        <v>80</v>
      </c>
      <c r="C21" s="2" t="s">
        <v>26</v>
      </c>
      <c r="D21" s="2" t="s">
        <v>20</v>
      </c>
      <c r="E21" s="2" t="s">
        <v>21</v>
      </c>
      <c r="F21" s="2">
        <v>50</v>
      </c>
    </row>
    <row r="22" spans="1:6" x14ac:dyDescent="0.25">
      <c r="A22" s="2" t="s">
        <v>24</v>
      </c>
      <c r="B22" s="2" t="s">
        <v>25</v>
      </c>
      <c r="C22" s="2" t="s">
        <v>26</v>
      </c>
      <c r="D22" s="2" t="s">
        <v>14</v>
      </c>
      <c r="E22" s="2" t="s">
        <v>27</v>
      </c>
      <c r="F22" s="2">
        <v>58</v>
      </c>
    </row>
    <row r="23" spans="1:6" x14ac:dyDescent="0.25">
      <c r="A23" s="2" t="s">
        <v>25</v>
      </c>
      <c r="B23" s="2" t="s">
        <v>25</v>
      </c>
      <c r="C23" s="2" t="s">
        <v>26</v>
      </c>
      <c r="D23" s="2" t="s">
        <v>20</v>
      </c>
      <c r="E23" s="2" t="s">
        <v>21</v>
      </c>
      <c r="F23" s="2">
        <v>20</v>
      </c>
    </row>
    <row r="24" spans="1:6" x14ac:dyDescent="0.25">
      <c r="A24" s="2" t="s">
        <v>60</v>
      </c>
      <c r="B24" s="2" t="s">
        <v>61</v>
      </c>
      <c r="C24" s="2" t="s">
        <v>62</v>
      </c>
      <c r="D24" s="2" t="s">
        <v>14</v>
      </c>
      <c r="E24" s="2" t="s">
        <v>63</v>
      </c>
      <c r="F24" s="2">
        <v>26</v>
      </c>
    </row>
    <row r="25" spans="1:6" x14ac:dyDescent="0.25">
      <c r="A25" s="2" t="s">
        <v>61</v>
      </c>
      <c r="B25" s="2" t="s">
        <v>61</v>
      </c>
      <c r="C25" s="2" t="s">
        <v>62</v>
      </c>
      <c r="D25" s="2" t="s">
        <v>20</v>
      </c>
      <c r="E25" s="2" t="s">
        <v>21</v>
      </c>
      <c r="F25" s="2">
        <v>8</v>
      </c>
    </row>
    <row r="26" spans="1:6" x14ac:dyDescent="0.25">
      <c r="A26" s="2" t="s">
        <v>97</v>
      </c>
      <c r="B26" s="2" t="s">
        <v>98</v>
      </c>
      <c r="C26" s="2" t="s">
        <v>99</v>
      </c>
      <c r="D26" s="2" t="s">
        <v>14</v>
      </c>
      <c r="E26" s="2" t="s">
        <v>37</v>
      </c>
      <c r="F26" s="2">
        <v>182</v>
      </c>
    </row>
    <row r="27" spans="1:6" x14ac:dyDescent="0.25">
      <c r="A27" s="2" t="s">
        <v>194</v>
      </c>
      <c r="B27" s="2" t="s">
        <v>98</v>
      </c>
      <c r="C27" s="2" t="s">
        <v>99</v>
      </c>
      <c r="D27" s="2" t="s">
        <v>20</v>
      </c>
      <c r="E27" s="2" t="s">
        <v>21</v>
      </c>
      <c r="F27" s="2">
        <v>70</v>
      </c>
    </row>
    <row r="28" spans="1:6" x14ac:dyDescent="0.25">
      <c r="A28" s="2" t="s">
        <v>52</v>
      </c>
      <c r="B28" s="2" t="s">
        <v>30</v>
      </c>
      <c r="C28" s="2" t="s">
        <v>13</v>
      </c>
      <c r="D28" s="2" t="s">
        <v>14</v>
      </c>
      <c r="E28" s="2" t="s">
        <v>53</v>
      </c>
      <c r="F28" s="2">
        <v>42</v>
      </c>
    </row>
    <row r="29" spans="1:6" x14ac:dyDescent="0.25">
      <c r="A29" s="2" t="s">
        <v>30</v>
      </c>
      <c r="B29" s="2" t="s">
        <v>30</v>
      </c>
      <c r="C29" s="2" t="s">
        <v>13</v>
      </c>
      <c r="D29" s="2" t="s">
        <v>20</v>
      </c>
      <c r="E29" s="2" t="s">
        <v>21</v>
      </c>
      <c r="F29" s="2">
        <v>15</v>
      </c>
    </row>
    <row r="30" spans="1:6" x14ac:dyDescent="0.25">
      <c r="A30" s="2" t="s">
        <v>108</v>
      </c>
      <c r="B30" s="2" t="s">
        <v>109</v>
      </c>
      <c r="C30" s="2" t="s">
        <v>13</v>
      </c>
      <c r="D30" s="2" t="s">
        <v>14</v>
      </c>
      <c r="E30" s="2" t="s">
        <v>110</v>
      </c>
      <c r="F30" s="2">
        <v>62</v>
      </c>
    </row>
    <row r="31" spans="1:6" x14ac:dyDescent="0.25">
      <c r="A31" s="2" t="s">
        <v>109</v>
      </c>
      <c r="B31" s="2" t="s">
        <v>109</v>
      </c>
      <c r="C31" s="2" t="s">
        <v>13</v>
      </c>
      <c r="D31" s="2" t="s">
        <v>20</v>
      </c>
      <c r="E31" s="2" t="s">
        <v>21</v>
      </c>
      <c r="F31" s="2">
        <v>20</v>
      </c>
    </row>
    <row r="32" spans="1:6" x14ac:dyDescent="0.25">
      <c r="A32" s="2" t="s">
        <v>42</v>
      </c>
      <c r="B32" s="2" t="s">
        <v>43</v>
      </c>
      <c r="C32" s="2" t="s">
        <v>44</v>
      </c>
      <c r="D32" s="2" t="s">
        <v>14</v>
      </c>
      <c r="E32" s="2" t="s">
        <v>45</v>
      </c>
      <c r="F32" s="2">
        <v>46</v>
      </c>
    </row>
    <row r="33" spans="1:6" x14ac:dyDescent="0.25">
      <c r="A33" s="2" t="s">
        <v>43</v>
      </c>
      <c r="B33" s="2" t="s">
        <v>43</v>
      </c>
      <c r="C33" s="2" t="s">
        <v>44</v>
      </c>
      <c r="D33" s="2" t="s">
        <v>20</v>
      </c>
      <c r="E33" s="2" t="s">
        <v>21</v>
      </c>
      <c r="F33" s="2">
        <v>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/>
  </sheetViews>
  <sheetFormatPr defaultRowHeight="15" x14ac:dyDescent="0.25"/>
  <cols>
    <col min="1" max="1" width="110" customWidth="1"/>
  </cols>
  <sheetData>
    <row r="1" spans="1:1" ht="15.75" x14ac:dyDescent="0.25">
      <c r="A1" s="6" t="s">
        <v>2041</v>
      </c>
    </row>
    <row r="2" spans="1:1" x14ac:dyDescent="0.25">
      <c r="A2" s="2"/>
    </row>
    <row r="3" spans="1:1" x14ac:dyDescent="0.25">
      <c r="A3" s="2" t="s">
        <v>2042</v>
      </c>
    </row>
    <row r="4" spans="1:1" x14ac:dyDescent="0.25">
      <c r="A4" s="2" t="s">
        <v>2043</v>
      </c>
    </row>
    <row r="5" spans="1:1" x14ac:dyDescent="0.25">
      <c r="A5" s="2" t="s">
        <v>2044</v>
      </c>
    </row>
    <row r="6" spans="1:1" x14ac:dyDescent="0.25">
      <c r="A6" s="2" t="s">
        <v>2045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Dashboard</vt:lpstr>
      <vt:lpstr>Sales_Data</vt:lpstr>
      <vt:lpstr>Medicine_Master</vt:lpstr>
      <vt:lpstr>Data_Info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S0122410</cp:lastModifiedBy>
  <dcterms:created xsi:type="dcterms:W3CDTF">2026-10-13T13:27:07Z</dcterms:created>
  <dcterms:modified xsi:type="dcterms:W3CDTF">2026-10-13T14:27:31Z</dcterms:modified>
</cp:coreProperties>
</file>